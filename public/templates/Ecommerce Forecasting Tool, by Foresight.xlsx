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6"/>
  <workbookPr/>
  <mc:AlternateContent xmlns:mc="http://schemas.openxmlformats.org/markup-compatibility/2006">
    <mc:Choice Requires="x15">
      <x15ac:absPath xmlns:x15ac="http://schemas.microsoft.com/office/spreadsheetml/2010/11/ac" url="/Users/taylordavidson/Downloads/"/>
    </mc:Choice>
  </mc:AlternateContent>
  <xr:revisionPtr revIDLastSave="0" documentId="13_ncr:1_{B30C539F-C591-0145-8982-5360E57EEFA8}" xr6:coauthVersionLast="47" xr6:coauthVersionMax="47" xr10:uidLastSave="{00000000-0000-0000-0000-000000000000}"/>
  <bookViews>
    <workbookView xWindow="0" yWindow="0" windowWidth="38400" windowHeight="24000" xr2:uid="{00000000-000D-0000-FFFF-FFFF00000000}"/>
  </bookViews>
  <sheets>
    <sheet name="README" sheetId="1" r:id="rId1"/>
    <sheet name="License" sheetId="2" r:id="rId2"/>
    <sheet name="Disclaimer" sheetId="3" r:id="rId3"/>
    <sheet name="Get Started" sheetId="4" r:id="rId4"/>
    <sheet name="Key Reports" sheetId="5" r:id="rId5"/>
    <sheet name="Forecast" sheetId="6" r:id="rId6"/>
    <sheet name="Historicals" sheetId="7" r:id="rId7"/>
    <sheet name="Model Comparison" sheetId="8" r:id="rId8"/>
    <sheet name="Changelog"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 i="7" l="1"/>
  <c r="S59" i="7"/>
  <c r="I59" i="7"/>
  <c r="T58" i="7"/>
  <c r="T57" i="7" s="1"/>
  <c r="S34" i="7"/>
  <c r="I34" i="7"/>
  <c r="S33" i="7"/>
  <c r="I33" i="7"/>
  <c r="S32" i="7"/>
  <c r="I32" i="7"/>
  <c r="S31" i="7"/>
  <c r="I31" i="7"/>
  <c r="S30" i="7"/>
  <c r="I30" i="7"/>
  <c r="S29" i="7"/>
  <c r="I29" i="7"/>
  <c r="S28" i="7"/>
  <c r="I28" i="7"/>
  <c r="S27" i="7"/>
  <c r="I27" i="7"/>
  <c r="S26" i="7"/>
  <c r="I26" i="7"/>
  <c r="S25" i="7"/>
  <c r="I25" i="7"/>
  <c r="S24" i="7"/>
  <c r="I24" i="7"/>
  <c r="S23" i="7"/>
  <c r="I23" i="7"/>
  <c r="S22" i="7"/>
  <c r="I22" i="7"/>
  <c r="S21" i="7"/>
  <c r="I21" i="7"/>
  <c r="S20" i="7"/>
  <c r="I20" i="7"/>
  <c r="S19" i="7"/>
  <c r="I19" i="7"/>
  <c r="S18" i="7"/>
  <c r="I18" i="7"/>
  <c r="S17" i="7"/>
  <c r="I17" i="7"/>
  <c r="S16" i="7"/>
  <c r="I16" i="7"/>
  <c r="S15" i="7"/>
  <c r="I15" i="7"/>
  <c r="S14" i="7"/>
  <c r="I14" i="7"/>
  <c r="S13" i="7"/>
  <c r="I13" i="7"/>
  <c r="D13" i="7"/>
  <c r="S12" i="7"/>
  <c r="I12" i="7"/>
  <c r="S11" i="7"/>
  <c r="I11" i="7"/>
  <c r="B11" i="7"/>
  <c r="BO10" i="7"/>
  <c r="BN10" i="7"/>
  <c r="BM10" i="7"/>
  <c r="BL10" i="7"/>
  <c r="BK10" i="7"/>
  <c r="BJ10" i="7"/>
  <c r="BI10" i="7"/>
  <c r="BH10" i="7"/>
  <c r="BG10" i="7"/>
  <c r="BF10" i="7"/>
  <c r="BE10" i="7"/>
  <c r="BD10" i="7"/>
  <c r="BC10" i="7"/>
  <c r="BB10" i="7"/>
  <c r="BA10" i="7"/>
  <c r="AZ10" i="7"/>
  <c r="AY10" i="7"/>
  <c r="AX10" i="7"/>
  <c r="AW10" i="7"/>
  <c r="AV10" i="7"/>
  <c r="AU10" i="7"/>
  <c r="AT10" i="7"/>
  <c r="AS10" i="7"/>
  <c r="U6" i="7"/>
  <c r="U4" i="7" s="1"/>
  <c r="U5" i="7"/>
  <c r="V5" i="7" s="1"/>
  <c r="W5" i="7" s="1"/>
  <c r="X5" i="7" s="1"/>
  <c r="Y5" i="7" s="1"/>
  <c r="Z5" i="7" s="1"/>
  <c r="AA5" i="7" s="1"/>
  <c r="AB5" i="7" s="1"/>
  <c r="AC5" i="7" s="1"/>
  <c r="AD5" i="7" s="1"/>
  <c r="AE5" i="7" s="1"/>
  <c r="AF5" i="7" s="1"/>
  <c r="AG5" i="7" s="1"/>
  <c r="AH5" i="7" s="1"/>
  <c r="AI5" i="7" s="1"/>
  <c r="AJ5" i="7" s="1"/>
  <c r="AK5" i="7" s="1"/>
  <c r="AL5" i="7" s="1"/>
  <c r="AM5" i="7" s="1"/>
  <c r="AN5" i="7" s="1"/>
  <c r="AO5" i="7" s="1"/>
  <c r="AP5" i="7" s="1"/>
  <c r="AQ5" i="7" s="1"/>
  <c r="AR5" i="7" s="1"/>
  <c r="AS5" i="7" s="1"/>
  <c r="AT5" i="7" s="1"/>
  <c r="AU5" i="7" s="1"/>
  <c r="AV5" i="7" s="1"/>
  <c r="AW5" i="7" s="1"/>
  <c r="AX5" i="7" s="1"/>
  <c r="AY5" i="7" s="1"/>
  <c r="AZ5" i="7" s="1"/>
  <c r="BA5" i="7" s="1"/>
  <c r="BB5" i="7" s="1"/>
  <c r="BC5" i="7" s="1"/>
  <c r="BD5" i="7" s="1"/>
  <c r="BE5" i="7" s="1"/>
  <c r="BF5" i="7" s="1"/>
  <c r="BG5" i="7" s="1"/>
  <c r="BH5" i="7" s="1"/>
  <c r="BI5" i="7" s="1"/>
  <c r="BJ5" i="7" s="1"/>
  <c r="BK5" i="7" s="1"/>
  <c r="BL5" i="7" s="1"/>
  <c r="BM5" i="7" s="1"/>
  <c r="BN5" i="7" s="1"/>
  <c r="BO5" i="7" s="1"/>
  <c r="T4" i="7"/>
  <c r="C198" i="6"/>
  <c r="C197" i="6"/>
  <c r="C196" i="6"/>
  <c r="C195" i="6"/>
  <c r="C191" i="6"/>
  <c r="C188" i="6"/>
  <c r="C187" i="6"/>
  <c r="C186" i="6"/>
  <c r="C185" i="6"/>
  <c r="C184" i="6"/>
  <c r="C183" i="6"/>
  <c r="S180" i="6"/>
  <c r="C180" i="6"/>
  <c r="S179" i="6"/>
  <c r="C179" i="6"/>
  <c r="S178" i="6"/>
  <c r="C178" i="6"/>
  <c r="S177" i="6"/>
  <c r="C177" i="6"/>
  <c r="S176" i="6"/>
  <c r="D176" i="6"/>
  <c r="C176" i="6"/>
  <c r="B176" i="6"/>
  <c r="D175" i="6"/>
  <c r="C175" i="6"/>
  <c r="B175" i="6"/>
  <c r="S175" i="6" s="1"/>
  <c r="S174" i="6"/>
  <c r="C174" i="6"/>
  <c r="S173" i="6"/>
  <c r="C173" i="6"/>
  <c r="S172" i="6"/>
  <c r="C172" i="6"/>
  <c r="S171" i="6"/>
  <c r="C171" i="6"/>
  <c r="C167" i="6"/>
  <c r="C166" i="6"/>
  <c r="B161" i="6"/>
  <c r="C160" i="6"/>
  <c r="C159" i="6"/>
  <c r="F105" i="6"/>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D105" i="6"/>
  <c r="D106" i="6" s="1"/>
  <c r="T106" i="6" s="1"/>
  <c r="D103" i="6"/>
  <c r="B53" i="6"/>
  <c r="B52" i="6"/>
  <c r="X43" i="6"/>
  <c r="W43" i="6"/>
  <c r="Y43" i="6" s="1"/>
  <c r="AA43" i="6" s="1"/>
  <c r="AC43" i="6" s="1"/>
  <c r="AE43" i="6" s="1"/>
  <c r="AG43" i="6" s="1"/>
  <c r="AI43" i="6" s="1"/>
  <c r="AK43" i="6" s="1"/>
  <c r="AM43" i="6" s="1"/>
  <c r="AO43" i="6" s="1"/>
  <c r="AQ43" i="6" s="1"/>
  <c r="AS43" i="6" s="1"/>
  <c r="AU43" i="6" s="1"/>
  <c r="AW43" i="6" s="1"/>
  <c r="AY43" i="6" s="1"/>
  <c r="BA43" i="6" s="1"/>
  <c r="BC43" i="6" s="1"/>
  <c r="BE43" i="6" s="1"/>
  <c r="BG43" i="6" s="1"/>
  <c r="BI43" i="6" s="1"/>
  <c r="BK43" i="6" s="1"/>
  <c r="BM43" i="6" s="1"/>
  <c r="BO43" i="6" s="1"/>
  <c r="V43" i="6"/>
  <c r="T41" i="6"/>
  <c r="T44" i="6" s="1"/>
  <c r="BO40" i="6"/>
  <c r="BN40" i="6"/>
  <c r="BM40" i="6"/>
  <c r="BL40" i="6"/>
  <c r="BK40" i="6"/>
  <c r="BJ40" i="6"/>
  <c r="BI40" i="6"/>
  <c r="BH40" i="6"/>
  <c r="BG40" i="6"/>
  <c r="BF40" i="6"/>
  <c r="BE40" i="6"/>
  <c r="BD40" i="6"/>
  <c r="BC40" i="6"/>
  <c r="BB40" i="6"/>
  <c r="BA40" i="6"/>
  <c r="AZ40" i="6"/>
  <c r="AY40" i="6"/>
  <c r="AX40" i="6"/>
  <c r="AW40" i="6"/>
  <c r="AV40" i="6"/>
  <c r="AU40" i="6"/>
  <c r="AT40" i="6"/>
  <c r="AS40" i="6"/>
  <c r="AR40" i="6"/>
  <c r="AQ40" i="6"/>
  <c r="AP40" i="6"/>
  <c r="AO40" i="6"/>
  <c r="AN40" i="6"/>
  <c r="AM40" i="6"/>
  <c r="AL40" i="6"/>
  <c r="AK40" i="6"/>
  <c r="AJ40" i="6"/>
  <c r="AI40" i="6"/>
  <c r="AH40" i="6"/>
  <c r="AG40" i="6"/>
  <c r="AF40" i="6"/>
  <c r="AE40" i="6"/>
  <c r="AD40" i="6"/>
  <c r="AC40" i="6"/>
  <c r="AB40" i="6"/>
  <c r="AA40" i="6"/>
  <c r="Z40" i="6"/>
  <c r="Y40" i="6"/>
  <c r="X40" i="6"/>
  <c r="W40" i="6"/>
  <c r="V40" i="6"/>
  <c r="U40" i="6"/>
  <c r="T40" i="6"/>
  <c r="D40" i="6"/>
  <c r="B40" i="6"/>
  <c r="BO39" i="6"/>
  <c r="BN39" i="6"/>
  <c r="BM39" i="6"/>
  <c r="BL39" i="6"/>
  <c r="BK39" i="6"/>
  <c r="BJ39" i="6"/>
  <c r="BI39" i="6"/>
  <c r="BH39" i="6"/>
  <c r="BG39" i="6"/>
  <c r="BF39" i="6"/>
  <c r="BE39" i="6"/>
  <c r="BD39" i="6"/>
  <c r="BC39" i="6"/>
  <c r="BB39" i="6"/>
  <c r="BA39" i="6"/>
  <c r="AZ39" i="6"/>
  <c r="AY39" i="6"/>
  <c r="AX39" i="6"/>
  <c r="AW39" i="6"/>
  <c r="AV39" i="6"/>
  <c r="AU39" i="6"/>
  <c r="AT39" i="6"/>
  <c r="AS39" i="6"/>
  <c r="AR39" i="6"/>
  <c r="AQ39" i="6"/>
  <c r="AP39" i="6"/>
  <c r="AO39" i="6"/>
  <c r="AN39" i="6"/>
  <c r="AM39" i="6"/>
  <c r="AL39" i="6"/>
  <c r="AK39" i="6"/>
  <c r="AJ39" i="6"/>
  <c r="AI39" i="6"/>
  <c r="AH39" i="6"/>
  <c r="AG39" i="6"/>
  <c r="AF39" i="6"/>
  <c r="AE39" i="6"/>
  <c r="AD39" i="6"/>
  <c r="AC39" i="6"/>
  <c r="AB39" i="6"/>
  <c r="AA39" i="6"/>
  <c r="Z39" i="6"/>
  <c r="Y39" i="6"/>
  <c r="X39" i="6"/>
  <c r="W39" i="6"/>
  <c r="V39" i="6"/>
  <c r="U39" i="6"/>
  <c r="T39" i="6"/>
  <c r="D39" i="6"/>
  <c r="B39" i="6"/>
  <c r="BO38" i="6"/>
  <c r="BN38" i="6"/>
  <c r="BM38" i="6"/>
  <c r="BL38" i="6"/>
  <c r="BK38" i="6"/>
  <c r="BJ38" i="6"/>
  <c r="BI38" i="6"/>
  <c r="BH38" i="6"/>
  <c r="BG38" i="6"/>
  <c r="BF38" i="6"/>
  <c r="BE38" i="6"/>
  <c r="BD38" i="6"/>
  <c r="BC38" i="6"/>
  <c r="BB38" i="6"/>
  <c r="BA38" i="6"/>
  <c r="AZ38" i="6"/>
  <c r="AY38" i="6"/>
  <c r="AX38" i="6"/>
  <c r="AW38" i="6"/>
  <c r="AV38" i="6"/>
  <c r="AU38" i="6"/>
  <c r="AT38" i="6"/>
  <c r="AS38" i="6"/>
  <c r="AR38" i="6"/>
  <c r="AQ38" i="6"/>
  <c r="AP38" i="6"/>
  <c r="AO38" i="6"/>
  <c r="AN38" i="6"/>
  <c r="AM38" i="6"/>
  <c r="AL38" i="6"/>
  <c r="AK38" i="6"/>
  <c r="AJ38" i="6"/>
  <c r="AI38" i="6"/>
  <c r="AH38" i="6"/>
  <c r="AG38" i="6"/>
  <c r="AF38" i="6"/>
  <c r="AE38" i="6"/>
  <c r="AD38" i="6"/>
  <c r="AC38" i="6"/>
  <c r="AB38" i="6"/>
  <c r="AA38" i="6"/>
  <c r="Z38" i="6"/>
  <c r="Y38" i="6"/>
  <c r="X38" i="6"/>
  <c r="W38" i="6"/>
  <c r="V38" i="6"/>
  <c r="U38" i="6"/>
  <c r="T38" i="6"/>
  <c r="D38" i="6"/>
  <c r="B38" i="6"/>
  <c r="BO37" i="6"/>
  <c r="BN37" i="6"/>
  <c r="BM37" i="6"/>
  <c r="BL37" i="6"/>
  <c r="BK37" i="6"/>
  <c r="BJ37" i="6"/>
  <c r="BI37" i="6"/>
  <c r="BH37" i="6"/>
  <c r="BG37" i="6"/>
  <c r="BF37" i="6"/>
  <c r="BE37" i="6"/>
  <c r="BD37" i="6"/>
  <c r="BC37" i="6"/>
  <c r="BB37" i="6"/>
  <c r="BA37" i="6"/>
  <c r="AZ37" i="6"/>
  <c r="AY37" i="6"/>
  <c r="AX37" i="6"/>
  <c r="AW37" i="6"/>
  <c r="AV37" i="6"/>
  <c r="AU37" i="6"/>
  <c r="AT37" i="6"/>
  <c r="AS37" i="6"/>
  <c r="AR37" i="6"/>
  <c r="AQ37" i="6"/>
  <c r="AP37" i="6"/>
  <c r="AO37" i="6"/>
  <c r="AN37" i="6"/>
  <c r="AM37" i="6"/>
  <c r="AL37" i="6"/>
  <c r="AK37" i="6"/>
  <c r="AJ37" i="6"/>
  <c r="AI37" i="6"/>
  <c r="AH37" i="6"/>
  <c r="AG37" i="6"/>
  <c r="AF37" i="6"/>
  <c r="AE37" i="6"/>
  <c r="AD37" i="6"/>
  <c r="AC37" i="6"/>
  <c r="AB37" i="6"/>
  <c r="AA37" i="6"/>
  <c r="Z37" i="6"/>
  <c r="Y37" i="6"/>
  <c r="I37" i="6" s="1"/>
  <c r="X37" i="6"/>
  <c r="W37" i="6"/>
  <c r="V37" i="6"/>
  <c r="U37" i="6"/>
  <c r="T37" i="6"/>
  <c r="D37" i="6"/>
  <c r="B37" i="6"/>
  <c r="BO36" i="6"/>
  <c r="BN36" i="6"/>
  <c r="BM36" i="6"/>
  <c r="BL36" i="6"/>
  <c r="BK36" i="6"/>
  <c r="BJ36" i="6"/>
  <c r="BI36" i="6"/>
  <c r="BH36" i="6"/>
  <c r="BG36" i="6"/>
  <c r="BF36" i="6"/>
  <c r="BE36" i="6"/>
  <c r="BD36" i="6"/>
  <c r="BC36" i="6"/>
  <c r="BB36" i="6"/>
  <c r="BA36" i="6"/>
  <c r="AZ36" i="6"/>
  <c r="AY36" i="6"/>
  <c r="AX36" i="6"/>
  <c r="AW36" i="6"/>
  <c r="AV36" i="6"/>
  <c r="AU36" i="6"/>
  <c r="AT36" i="6"/>
  <c r="AS36" i="6"/>
  <c r="AR36" i="6"/>
  <c r="AQ36" i="6"/>
  <c r="AP36" i="6"/>
  <c r="AO36" i="6"/>
  <c r="AN36" i="6"/>
  <c r="AM36" i="6"/>
  <c r="AL36" i="6"/>
  <c r="AK36" i="6"/>
  <c r="AJ36" i="6"/>
  <c r="AI36" i="6"/>
  <c r="AH36" i="6"/>
  <c r="AG36" i="6"/>
  <c r="AF36" i="6"/>
  <c r="AE36" i="6"/>
  <c r="AD36" i="6"/>
  <c r="AC36" i="6"/>
  <c r="AB36" i="6"/>
  <c r="AA36" i="6"/>
  <c r="Z36" i="6"/>
  <c r="Y36" i="6"/>
  <c r="X36" i="6"/>
  <c r="W36" i="6"/>
  <c r="V36" i="6"/>
  <c r="U36" i="6"/>
  <c r="T36" i="6"/>
  <c r="D36" i="6"/>
  <c r="BO35" i="6"/>
  <c r="BN35" i="6"/>
  <c r="BM35" i="6"/>
  <c r="BL35" i="6"/>
  <c r="BK35" i="6"/>
  <c r="BJ35" i="6"/>
  <c r="BI35" i="6"/>
  <c r="BH35" i="6"/>
  <c r="BG35" i="6"/>
  <c r="BF35" i="6"/>
  <c r="BE35" i="6"/>
  <c r="BD35" i="6"/>
  <c r="BC35" i="6"/>
  <c r="BB35" i="6"/>
  <c r="BA35" i="6"/>
  <c r="AZ35" i="6"/>
  <c r="AY35" i="6"/>
  <c r="AX35" i="6"/>
  <c r="AW35" i="6"/>
  <c r="AV35" i="6"/>
  <c r="AU35" i="6"/>
  <c r="AT35" i="6"/>
  <c r="AS35" i="6"/>
  <c r="AR35" i="6"/>
  <c r="AQ35" i="6"/>
  <c r="AP35" i="6"/>
  <c r="AO35" i="6"/>
  <c r="AN35" i="6"/>
  <c r="AM35" i="6"/>
  <c r="AL35" i="6"/>
  <c r="AK35" i="6"/>
  <c r="AJ35" i="6"/>
  <c r="AI35" i="6"/>
  <c r="AH35" i="6"/>
  <c r="AG35" i="6"/>
  <c r="AF35" i="6"/>
  <c r="AE35" i="6"/>
  <c r="AD35" i="6"/>
  <c r="AC35" i="6"/>
  <c r="AB35" i="6"/>
  <c r="AA35" i="6"/>
  <c r="Z35" i="6"/>
  <c r="Y35" i="6"/>
  <c r="X35" i="6"/>
  <c r="W35" i="6"/>
  <c r="V35" i="6"/>
  <c r="U35" i="6"/>
  <c r="T35" i="6"/>
  <c r="D35" i="6"/>
  <c r="BO34" i="6"/>
  <c r="BN34" i="6"/>
  <c r="BM34" i="6"/>
  <c r="BL34" i="6"/>
  <c r="BK34" i="6"/>
  <c r="BJ34" i="6"/>
  <c r="BI34" i="6"/>
  <c r="BH34" i="6"/>
  <c r="BG34" i="6"/>
  <c r="BF34" i="6"/>
  <c r="BE34" i="6"/>
  <c r="BD34" i="6"/>
  <c r="BC34" i="6"/>
  <c r="BB34" i="6"/>
  <c r="BA34" i="6"/>
  <c r="AZ34" i="6"/>
  <c r="AY34" i="6"/>
  <c r="AX34" i="6"/>
  <c r="AW34" i="6"/>
  <c r="AV34" i="6"/>
  <c r="AU34" i="6"/>
  <c r="AT34" i="6"/>
  <c r="AS34" i="6"/>
  <c r="AR34" i="6"/>
  <c r="AQ34" i="6"/>
  <c r="AP34" i="6"/>
  <c r="AO34" i="6"/>
  <c r="AN34" i="6"/>
  <c r="AM34" i="6"/>
  <c r="AL34" i="6"/>
  <c r="AK34" i="6"/>
  <c r="AJ34" i="6"/>
  <c r="AI34" i="6"/>
  <c r="AH34" i="6"/>
  <c r="AG34" i="6"/>
  <c r="AF34" i="6"/>
  <c r="AE34" i="6"/>
  <c r="AD34" i="6"/>
  <c r="AC34" i="6"/>
  <c r="AB34" i="6"/>
  <c r="AA34" i="6"/>
  <c r="Z34" i="6"/>
  <c r="Y34" i="6"/>
  <c r="X34" i="6"/>
  <c r="W34" i="6"/>
  <c r="V34" i="6"/>
  <c r="U34" i="6"/>
  <c r="T34" i="6"/>
  <c r="T47" i="6" s="1"/>
  <c r="D34" i="6"/>
  <c r="B34" i="6"/>
  <c r="D33" i="6"/>
  <c r="B33" i="6"/>
  <c r="BO30" i="6"/>
  <c r="BN30" i="6"/>
  <c r="BM30" i="6"/>
  <c r="BL30" i="6"/>
  <c r="BK30" i="6"/>
  <c r="BJ30" i="6"/>
  <c r="BI30" i="6"/>
  <c r="BH30" i="6"/>
  <c r="BG30" i="6"/>
  <c r="BF30" i="6"/>
  <c r="BE30" i="6"/>
  <c r="BD30" i="6"/>
  <c r="BC30" i="6"/>
  <c r="BB30" i="6"/>
  <c r="BA30" i="6"/>
  <c r="AZ30" i="6"/>
  <c r="AY30" i="6"/>
  <c r="AX30" i="6"/>
  <c r="AW30" i="6"/>
  <c r="AV30" i="6"/>
  <c r="AU30" i="6"/>
  <c r="AT30" i="6"/>
  <c r="AS30" i="6"/>
  <c r="AR30" i="6"/>
  <c r="AQ30" i="6"/>
  <c r="AP30" i="6"/>
  <c r="AO30" i="6"/>
  <c r="AN30" i="6"/>
  <c r="AM30" i="6"/>
  <c r="AL30" i="6"/>
  <c r="AK30" i="6"/>
  <c r="AJ30" i="6"/>
  <c r="AI30" i="6"/>
  <c r="AH30" i="6"/>
  <c r="AG30" i="6"/>
  <c r="AF30" i="6"/>
  <c r="AE30" i="6"/>
  <c r="AD30" i="6"/>
  <c r="AC30" i="6"/>
  <c r="AB30" i="6"/>
  <c r="AA30" i="6"/>
  <c r="Z30" i="6"/>
  <c r="Y30" i="6"/>
  <c r="X30" i="6"/>
  <c r="W30" i="6"/>
  <c r="V30" i="6"/>
  <c r="U30" i="6"/>
  <c r="T30" i="6"/>
  <c r="D30" i="6"/>
  <c r="BO29" i="6"/>
  <c r="BN29" i="6"/>
  <c r="BM29" i="6"/>
  <c r="BL29" i="6"/>
  <c r="BK29" i="6"/>
  <c r="BJ29" i="6"/>
  <c r="BI29" i="6"/>
  <c r="BH29" i="6"/>
  <c r="BG29" i="6"/>
  <c r="BF29" i="6"/>
  <c r="BE29" i="6"/>
  <c r="BD29" i="6"/>
  <c r="BC29" i="6"/>
  <c r="BB29" i="6"/>
  <c r="BA29" i="6"/>
  <c r="AZ29" i="6"/>
  <c r="AY29" i="6"/>
  <c r="AX29" i="6"/>
  <c r="AW29" i="6"/>
  <c r="AV29" i="6"/>
  <c r="AU29" i="6"/>
  <c r="AT29" i="6"/>
  <c r="AS29" i="6"/>
  <c r="AR29" i="6"/>
  <c r="AQ29" i="6"/>
  <c r="AP29" i="6"/>
  <c r="AO29" i="6"/>
  <c r="AN29" i="6"/>
  <c r="AM29" i="6"/>
  <c r="AL29" i="6"/>
  <c r="AK29" i="6"/>
  <c r="AJ29" i="6"/>
  <c r="AI29" i="6"/>
  <c r="AH29" i="6"/>
  <c r="AG29" i="6"/>
  <c r="AF29" i="6"/>
  <c r="AE29" i="6"/>
  <c r="AD29" i="6"/>
  <c r="AC29" i="6"/>
  <c r="AB29" i="6"/>
  <c r="AA29" i="6"/>
  <c r="Z29" i="6"/>
  <c r="Y29" i="6"/>
  <c r="X29" i="6"/>
  <c r="W29" i="6"/>
  <c r="V29" i="6"/>
  <c r="U29" i="6"/>
  <c r="T29" i="6"/>
  <c r="I29" i="6" s="1"/>
  <c r="D29" i="6"/>
  <c r="BO28" i="6"/>
  <c r="BN28" i="6"/>
  <c r="BM28" i="6"/>
  <c r="BL28" i="6"/>
  <c r="BK28" i="6"/>
  <c r="BJ28" i="6"/>
  <c r="BI28" i="6"/>
  <c r="BH28" i="6"/>
  <c r="BG28" i="6"/>
  <c r="BF28" i="6"/>
  <c r="BE28" i="6"/>
  <c r="BD28" i="6"/>
  <c r="BC28" i="6"/>
  <c r="BB28" i="6"/>
  <c r="BA28" i="6"/>
  <c r="AZ28" i="6"/>
  <c r="AY28" i="6"/>
  <c r="AX28" i="6"/>
  <c r="AW28" i="6"/>
  <c r="AV28" i="6"/>
  <c r="AU28" i="6"/>
  <c r="AT28" i="6"/>
  <c r="AS28" i="6"/>
  <c r="AR28" i="6"/>
  <c r="AQ28" i="6"/>
  <c r="AP28" i="6"/>
  <c r="AO28" i="6"/>
  <c r="AN28" i="6"/>
  <c r="AM28" i="6"/>
  <c r="AL28" i="6"/>
  <c r="AK28" i="6"/>
  <c r="AJ28" i="6"/>
  <c r="AI28" i="6"/>
  <c r="AH28" i="6"/>
  <c r="AG28" i="6"/>
  <c r="AF28" i="6"/>
  <c r="AE28" i="6"/>
  <c r="AD28" i="6"/>
  <c r="AC28" i="6"/>
  <c r="AB28" i="6"/>
  <c r="AA28" i="6"/>
  <c r="Z28" i="6"/>
  <c r="Y28" i="6"/>
  <c r="X28" i="6"/>
  <c r="W28" i="6"/>
  <c r="V28" i="6"/>
  <c r="U28" i="6"/>
  <c r="T28" i="6"/>
  <c r="D28" i="6"/>
  <c r="C28" i="6"/>
  <c r="B28" i="6"/>
  <c r="B167" i="6" s="1"/>
  <c r="BO27" i="6"/>
  <c r="BN27" i="6"/>
  <c r="BM27" i="6"/>
  <c r="BL27" i="6"/>
  <c r="BK27" i="6"/>
  <c r="BJ27" i="6"/>
  <c r="BI27" i="6"/>
  <c r="BH27" i="6"/>
  <c r="BG27" i="6"/>
  <c r="BF27" i="6"/>
  <c r="BE27" i="6"/>
  <c r="BD27" i="6"/>
  <c r="BC27" i="6"/>
  <c r="BB27" i="6"/>
  <c r="BA27" i="6"/>
  <c r="AZ27" i="6"/>
  <c r="AY27" i="6"/>
  <c r="AX27" i="6"/>
  <c r="AW27" i="6"/>
  <c r="AV27" i="6"/>
  <c r="AU27" i="6"/>
  <c r="AT27" i="6"/>
  <c r="AS27" i="6"/>
  <c r="AR27" i="6"/>
  <c r="AQ27" i="6"/>
  <c r="AP27" i="6"/>
  <c r="AO27" i="6"/>
  <c r="AN27" i="6"/>
  <c r="AM27" i="6"/>
  <c r="AL27" i="6"/>
  <c r="AK27" i="6"/>
  <c r="AJ27" i="6"/>
  <c r="AI27" i="6"/>
  <c r="AH27" i="6"/>
  <c r="AG27" i="6"/>
  <c r="AF27" i="6"/>
  <c r="AE27" i="6"/>
  <c r="AD27" i="6"/>
  <c r="AC27" i="6"/>
  <c r="AB27" i="6"/>
  <c r="AA27" i="6"/>
  <c r="Z27" i="6"/>
  <c r="Y27" i="6"/>
  <c r="X27" i="6"/>
  <c r="W27" i="6"/>
  <c r="V27" i="6"/>
  <c r="U27" i="6"/>
  <c r="T27" i="6"/>
  <c r="C27" i="6"/>
  <c r="B27" i="6"/>
  <c r="B166" i="6" s="1"/>
  <c r="BO26" i="6"/>
  <c r="BN26" i="6"/>
  <c r="BM26" i="6"/>
  <c r="BL26" i="6"/>
  <c r="BK26" i="6"/>
  <c r="BJ26" i="6"/>
  <c r="BI26" i="6"/>
  <c r="BH26" i="6"/>
  <c r="BG26" i="6"/>
  <c r="BF26" i="6"/>
  <c r="BE26" i="6"/>
  <c r="BD26" i="6"/>
  <c r="BC26" i="6"/>
  <c r="BB26" i="6"/>
  <c r="BA26" i="6"/>
  <c r="AZ26" i="6"/>
  <c r="AY26" i="6"/>
  <c r="AX26" i="6"/>
  <c r="AW26" i="6"/>
  <c r="AV26" i="6"/>
  <c r="AU26" i="6"/>
  <c r="AT26" i="6"/>
  <c r="AS26" i="6"/>
  <c r="AR26" i="6"/>
  <c r="AQ26" i="6"/>
  <c r="AP26" i="6"/>
  <c r="AO26" i="6"/>
  <c r="AN26" i="6"/>
  <c r="AM26" i="6"/>
  <c r="AL26" i="6"/>
  <c r="AK26" i="6"/>
  <c r="AJ26" i="6"/>
  <c r="AI26" i="6"/>
  <c r="AH26" i="6"/>
  <c r="AG26" i="6"/>
  <c r="AF26" i="6"/>
  <c r="AE26" i="6"/>
  <c r="AD26" i="6"/>
  <c r="AC26" i="6"/>
  <c r="AB26" i="6"/>
  <c r="AA26" i="6"/>
  <c r="Z26" i="6"/>
  <c r="Y26" i="6"/>
  <c r="X26" i="6"/>
  <c r="W26" i="6"/>
  <c r="V26" i="6"/>
  <c r="U26" i="6"/>
  <c r="T26" i="6"/>
  <c r="D26" i="6"/>
  <c r="C26" i="6"/>
  <c r="B26" i="6"/>
  <c r="BO25" i="6"/>
  <c r="BN25" i="6"/>
  <c r="BN186" i="6" s="1"/>
  <c r="BM25" i="6"/>
  <c r="BL25" i="6"/>
  <c r="BK25" i="6"/>
  <c r="BJ25" i="6"/>
  <c r="BI25" i="6"/>
  <c r="BH25" i="6"/>
  <c r="BG25" i="6"/>
  <c r="BF25" i="6"/>
  <c r="BF186" i="6" s="1"/>
  <c r="BE25" i="6"/>
  <c r="BD25" i="6"/>
  <c r="BC25" i="6"/>
  <c r="BB25" i="6"/>
  <c r="BA25" i="6"/>
  <c r="AZ25" i="6"/>
  <c r="AY25" i="6"/>
  <c r="AX25" i="6"/>
  <c r="AX186" i="6" s="1"/>
  <c r="AW25" i="6"/>
  <c r="AV25" i="6"/>
  <c r="AU25" i="6"/>
  <c r="AT25" i="6"/>
  <c r="AS25" i="6"/>
  <c r="AR25" i="6"/>
  <c r="AQ25" i="6"/>
  <c r="AP25" i="6"/>
  <c r="AP186" i="6" s="1"/>
  <c r="AO25" i="6"/>
  <c r="AN25" i="6"/>
  <c r="AM25" i="6"/>
  <c r="AL25" i="6"/>
  <c r="AK25" i="6"/>
  <c r="AJ25" i="6"/>
  <c r="AI25" i="6"/>
  <c r="AH25" i="6"/>
  <c r="AH186" i="6" s="1"/>
  <c r="AG25" i="6"/>
  <c r="AF25" i="6"/>
  <c r="AE25" i="6"/>
  <c r="AD25" i="6"/>
  <c r="AC25" i="6"/>
  <c r="AB25" i="6"/>
  <c r="AA25" i="6"/>
  <c r="Z25" i="6"/>
  <c r="Z186" i="6" s="1"/>
  <c r="Y25" i="6"/>
  <c r="X25" i="6"/>
  <c r="W25" i="6"/>
  <c r="V25" i="6"/>
  <c r="U25" i="6"/>
  <c r="T25" i="6"/>
  <c r="D25" i="6"/>
  <c r="C25" i="6"/>
  <c r="B25" i="6"/>
  <c r="BO24" i="6"/>
  <c r="BN24" i="6"/>
  <c r="BM24" i="6"/>
  <c r="BL24" i="6"/>
  <c r="BK24" i="6"/>
  <c r="BJ24" i="6"/>
  <c r="BI24" i="6"/>
  <c r="BH24" i="6"/>
  <c r="BG24" i="6"/>
  <c r="BF24"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AB24" i="6"/>
  <c r="AA24" i="6"/>
  <c r="Z24" i="6"/>
  <c r="Y24" i="6"/>
  <c r="X24" i="6"/>
  <c r="W24" i="6"/>
  <c r="V24" i="6"/>
  <c r="U24" i="6"/>
  <c r="I24" i="6" s="1"/>
  <c r="T24" i="6"/>
  <c r="D24" i="6"/>
  <c r="BO23" i="6"/>
  <c r="BN23" i="6"/>
  <c r="BM23" i="6"/>
  <c r="BL23" i="6"/>
  <c r="BK23" i="6"/>
  <c r="BJ23" i="6"/>
  <c r="BI23" i="6"/>
  <c r="BH23" i="6"/>
  <c r="BG23" i="6"/>
  <c r="BF23" i="6"/>
  <c r="BE23" i="6"/>
  <c r="BD23" i="6"/>
  <c r="BC23" i="6"/>
  <c r="BB23" i="6"/>
  <c r="BA23" i="6"/>
  <c r="AZ23" i="6"/>
  <c r="AY23" i="6"/>
  <c r="AX23" i="6"/>
  <c r="AW23" i="6"/>
  <c r="AV23" i="6"/>
  <c r="AU23" i="6"/>
  <c r="AT23" i="6"/>
  <c r="AS23" i="6"/>
  <c r="AR23" i="6"/>
  <c r="AQ23" i="6"/>
  <c r="AP23" i="6"/>
  <c r="AO23" i="6"/>
  <c r="AN23" i="6"/>
  <c r="AM23" i="6"/>
  <c r="AL23" i="6"/>
  <c r="AK23" i="6"/>
  <c r="AJ23" i="6"/>
  <c r="AI23" i="6"/>
  <c r="AH23" i="6"/>
  <c r="AG23" i="6"/>
  <c r="AF23" i="6"/>
  <c r="AE23" i="6"/>
  <c r="AD23" i="6"/>
  <c r="AC23" i="6"/>
  <c r="AB23" i="6"/>
  <c r="AA23" i="6"/>
  <c r="Z23" i="6"/>
  <c r="Y23" i="6"/>
  <c r="X23" i="6"/>
  <c r="W23" i="6"/>
  <c r="V23" i="6"/>
  <c r="U23" i="6"/>
  <c r="T23" i="6"/>
  <c r="D23" i="6"/>
  <c r="BO22" i="6"/>
  <c r="BN22" i="6"/>
  <c r="BM22" i="6"/>
  <c r="BL22" i="6"/>
  <c r="BK22" i="6"/>
  <c r="BJ22" i="6"/>
  <c r="BI22" i="6"/>
  <c r="BH22" i="6"/>
  <c r="BG22" i="6"/>
  <c r="BF22" i="6"/>
  <c r="BE22" i="6"/>
  <c r="BD22" i="6"/>
  <c r="BC22" i="6"/>
  <c r="BB22" i="6"/>
  <c r="BA22" i="6"/>
  <c r="AZ22" i="6"/>
  <c r="AY22" i="6"/>
  <c r="AX22" i="6"/>
  <c r="AW22" i="6"/>
  <c r="AV22" i="6"/>
  <c r="AU22" i="6"/>
  <c r="AT22" i="6"/>
  <c r="AS22" i="6"/>
  <c r="AR22" i="6"/>
  <c r="AQ22" i="6"/>
  <c r="AP22" i="6"/>
  <c r="AO22" i="6"/>
  <c r="AN22" i="6"/>
  <c r="AM22" i="6"/>
  <c r="AL22" i="6"/>
  <c r="AK22" i="6"/>
  <c r="AJ22" i="6"/>
  <c r="AI22" i="6"/>
  <c r="AH22" i="6"/>
  <c r="AG22" i="6"/>
  <c r="AF22" i="6"/>
  <c r="AE22" i="6"/>
  <c r="AD22" i="6"/>
  <c r="AC22" i="6"/>
  <c r="AB22" i="6"/>
  <c r="AA22" i="6"/>
  <c r="Z22" i="6"/>
  <c r="Y22" i="6"/>
  <c r="X22" i="6"/>
  <c r="W22" i="6"/>
  <c r="V22" i="6"/>
  <c r="U22" i="6"/>
  <c r="T22" i="6"/>
  <c r="D22" i="6"/>
  <c r="B22" i="6"/>
  <c r="B164" i="6" s="1"/>
  <c r="BO21" i="6"/>
  <c r="BN21" i="6"/>
  <c r="BM21" i="6"/>
  <c r="BL21" i="6"/>
  <c r="BK21" i="6"/>
  <c r="BJ21" i="6"/>
  <c r="BI21" i="6"/>
  <c r="BH21" i="6"/>
  <c r="BG21" i="6"/>
  <c r="BF21" i="6"/>
  <c r="BE21" i="6"/>
  <c r="BD21" i="6"/>
  <c r="BC21" i="6"/>
  <c r="BB21" i="6"/>
  <c r="BA21" i="6"/>
  <c r="AZ21" i="6"/>
  <c r="AY21" i="6"/>
  <c r="AX21" i="6"/>
  <c r="AW21" i="6"/>
  <c r="AV21" i="6"/>
  <c r="AU21" i="6"/>
  <c r="AT21" i="6"/>
  <c r="AS21" i="6"/>
  <c r="AR21" i="6"/>
  <c r="AQ21" i="6"/>
  <c r="AP21" i="6"/>
  <c r="AO21" i="6"/>
  <c r="AN21" i="6"/>
  <c r="AM21" i="6"/>
  <c r="AL21" i="6"/>
  <c r="AK21" i="6"/>
  <c r="AJ21" i="6"/>
  <c r="AI21" i="6"/>
  <c r="AH21" i="6"/>
  <c r="AG21" i="6"/>
  <c r="AF21" i="6"/>
  <c r="AE21" i="6"/>
  <c r="AD21" i="6"/>
  <c r="AC21" i="6"/>
  <c r="AB21" i="6"/>
  <c r="AA21" i="6"/>
  <c r="Z21" i="6"/>
  <c r="I21" i="6" s="1"/>
  <c r="Y21" i="6"/>
  <c r="X21" i="6"/>
  <c r="W21" i="6"/>
  <c r="V21" i="6"/>
  <c r="U21" i="6"/>
  <c r="T21" i="6"/>
  <c r="D21" i="6"/>
  <c r="B21" i="6"/>
  <c r="B163" i="6" s="1"/>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J20" i="6"/>
  <c r="AI20" i="6"/>
  <c r="AH20" i="6"/>
  <c r="AG20" i="6"/>
  <c r="AF20" i="6"/>
  <c r="AE20" i="6"/>
  <c r="AD20" i="6"/>
  <c r="AC20" i="6"/>
  <c r="AB20" i="6"/>
  <c r="AA20" i="6"/>
  <c r="Z20" i="6"/>
  <c r="Y20" i="6"/>
  <c r="X20" i="6"/>
  <c r="W20" i="6"/>
  <c r="V20" i="6"/>
  <c r="U20" i="6"/>
  <c r="T20" i="6"/>
  <c r="D20" i="6"/>
  <c r="B20" i="6"/>
  <c r="B162" i="6" s="1"/>
  <c r="BO19" i="6"/>
  <c r="BN19" i="6"/>
  <c r="BM19" i="6"/>
  <c r="BL19" i="6"/>
  <c r="BK19" i="6"/>
  <c r="BJ19" i="6"/>
  <c r="BI19" i="6"/>
  <c r="BH19" i="6"/>
  <c r="BG19" i="6"/>
  <c r="BF19" i="6"/>
  <c r="BE19" i="6"/>
  <c r="BD19" i="6"/>
  <c r="BC19" i="6"/>
  <c r="BB19" i="6"/>
  <c r="BA19" i="6"/>
  <c r="AZ19" i="6"/>
  <c r="AY19" i="6"/>
  <c r="AX19" i="6"/>
  <c r="AW19" i="6"/>
  <c r="AV19" i="6"/>
  <c r="AU19" i="6"/>
  <c r="AT19" i="6"/>
  <c r="AS19" i="6"/>
  <c r="AR19" i="6"/>
  <c r="AQ19" i="6"/>
  <c r="AP19" i="6"/>
  <c r="AO19" i="6"/>
  <c r="AN19" i="6"/>
  <c r="AM19" i="6"/>
  <c r="AL19" i="6"/>
  <c r="AK19" i="6"/>
  <c r="AJ19" i="6"/>
  <c r="AI19" i="6"/>
  <c r="AH19" i="6"/>
  <c r="AG19" i="6"/>
  <c r="AF19" i="6"/>
  <c r="AE19" i="6"/>
  <c r="AD19" i="6"/>
  <c r="AC19" i="6"/>
  <c r="AB19" i="6"/>
  <c r="AA19" i="6"/>
  <c r="Z19" i="6"/>
  <c r="Y19" i="6"/>
  <c r="X19" i="6"/>
  <c r="W19" i="6"/>
  <c r="V19" i="6"/>
  <c r="U19" i="6"/>
  <c r="T19" i="6"/>
  <c r="D19" i="6"/>
  <c r="BO18" i="6"/>
  <c r="BN18" i="6"/>
  <c r="BM18" i="6"/>
  <c r="BL18" i="6"/>
  <c r="BK18" i="6"/>
  <c r="BJ18" i="6"/>
  <c r="BI18" i="6"/>
  <c r="BH18" i="6"/>
  <c r="BG18" i="6"/>
  <c r="BF18" i="6"/>
  <c r="BE18" i="6"/>
  <c r="BD18" i="6"/>
  <c r="BC18" i="6"/>
  <c r="BB18" i="6"/>
  <c r="BA18" i="6"/>
  <c r="AZ18" i="6"/>
  <c r="AY18" i="6"/>
  <c r="AX18" i="6"/>
  <c r="AW18" i="6"/>
  <c r="AV18" i="6"/>
  <c r="AU18" i="6"/>
  <c r="AT18" i="6"/>
  <c r="AS18" i="6"/>
  <c r="AR18" i="6"/>
  <c r="AQ18" i="6"/>
  <c r="AP18" i="6"/>
  <c r="AO18" i="6"/>
  <c r="AN18" i="6"/>
  <c r="AM18" i="6"/>
  <c r="AL18" i="6"/>
  <c r="AK18" i="6"/>
  <c r="AJ18" i="6"/>
  <c r="AI18" i="6"/>
  <c r="AH18" i="6"/>
  <c r="AG18" i="6"/>
  <c r="AF18" i="6"/>
  <c r="AE18" i="6"/>
  <c r="AD18" i="6"/>
  <c r="AC18" i="6"/>
  <c r="AB18" i="6"/>
  <c r="AA18" i="6"/>
  <c r="Z18" i="6"/>
  <c r="Y18" i="6"/>
  <c r="X18" i="6"/>
  <c r="W18" i="6"/>
  <c r="V18" i="6"/>
  <c r="U18" i="6"/>
  <c r="T18" i="6"/>
  <c r="D18" i="6"/>
  <c r="BL17" i="6"/>
  <c r="BJ17" i="6"/>
  <c r="BI17" i="6"/>
  <c r="BH17" i="6"/>
  <c r="BB17" i="6"/>
  <c r="AZ17" i="6"/>
  <c r="AV17" i="6"/>
  <c r="AT17" i="6"/>
  <c r="AS17" i="6"/>
  <c r="AR17" i="6"/>
  <c r="AL17" i="6"/>
  <c r="AJ17" i="6"/>
  <c r="AF17" i="6"/>
  <c r="AD17" i="6"/>
  <c r="AC17" i="6"/>
  <c r="AB17" i="6"/>
  <c r="V17" i="6"/>
  <c r="T17" i="6"/>
  <c r="D17" i="6"/>
  <c r="C17" i="6"/>
  <c r="BO16" i="6"/>
  <c r="BN16" i="6"/>
  <c r="BM16" i="6"/>
  <c r="BL16" i="6"/>
  <c r="BK16" i="6"/>
  <c r="BJ16" i="6"/>
  <c r="BI16" i="6"/>
  <c r="BH16" i="6"/>
  <c r="BG16" i="6"/>
  <c r="BF16" i="6"/>
  <c r="BE16" i="6"/>
  <c r="BD16" i="6"/>
  <c r="BC16" i="6"/>
  <c r="BB16" i="6"/>
  <c r="BA16" i="6"/>
  <c r="AZ16" i="6"/>
  <c r="AY16" i="6"/>
  <c r="AX16" i="6"/>
  <c r="AW16" i="6"/>
  <c r="AV16" i="6"/>
  <c r="AU16" i="6"/>
  <c r="AT16" i="6"/>
  <c r="AS16" i="6"/>
  <c r="AR16" i="6"/>
  <c r="AQ16" i="6"/>
  <c r="AP16" i="6"/>
  <c r="AO16" i="6"/>
  <c r="AN16" i="6"/>
  <c r="AM16" i="6"/>
  <c r="AL16" i="6"/>
  <c r="AK16" i="6"/>
  <c r="AJ16" i="6"/>
  <c r="AI16" i="6"/>
  <c r="AH16" i="6"/>
  <c r="AG16" i="6"/>
  <c r="AF16" i="6"/>
  <c r="AE16" i="6"/>
  <c r="AD16" i="6"/>
  <c r="AC16" i="6"/>
  <c r="AB16" i="6"/>
  <c r="AA16" i="6"/>
  <c r="Z16" i="6"/>
  <c r="Y16" i="6"/>
  <c r="X16" i="6"/>
  <c r="W16" i="6"/>
  <c r="V16" i="6"/>
  <c r="U16" i="6"/>
  <c r="T16" i="6"/>
  <c r="D16" i="6"/>
  <c r="C16" i="6"/>
  <c r="AS12" i="6"/>
  <c r="BE12" i="6" s="1"/>
  <c r="AF12" i="6"/>
  <c r="AR12" i="6" s="1"/>
  <c r="BD12" i="6" s="1"/>
  <c r="U12" i="6"/>
  <c r="AG12" i="6" s="1"/>
  <c r="U6" i="6"/>
  <c r="W5" i="6"/>
  <c r="X5" i="6" s="1"/>
  <c r="Y5" i="6" s="1"/>
  <c r="Z5" i="6" s="1"/>
  <c r="AA5" i="6" s="1"/>
  <c r="AB5" i="6" s="1"/>
  <c r="AC5" i="6" s="1"/>
  <c r="AD5" i="6" s="1"/>
  <c r="AE5" i="6" s="1"/>
  <c r="AF5" i="6" s="1"/>
  <c r="AG5" i="6" s="1"/>
  <c r="AH5" i="6" s="1"/>
  <c r="AI5" i="6" s="1"/>
  <c r="AJ5" i="6" s="1"/>
  <c r="AK5" i="6" s="1"/>
  <c r="AL5" i="6" s="1"/>
  <c r="AM5" i="6" s="1"/>
  <c r="AN5" i="6" s="1"/>
  <c r="AO5" i="6" s="1"/>
  <c r="AP5" i="6" s="1"/>
  <c r="AQ5" i="6" s="1"/>
  <c r="AR5" i="6" s="1"/>
  <c r="AS5" i="6" s="1"/>
  <c r="AT5" i="6" s="1"/>
  <c r="AU5" i="6" s="1"/>
  <c r="AV5" i="6" s="1"/>
  <c r="AW5" i="6" s="1"/>
  <c r="AX5" i="6" s="1"/>
  <c r="AY5" i="6" s="1"/>
  <c r="AZ5" i="6" s="1"/>
  <c r="BA5" i="6" s="1"/>
  <c r="BB5" i="6" s="1"/>
  <c r="BC5" i="6" s="1"/>
  <c r="BD5" i="6" s="1"/>
  <c r="BE5" i="6" s="1"/>
  <c r="BF5" i="6" s="1"/>
  <c r="BG5" i="6" s="1"/>
  <c r="BH5" i="6" s="1"/>
  <c r="BI5" i="6" s="1"/>
  <c r="BJ5" i="6" s="1"/>
  <c r="BK5" i="6" s="1"/>
  <c r="BL5" i="6" s="1"/>
  <c r="BM5" i="6" s="1"/>
  <c r="BN5" i="6" s="1"/>
  <c r="BO5" i="6" s="1"/>
  <c r="U5" i="6"/>
  <c r="V5" i="6" s="1"/>
  <c r="T4" i="6"/>
  <c r="T11" i="6" s="1"/>
  <c r="T8" i="6" s="1"/>
  <c r="B40" i="4"/>
  <c r="B39" i="4"/>
  <c r="D37" i="4"/>
  <c r="BK33" i="6" s="1"/>
  <c r="B34" i="4"/>
  <c r="B33" i="4"/>
  <c r="C32" i="4"/>
  <c r="F31" i="4"/>
  <c r="D27" i="6" s="1"/>
  <c r="C31" i="4"/>
  <c r="C29" i="4"/>
  <c r="C28" i="4"/>
  <c r="B26" i="4"/>
  <c r="B25" i="4"/>
  <c r="B20" i="4"/>
  <c r="B19" i="4"/>
  <c r="D18" i="4"/>
  <c r="BO17" i="6" s="1"/>
  <c r="C18" i="4"/>
  <c r="B18" i="4"/>
  <c r="C17" i="4"/>
  <c r="B17" i="4"/>
  <c r="B159" i="6" s="1"/>
  <c r="D14" i="4"/>
  <c r="D12" i="4" s="1"/>
  <c r="D9" i="4"/>
  <c r="B4" i="3" s="1"/>
  <c r="U47" i="6" l="1"/>
  <c r="T46" i="6"/>
  <c r="I28" i="6"/>
  <c r="X33" i="6"/>
  <c r="AQ33" i="6"/>
  <c r="BI33" i="6"/>
  <c r="I35" i="6"/>
  <c r="I58" i="7"/>
  <c r="T10" i="6"/>
  <c r="I20" i="6"/>
  <c r="V33" i="6"/>
  <c r="AN33" i="6"/>
  <c r="BG33" i="6"/>
  <c r="V12" i="6"/>
  <c r="W12" i="6" s="1"/>
  <c r="AC33" i="6"/>
  <c r="AU33" i="6"/>
  <c r="BM33" i="6"/>
  <c r="S58" i="7"/>
  <c r="U33" i="6"/>
  <c r="AM33" i="6"/>
  <c r="BE33" i="6"/>
  <c r="I26" i="6"/>
  <c r="AD33" i="6"/>
  <c r="AV33" i="6"/>
  <c r="BO33" i="6"/>
  <c r="U17" i="6"/>
  <c r="AK17" i="6"/>
  <c r="BA17" i="6"/>
  <c r="I18" i="6"/>
  <c r="AE186" i="6"/>
  <c r="AM186" i="6"/>
  <c r="AU186" i="6"/>
  <c r="BC186" i="6"/>
  <c r="BK186" i="6"/>
  <c r="AE33" i="6"/>
  <c r="AW33" i="6"/>
  <c r="I19" i="6"/>
  <c r="I23" i="6"/>
  <c r="X186" i="6"/>
  <c r="AF186" i="6"/>
  <c r="AN186" i="6"/>
  <c r="AV186" i="6"/>
  <c r="BD186" i="6"/>
  <c r="BL186" i="6"/>
  <c r="AG33" i="6"/>
  <c r="AZ33" i="6"/>
  <c r="I40" i="6"/>
  <c r="B16" i="6"/>
  <c r="X17" i="6"/>
  <c r="AN17" i="6"/>
  <c r="BD17" i="6"/>
  <c r="Y186" i="6"/>
  <c r="AG186" i="6"/>
  <c r="AO186" i="6"/>
  <c r="AW186" i="6"/>
  <c r="BE186" i="6"/>
  <c r="BM186" i="6"/>
  <c r="T33" i="6"/>
  <c r="I33" i="6" s="1"/>
  <c r="AL33" i="6"/>
  <c r="BD33" i="6"/>
  <c r="I39" i="6"/>
  <c r="D107" i="6"/>
  <c r="U107" i="6" s="1"/>
  <c r="T105" i="6"/>
  <c r="I34" i="6"/>
  <c r="I22" i="6"/>
  <c r="Z43" i="6"/>
  <c r="AB43" i="6" s="1"/>
  <c r="AD43" i="6" s="1"/>
  <c r="AF43" i="6" s="1"/>
  <c r="AH43" i="6" s="1"/>
  <c r="AJ43" i="6" s="1"/>
  <c r="AL43" i="6" s="1"/>
  <c r="AN43" i="6" s="1"/>
  <c r="AP43" i="6" s="1"/>
  <c r="AR43" i="6" s="1"/>
  <c r="AT43" i="6" s="1"/>
  <c r="AV43" i="6" s="1"/>
  <c r="AX43" i="6" s="1"/>
  <c r="AZ43" i="6" s="1"/>
  <c r="BB43" i="6" s="1"/>
  <c r="BD43" i="6" s="1"/>
  <c r="BF43" i="6" s="1"/>
  <c r="BH43" i="6" s="1"/>
  <c r="BJ43" i="6" s="1"/>
  <c r="BL43" i="6" s="1"/>
  <c r="BN43" i="6" s="1"/>
  <c r="V47" i="6"/>
  <c r="U46" i="6"/>
  <c r="W186" i="6"/>
  <c r="I25" i="6"/>
  <c r="B160" i="6"/>
  <c r="B17" i="6"/>
  <c r="I30" i="6"/>
  <c r="T7" i="7"/>
  <c r="D13" i="4"/>
  <c r="I16" i="6"/>
  <c r="T165" i="6"/>
  <c r="T161" i="6"/>
  <c r="T166" i="6"/>
  <c r="T160" i="6"/>
  <c r="T164" i="6"/>
  <c r="T168" i="6"/>
  <c r="T163" i="6"/>
  <c r="T162" i="6"/>
  <c r="T159" i="6"/>
  <c r="T167" i="6"/>
  <c r="T53" i="6"/>
  <c r="T52" i="6"/>
  <c r="B104" i="6"/>
  <c r="B103" i="6" s="1"/>
  <c r="B102" i="6" s="1"/>
  <c r="B101" i="6" s="1"/>
  <c r="B100" i="6" s="1"/>
  <c r="B99" i="6" s="1"/>
  <c r="B98" i="6" s="1"/>
  <c r="B97" i="6" s="1"/>
  <c r="B96" i="6" s="1"/>
  <c r="B95" i="6" s="1"/>
  <c r="B94" i="6" s="1"/>
  <c r="B93" i="6" s="1"/>
  <c r="B92" i="6" s="1"/>
  <c r="B91" i="6" s="1"/>
  <c r="B90" i="6" s="1"/>
  <c r="B89" i="6" s="1"/>
  <c r="B88" i="6" s="1"/>
  <c r="B87" i="6" s="1"/>
  <c r="B86" i="6" s="1"/>
  <c r="B85" i="6" s="1"/>
  <c r="B84" i="6" s="1"/>
  <c r="B83" i="6" s="1"/>
  <c r="B82" i="6" s="1"/>
  <c r="B81" i="6" s="1"/>
  <c r="B80" i="6" s="1"/>
  <c r="B79" i="6" s="1"/>
  <c r="B78" i="6" s="1"/>
  <c r="B77" i="6" s="1"/>
  <c r="B76" i="6" s="1"/>
  <c r="B75" i="6" s="1"/>
  <c r="B74" i="6" s="1"/>
  <c r="B73" i="6" s="1"/>
  <c r="B72" i="6" s="1"/>
  <c r="B71" i="6" s="1"/>
  <c r="B70" i="6" s="1"/>
  <c r="B69" i="6" s="1"/>
  <c r="B68" i="6" s="1"/>
  <c r="B67" i="6" s="1"/>
  <c r="B66" i="6" s="1"/>
  <c r="B65" i="6" s="1"/>
  <c r="B64" i="6" s="1"/>
  <c r="B63" i="6" s="1"/>
  <c r="B62" i="6" s="1"/>
  <c r="B61" i="6" s="1"/>
  <c r="B60" i="6" s="1"/>
  <c r="B59" i="6" s="1"/>
  <c r="B58" i="6" s="1"/>
  <c r="B57" i="6" s="1"/>
  <c r="B56" i="6" s="1"/>
  <c r="U4" i="6"/>
  <c r="U106" i="6"/>
  <c r="U41" i="6"/>
  <c r="U44" i="6" s="1"/>
  <c r="U104" i="6" s="1"/>
  <c r="V6" i="6"/>
  <c r="T7" i="6" a="1"/>
  <c r="T7" i="6" s="1"/>
  <c r="T9" i="6" s="1"/>
  <c r="I27" i="6"/>
  <c r="I36" i="6"/>
  <c r="W17" i="6"/>
  <c r="AE17" i="6"/>
  <c r="AM17" i="6"/>
  <c r="AU17" i="6"/>
  <c r="BC17" i="6"/>
  <c r="BK17" i="6"/>
  <c r="W33" i="6"/>
  <c r="AF33" i="6"/>
  <c r="AO33" i="6"/>
  <c r="AY33" i="6"/>
  <c r="BH33" i="6"/>
  <c r="AI186" i="6"/>
  <c r="AY186" i="6"/>
  <c r="Y17" i="6"/>
  <c r="AG17" i="6"/>
  <c r="AO17" i="6"/>
  <c r="AW17" i="6"/>
  <c r="BE17" i="6"/>
  <c r="BM17" i="6"/>
  <c r="T186" i="6"/>
  <c r="AB186" i="6"/>
  <c r="AJ186" i="6"/>
  <c r="AR186" i="6"/>
  <c r="AZ186" i="6"/>
  <c r="BH186" i="6"/>
  <c r="Y33" i="6"/>
  <c r="AI33" i="6"/>
  <c r="AR33" i="6"/>
  <c r="BA33" i="6"/>
  <c r="BJ33" i="6"/>
  <c r="I38" i="6"/>
  <c r="AA186" i="6"/>
  <c r="AQ186" i="6"/>
  <c r="BO186" i="6"/>
  <c r="Z17" i="6"/>
  <c r="AH17" i="6"/>
  <c r="AP17" i="6"/>
  <c r="AX17" i="6"/>
  <c r="BF17" i="6"/>
  <c r="BN17" i="6"/>
  <c r="AA33" i="6"/>
  <c r="AJ33" i="6"/>
  <c r="AS33" i="6"/>
  <c r="BB33" i="6"/>
  <c r="BG186" i="6"/>
  <c r="BN33" i="6"/>
  <c r="BF33" i="6"/>
  <c r="AX33" i="6"/>
  <c r="AP33" i="6"/>
  <c r="AH33" i="6"/>
  <c r="Z33" i="6"/>
  <c r="AA17" i="6"/>
  <c r="AI17" i="6"/>
  <c r="AQ17" i="6"/>
  <c r="AY17" i="6"/>
  <c r="BG17" i="6"/>
  <c r="V186" i="6"/>
  <c r="AD186" i="6"/>
  <c r="AL186" i="6"/>
  <c r="AT186" i="6"/>
  <c r="BB186" i="6"/>
  <c r="BJ186" i="6"/>
  <c r="AB33" i="6"/>
  <c r="AK33" i="6"/>
  <c r="AT33" i="6"/>
  <c r="BC33" i="6"/>
  <c r="BL33" i="6"/>
  <c r="U186" i="6"/>
  <c r="AC186" i="6"/>
  <c r="AK186" i="6"/>
  <c r="AS186" i="6"/>
  <c r="BA186" i="6"/>
  <c r="BI186" i="6"/>
  <c r="T103" i="6" a="1"/>
  <c r="T103" i="6" s="1"/>
  <c r="D102" i="6"/>
  <c r="D14" i="7"/>
  <c r="T56" i="7"/>
  <c r="S57" i="7"/>
  <c r="U57" i="7"/>
  <c r="V57" i="7" s="1"/>
  <c r="V6" i="7"/>
  <c r="AH12" i="6" l="1"/>
  <c r="AT12" i="6" s="1"/>
  <c r="BF12" i="6" s="1"/>
  <c r="I17" i="6"/>
  <c r="D108" i="6"/>
  <c r="V108" i="6" s="1"/>
  <c r="T107" i="6"/>
  <c r="T152" i="6"/>
  <c r="W47" i="6"/>
  <c r="V46" i="6"/>
  <c r="T104" i="6"/>
  <c r="I43" i="6"/>
  <c r="V107" i="6"/>
  <c r="V41" i="6"/>
  <c r="V44" i="6" s="1"/>
  <c r="V104" i="6" s="1"/>
  <c r="W6" i="6"/>
  <c r="S56" i="7"/>
  <c r="T55" i="7"/>
  <c r="U56" i="7"/>
  <c r="V56" i="7" s="1"/>
  <c r="W56" i="7" s="1"/>
  <c r="B12" i="7"/>
  <c r="U7" i="7"/>
  <c r="D101" i="6"/>
  <c r="T102" i="6" a="1"/>
  <c r="T102" i="6" s="1"/>
  <c r="AI12" i="6"/>
  <c r="AU12" i="6" s="1"/>
  <c r="BG12" i="6" s="1"/>
  <c r="X12" i="6"/>
  <c r="I57" i="7"/>
  <c r="D15" i="7"/>
  <c r="V4" i="7"/>
  <c r="W6" i="7"/>
  <c r="I186" i="6"/>
  <c r="U165" i="6"/>
  <c r="U164" i="6" s="1"/>
  <c r="U161" i="6"/>
  <c r="U160" i="6" s="1"/>
  <c r="U168" i="6"/>
  <c r="U167" i="6" s="1"/>
  <c r="B105" i="6"/>
  <c r="U53" i="6"/>
  <c r="U52" i="6"/>
  <c r="V105" i="6" s="1"/>
  <c r="U11" i="6"/>
  <c r="U8" i="6" s="1"/>
  <c r="U10" i="6"/>
  <c r="U7" i="6" a="1"/>
  <c r="U7" i="6" s="1"/>
  <c r="V4" i="6"/>
  <c r="U162" i="6" l="1"/>
  <c r="U166" i="6"/>
  <c r="V166" i="6" s="1"/>
  <c r="U163" i="6"/>
  <c r="U108" i="6"/>
  <c r="D109" i="6"/>
  <c r="W109" i="6" s="1"/>
  <c r="T108" i="6"/>
  <c r="U103" i="6" a="1"/>
  <c r="U103" i="6" s="1"/>
  <c r="V164" i="6"/>
  <c r="V168" i="6"/>
  <c r="V167" i="6"/>
  <c r="V165" i="6"/>
  <c r="V162" i="6" s="1"/>
  <c r="V161" i="6"/>
  <c r="V159" i="6"/>
  <c r="V163" i="6"/>
  <c r="B106" i="6"/>
  <c r="V53" i="6"/>
  <c r="V52" i="6"/>
  <c r="V7" i="6" a="1"/>
  <c r="V7" i="6" s="1"/>
  <c r="W4" i="6"/>
  <c r="V11" i="6"/>
  <c r="V8" i="6" s="1"/>
  <c r="V9" i="6" s="1"/>
  <c r="V10" i="6"/>
  <c r="I56" i="7"/>
  <c r="T154" i="6"/>
  <c r="U55" i="7"/>
  <c r="V55" i="7" s="1"/>
  <c r="W55" i="7" s="1"/>
  <c r="X55" i="7" s="1"/>
  <c r="S55" i="7"/>
  <c r="T54" i="7"/>
  <c r="I55" i="7"/>
  <c r="U159" i="6"/>
  <c r="D16" i="7"/>
  <c r="T101" i="6" a="1"/>
  <c r="T101" i="6" s="1"/>
  <c r="D100" i="6"/>
  <c r="W108" i="6"/>
  <c r="W41" i="6"/>
  <c r="W44" i="6" s="1"/>
  <c r="X6" i="6"/>
  <c r="W46" i="6"/>
  <c r="X47" i="6"/>
  <c r="U9" i="6"/>
  <c r="X6" i="7"/>
  <c r="W4" i="7"/>
  <c r="U152" i="6"/>
  <c r="U105" i="6"/>
  <c r="Y12" i="6"/>
  <c r="AJ12" i="6"/>
  <c r="AV12" i="6" s="1"/>
  <c r="BH12" i="6" s="1"/>
  <c r="V7" i="7"/>
  <c r="B13" i="7"/>
  <c r="U109" i="6" l="1"/>
  <c r="T109" i="6"/>
  <c r="D110" i="6"/>
  <c r="V109" i="6"/>
  <c r="X109" i="6"/>
  <c r="X110" i="6"/>
  <c r="X41" i="6"/>
  <c r="X44" i="6" s="1"/>
  <c r="W103" i="6" s="1" a="1"/>
  <c r="W103" i="6" s="1"/>
  <c r="Y6" i="6"/>
  <c r="T100" i="6" a="1"/>
  <c r="T100" i="6" s="1"/>
  <c r="D99" i="6"/>
  <c r="X46" i="6"/>
  <c r="Y47" i="6"/>
  <c r="T53" i="7"/>
  <c r="U54" i="7"/>
  <c r="V54" i="7" s="1"/>
  <c r="W54" i="7" s="1"/>
  <c r="X54" i="7" s="1"/>
  <c r="Y54" i="7" s="1"/>
  <c r="S54" i="7"/>
  <c r="D17" i="7"/>
  <c r="U154" i="6"/>
  <c r="V152" i="6"/>
  <c r="V106" i="6"/>
  <c r="V103" i="6" a="1"/>
  <c r="V103" i="6" s="1"/>
  <c r="U102" i="6" a="1"/>
  <c r="U102" i="6" s="1"/>
  <c r="W104" i="6"/>
  <c r="W166" i="6"/>
  <c r="W165" i="6"/>
  <c r="W164" i="6" s="1"/>
  <c r="W161" i="6"/>
  <c r="W168" i="6"/>
  <c r="W167" i="6" s="1"/>
  <c r="W159" i="6"/>
  <c r="B107" i="6"/>
  <c r="X4" i="6"/>
  <c r="W11" i="6"/>
  <c r="W8" i="6" s="1"/>
  <c r="W9" i="6" s="1"/>
  <c r="W53" i="6"/>
  <c r="W52" i="6" s="1"/>
  <c r="W10" i="6"/>
  <c r="W7" i="6" a="1"/>
  <c r="W7" i="6" s="1"/>
  <c r="W7" i="7"/>
  <c r="B14" i="7"/>
  <c r="Y6" i="7"/>
  <c r="X4" i="7"/>
  <c r="W105" i="6"/>
  <c r="W106" i="6"/>
  <c r="Z12" i="6"/>
  <c r="AK12" i="6"/>
  <c r="AW12" i="6" s="1"/>
  <c r="BI12" i="6" s="1"/>
  <c r="V160" i="6"/>
  <c r="V110" i="6" l="1"/>
  <c r="U110" i="6"/>
  <c r="W110" i="6"/>
  <c r="D111" i="6"/>
  <c r="T110" i="6"/>
  <c r="X168" i="6"/>
  <c r="X166" i="6" s="1"/>
  <c r="X165" i="6"/>
  <c r="X164" i="6" s="1"/>
  <c r="X161" i="6"/>
  <c r="X159" i="6" s="1"/>
  <c r="Y4" i="6"/>
  <c r="X53" i="6"/>
  <c r="X52" i="6" s="1"/>
  <c r="X11" i="6"/>
  <c r="X8" i="6" s="1"/>
  <c r="X10" i="6"/>
  <c r="X7" i="6" a="1"/>
  <c r="X7" i="6" s="1"/>
  <c r="B108" i="6"/>
  <c r="S53" i="7"/>
  <c r="T52" i="7"/>
  <c r="U53" i="7"/>
  <c r="V53" i="7" s="1"/>
  <c r="W53" i="7" s="1"/>
  <c r="X53" i="7" s="1"/>
  <c r="Y53" i="7" s="1"/>
  <c r="Z53" i="7" s="1"/>
  <c r="I54" i="7"/>
  <c r="V102" i="6" a="1"/>
  <c r="V102" i="6" s="1"/>
  <c r="U101" i="6" a="1"/>
  <c r="U101" i="6" s="1"/>
  <c r="W162" i="6"/>
  <c r="X162" i="6" s="1"/>
  <c r="W160" i="6"/>
  <c r="X160" i="6" s="1"/>
  <c r="X7" i="7"/>
  <c r="B15" i="7"/>
  <c r="D98" i="6"/>
  <c r="T99" i="6" a="1"/>
  <c r="T99" i="6" s="1"/>
  <c r="Z6" i="7"/>
  <c r="Y4" i="7"/>
  <c r="W152" i="6"/>
  <c r="W107" i="6"/>
  <c r="AA12" i="6"/>
  <c r="AL12" i="6"/>
  <c r="AX12" i="6" s="1"/>
  <c r="BJ12" i="6" s="1"/>
  <c r="Y46" i="6"/>
  <c r="Y107" i="6" s="1"/>
  <c r="Z47" i="6"/>
  <c r="Y111" i="6"/>
  <c r="Y106" i="6"/>
  <c r="Y110" i="6"/>
  <c r="Z6" i="6"/>
  <c r="Y41" i="6"/>
  <c r="X105" i="6"/>
  <c r="D18" i="7"/>
  <c r="X106" i="6"/>
  <c r="W163" i="6"/>
  <c r="X163" i="6" s="1"/>
  <c r="X104" i="6"/>
  <c r="V154" i="6"/>
  <c r="X107" i="6"/>
  <c r="X167" i="6" l="1"/>
  <c r="Y105" i="6"/>
  <c r="W111" i="6"/>
  <c r="U111" i="6"/>
  <c r="V111" i="6"/>
  <c r="D112" i="6"/>
  <c r="Z112" i="6" s="1"/>
  <c r="X111" i="6"/>
  <c r="T111" i="6"/>
  <c r="X152" i="6"/>
  <c r="X108" i="6"/>
  <c r="Y108" i="6"/>
  <c r="W154" i="6"/>
  <c r="X154" i="6" s="1"/>
  <c r="AM12" i="6"/>
  <c r="AY12" i="6" s="1"/>
  <c r="BK12" i="6" s="1"/>
  <c r="AB12" i="6"/>
  <c r="Y44" i="6"/>
  <c r="Z111" i="6"/>
  <c r="Z41" i="6"/>
  <c r="Z44" i="6" s="1"/>
  <c r="AA6" i="6"/>
  <c r="D97" i="6"/>
  <c r="T98" i="6" a="1"/>
  <c r="T98" i="6" s="1"/>
  <c r="X9" i="6"/>
  <c r="U52" i="7"/>
  <c r="V52" i="7" s="1"/>
  <c r="W52" i="7" s="1"/>
  <c r="X52" i="7" s="1"/>
  <c r="Y52" i="7" s="1"/>
  <c r="Z52" i="7" s="1"/>
  <c r="AA52" i="7" s="1"/>
  <c r="T51" i="7"/>
  <c r="S52" i="7"/>
  <c r="Z46" i="6"/>
  <c r="Z108" i="6" s="1"/>
  <c r="AA47" i="6"/>
  <c r="AA6" i="7"/>
  <c r="Z4" i="7"/>
  <c r="Y7" i="7"/>
  <c r="B16" i="7"/>
  <c r="Y168" i="6"/>
  <c r="Y167" i="6"/>
  <c r="Y165" i="6"/>
  <c r="Y163" i="6" s="1"/>
  <c r="Y166" i="6"/>
  <c r="Y160" i="6"/>
  <c r="Y161" i="6"/>
  <c r="Y159" i="6" s="1"/>
  <c r="Y53" i="6"/>
  <c r="Y52" i="6" s="1"/>
  <c r="Y11" i="6"/>
  <c r="Y8" i="6" s="1"/>
  <c r="Y10" i="6"/>
  <c r="Y7" i="6" a="1"/>
  <c r="Y7" i="6" s="1"/>
  <c r="Z4" i="6"/>
  <c r="B109" i="6"/>
  <c r="D19" i="7"/>
  <c r="I53" i="7"/>
  <c r="Y164" i="6" l="1"/>
  <c r="Z106" i="6"/>
  <c r="Z107" i="6"/>
  <c r="X112" i="6"/>
  <c r="Y112" i="6"/>
  <c r="T112" i="6"/>
  <c r="U112" i="6"/>
  <c r="V112" i="6"/>
  <c r="D113" i="6"/>
  <c r="W112" i="6"/>
  <c r="V100" i="6" a="1"/>
  <c r="V100" i="6" s="1"/>
  <c r="W101" i="6" a="1"/>
  <c r="W101" i="6" s="1"/>
  <c r="X102" i="6" a="1"/>
  <c r="X102" i="6" s="1"/>
  <c r="U99" i="6" a="1"/>
  <c r="U99" i="6" s="1"/>
  <c r="Y103" i="6" a="1"/>
  <c r="Y103" i="6" s="1"/>
  <c r="Z104" i="6"/>
  <c r="Y152" i="6"/>
  <c r="Y109" i="6"/>
  <c r="Z109" i="6"/>
  <c r="Z168" i="6"/>
  <c r="Z166" i="6"/>
  <c r="Z162" i="6"/>
  <c r="Z167" i="6"/>
  <c r="Z164" i="6"/>
  <c r="Z161" i="6"/>
  <c r="Z160" i="6" s="1"/>
  <c r="Z165" i="6"/>
  <c r="Z163" i="6" s="1"/>
  <c r="Z53" i="6"/>
  <c r="Z52" i="6" s="1"/>
  <c r="Z11" i="6"/>
  <c r="Z8" i="6" s="1"/>
  <c r="Z10" i="6"/>
  <c r="Z7" i="6" a="1"/>
  <c r="Z7" i="6" s="1"/>
  <c r="AA4" i="6"/>
  <c r="B110" i="6"/>
  <c r="V101" i="6" a="1"/>
  <c r="V101" i="6" s="1"/>
  <c r="W102" i="6" a="1"/>
  <c r="W102" i="6" s="1"/>
  <c r="U100" i="6" a="1"/>
  <c r="U100" i="6" s="1"/>
  <c r="X103" i="6" a="1"/>
  <c r="X103" i="6" s="1"/>
  <c r="Y104" i="6"/>
  <c r="S51" i="7"/>
  <c r="I51" i="7"/>
  <c r="U51" i="7"/>
  <c r="V51" i="7" s="1"/>
  <c r="W51" i="7" s="1"/>
  <c r="X51" i="7" s="1"/>
  <c r="Y51" i="7" s="1"/>
  <c r="Z51" i="7" s="1"/>
  <c r="AA51" i="7" s="1"/>
  <c r="AB51" i="7" s="1"/>
  <c r="T50" i="7"/>
  <c r="AA112" i="6"/>
  <c r="AA108" i="6"/>
  <c r="AA41" i="6"/>
  <c r="AA44" i="6" s="1"/>
  <c r="AB6" i="6"/>
  <c r="AN12" i="6"/>
  <c r="AZ12" i="6" s="1"/>
  <c r="BL12" i="6" s="1"/>
  <c r="AC12" i="6"/>
  <c r="Y162" i="6"/>
  <c r="Z7" i="7"/>
  <c r="B17" i="7"/>
  <c r="I52" i="7"/>
  <c r="Y9" i="6"/>
  <c r="AB6" i="7"/>
  <c r="AA4" i="7"/>
  <c r="Y154" i="6"/>
  <c r="T97" i="6" a="1"/>
  <c r="T97" i="6" s="1"/>
  <c r="D96" i="6"/>
  <c r="AA46" i="6"/>
  <c r="AA107" i="6" s="1"/>
  <c r="AB47" i="6"/>
  <c r="D20" i="7"/>
  <c r="Z105" i="6"/>
  <c r="AA105" i="6" l="1"/>
  <c r="AA106" i="6"/>
  <c r="Z9" i="6"/>
  <c r="Y113" i="6"/>
  <c r="D114" i="6"/>
  <c r="X113" i="6"/>
  <c r="Z113" i="6"/>
  <c r="T113" i="6"/>
  <c r="U113" i="6"/>
  <c r="V113" i="6"/>
  <c r="W113" i="6"/>
  <c r="AA113" i="6"/>
  <c r="Z152" i="6"/>
  <c r="Z110" i="6"/>
  <c r="AA110" i="6"/>
  <c r="D21" i="7"/>
  <c r="W100" i="6" a="1"/>
  <c r="W100" i="6" s="1"/>
  <c r="X101" i="6" a="1"/>
  <c r="X101" i="6" s="1"/>
  <c r="V99" i="6" a="1"/>
  <c r="V99" i="6" s="1"/>
  <c r="U98" i="6" a="1"/>
  <c r="U98" i="6" s="1"/>
  <c r="Y102" i="6" a="1"/>
  <c r="Y102" i="6" s="1"/>
  <c r="Z103" i="6" a="1"/>
  <c r="Z103" i="6" s="1"/>
  <c r="U50" i="7"/>
  <c r="V50" i="7" s="1"/>
  <c r="W50" i="7" s="1"/>
  <c r="X50" i="7" s="1"/>
  <c r="Y50" i="7" s="1"/>
  <c r="Z50" i="7" s="1"/>
  <c r="AA50" i="7" s="1"/>
  <c r="AB50" i="7" s="1"/>
  <c r="AC50" i="7" s="1"/>
  <c r="S50" i="7"/>
  <c r="T49" i="7"/>
  <c r="AB114" i="6"/>
  <c r="AB41" i="6"/>
  <c r="AB44" i="6" s="1"/>
  <c r="AB113" i="6"/>
  <c r="AC6" i="6"/>
  <c r="Z159" i="6"/>
  <c r="AA7" i="7"/>
  <c r="B18" i="7"/>
  <c r="AA104" i="6"/>
  <c r="AO12" i="6"/>
  <c r="BA12" i="6" s="1"/>
  <c r="BM12" i="6" s="1"/>
  <c r="AD12" i="6"/>
  <c r="Z154" i="6"/>
  <c r="AB4" i="7"/>
  <c r="AC6" i="7"/>
  <c r="AA168" i="6"/>
  <c r="AA166" i="6" s="1"/>
  <c r="AA165" i="6"/>
  <c r="AA162" i="6" s="1"/>
  <c r="AA164" i="6"/>
  <c r="AA161" i="6"/>
  <c r="AA160" i="6" s="1"/>
  <c r="AA52" i="6"/>
  <c r="AB111" i="6" s="1"/>
  <c r="AA11" i="6"/>
  <c r="AA8" i="6" s="1"/>
  <c r="AA9" i="6" s="1"/>
  <c r="AA10" i="6"/>
  <c r="AA7" i="6" a="1"/>
  <c r="AA7" i="6" s="1"/>
  <c r="AB4" i="6"/>
  <c r="AA53" i="6"/>
  <c r="B111" i="6"/>
  <c r="AB46" i="6"/>
  <c r="AB105" i="6" s="1"/>
  <c r="AC47" i="6"/>
  <c r="T96" i="6" a="1"/>
  <c r="T96" i="6" s="1"/>
  <c r="D95" i="6"/>
  <c r="AA109" i="6"/>
  <c r="AB110" i="6" l="1"/>
  <c r="AB107" i="6"/>
  <c r="AB106" i="6"/>
  <c r="AA159" i="6"/>
  <c r="I50" i="7"/>
  <c r="Z114" i="6"/>
  <c r="T114" i="6"/>
  <c r="U114" i="6"/>
  <c r="W114" i="6"/>
  <c r="X114" i="6"/>
  <c r="AA114" i="6"/>
  <c r="V114" i="6"/>
  <c r="Y114" i="6"/>
  <c r="D115" i="6"/>
  <c r="W99" i="6" a="1"/>
  <c r="W99" i="6" s="1"/>
  <c r="X100" i="6" a="1"/>
  <c r="X100" i="6" s="1"/>
  <c r="Y101" i="6" a="1"/>
  <c r="Y101" i="6" s="1"/>
  <c r="V98" i="6" a="1"/>
  <c r="V98" i="6" s="1"/>
  <c r="U97" i="6" a="1"/>
  <c r="U97" i="6" s="1"/>
  <c r="Z102" i="6" a="1"/>
  <c r="Z102" i="6" s="1"/>
  <c r="AB104" i="6"/>
  <c r="AA103" i="6" a="1"/>
  <c r="AA103" i="6" s="1"/>
  <c r="D94" i="6"/>
  <c r="T95" i="6" a="1"/>
  <c r="T95" i="6" s="1"/>
  <c r="D22" i="7"/>
  <c r="AC46" i="6"/>
  <c r="AC111" i="6" s="1"/>
  <c r="AD47" i="6"/>
  <c r="AB7" i="7"/>
  <c r="B19" i="7"/>
  <c r="AA167" i="6"/>
  <c r="AA163" i="6"/>
  <c r="AP12" i="6"/>
  <c r="BB12" i="6" s="1"/>
  <c r="BN12" i="6" s="1"/>
  <c r="AE12" i="6"/>
  <c r="AQ12" i="6" s="1"/>
  <c r="BC12" i="6" s="1"/>
  <c r="BO12" i="6" s="1"/>
  <c r="AC114" i="6"/>
  <c r="AC110" i="6"/>
  <c r="AC107" i="6"/>
  <c r="AC105" i="6"/>
  <c r="AC115" i="6"/>
  <c r="AC106" i="6"/>
  <c r="AC109" i="6"/>
  <c r="AC108" i="6"/>
  <c r="AC41" i="6"/>
  <c r="AC44" i="6" s="1"/>
  <c r="AC104" i="6" s="1"/>
  <c r="AD6" i="6"/>
  <c r="AA152" i="6"/>
  <c r="AA154" i="6" s="1"/>
  <c r="AA111" i="6"/>
  <c r="I49" i="7"/>
  <c r="T48" i="7"/>
  <c r="U49" i="7"/>
  <c r="V49" i="7" s="1"/>
  <c r="W49" i="7" s="1"/>
  <c r="X49" i="7" s="1"/>
  <c r="Y49" i="7" s="1"/>
  <c r="Z49" i="7" s="1"/>
  <c r="AA49" i="7" s="1"/>
  <c r="AB49" i="7" s="1"/>
  <c r="AC49" i="7" s="1"/>
  <c r="AD49" i="7" s="1"/>
  <c r="S49" i="7"/>
  <c r="AC4" i="7"/>
  <c r="AD6" i="7"/>
  <c r="AB109" i="6"/>
  <c r="AB168" i="6"/>
  <c r="AB166" i="6" s="1"/>
  <c r="AB165" i="6"/>
  <c r="AB163" i="6" s="1"/>
  <c r="AB161" i="6"/>
  <c r="AB160" i="6" s="1"/>
  <c r="AB53" i="6"/>
  <c r="AB52" i="6"/>
  <c r="AC4" i="6"/>
  <c r="AB7" i="6" a="1"/>
  <c r="AB7" i="6" s="1"/>
  <c r="AB10" i="6"/>
  <c r="AB11" i="6"/>
  <c r="AB8" i="6" s="1"/>
  <c r="AB9" i="6" s="1"/>
  <c r="B112" i="6"/>
  <c r="AB108" i="6"/>
  <c r="AB167" i="6" l="1"/>
  <c r="AB162" i="6"/>
  <c r="AA115" i="6"/>
  <c r="V115" i="6"/>
  <c r="Z115" i="6"/>
  <c r="D116" i="6"/>
  <c r="AD116" i="6" s="1"/>
  <c r="AB115" i="6"/>
  <c r="W115" i="6"/>
  <c r="Y115" i="6"/>
  <c r="X115" i="6"/>
  <c r="T115" i="6"/>
  <c r="U115" i="6"/>
  <c r="AB154" i="6"/>
  <c r="T94" i="6" a="1"/>
  <c r="T94" i="6" s="1"/>
  <c r="D93" i="6"/>
  <c r="AB159" i="6"/>
  <c r="AC159" i="6" s="1"/>
  <c r="AB164" i="6"/>
  <c r="D23" i="7"/>
  <c r="AC7" i="7"/>
  <c r="B20" i="7"/>
  <c r="U48" i="7"/>
  <c r="V48" i="7" s="1"/>
  <c r="W48" i="7" s="1"/>
  <c r="X48" i="7" s="1"/>
  <c r="Y48" i="7" s="1"/>
  <c r="Z48" i="7" s="1"/>
  <c r="AA48" i="7" s="1"/>
  <c r="AB48" i="7" s="1"/>
  <c r="AC48" i="7" s="1"/>
  <c r="AD48" i="7" s="1"/>
  <c r="AE48" i="7" s="1"/>
  <c r="I48" i="7"/>
  <c r="S48" i="7"/>
  <c r="T47" i="7"/>
  <c r="AC165" i="6"/>
  <c r="AC163" i="6" s="1"/>
  <c r="AC168" i="6"/>
  <c r="AC166" i="6" s="1"/>
  <c r="AC161" i="6"/>
  <c r="AC160" i="6"/>
  <c r="AC162" i="6"/>
  <c r="AC53" i="6"/>
  <c r="AC52" i="6"/>
  <c r="AC10" i="6"/>
  <c r="AD4" i="6"/>
  <c r="AC11" i="6"/>
  <c r="AC8" i="6" s="1"/>
  <c r="AC7" i="6" a="1"/>
  <c r="AC7" i="6" s="1"/>
  <c r="B113" i="6"/>
  <c r="AD4" i="7"/>
  <c r="AE6" i="7"/>
  <c r="AE47" i="6"/>
  <c r="AD46" i="6"/>
  <c r="AD107" i="6" s="1"/>
  <c r="AB152" i="6"/>
  <c r="AB112" i="6"/>
  <c r="AD115" i="6"/>
  <c r="AD41" i="6"/>
  <c r="AD44" i="6" s="1"/>
  <c r="AE6" i="6"/>
  <c r="X99" i="6" a="1"/>
  <c r="X99" i="6" s="1"/>
  <c r="Y100" i="6" a="1"/>
  <c r="Y100" i="6" s="1"/>
  <c r="W98" i="6" a="1"/>
  <c r="W98" i="6" s="1"/>
  <c r="Z101" i="6" a="1"/>
  <c r="Z101" i="6" s="1"/>
  <c r="V97" i="6" a="1"/>
  <c r="V97" i="6" s="1"/>
  <c r="U96" i="6" a="1"/>
  <c r="U96" i="6" s="1"/>
  <c r="AB103" i="6" a="1"/>
  <c r="AB103" i="6" s="1"/>
  <c r="AA102" i="6" a="1"/>
  <c r="AA102" i="6" s="1"/>
  <c r="AC112" i="6"/>
  <c r="AD113" i="6" l="1"/>
  <c r="AD108" i="6"/>
  <c r="AC9" i="6"/>
  <c r="AC164" i="6"/>
  <c r="X116" i="6"/>
  <c r="Y116" i="6"/>
  <c r="T116" i="6"/>
  <c r="AC116" i="6"/>
  <c r="Z116" i="6"/>
  <c r="D117" i="6"/>
  <c r="U116" i="6"/>
  <c r="AA116" i="6"/>
  <c r="V116" i="6"/>
  <c r="AB116" i="6"/>
  <c r="W116" i="6"/>
  <c r="AE116" i="6"/>
  <c r="AE117" i="6"/>
  <c r="AF6" i="6"/>
  <c r="AE41" i="6"/>
  <c r="AE44" i="6" s="1"/>
  <c r="AD111" i="6"/>
  <c r="AD110" i="6"/>
  <c r="AE46" i="6"/>
  <c r="AF47" i="6"/>
  <c r="AC167" i="6"/>
  <c r="AD167" i="6" s="1"/>
  <c r="T93" i="6" a="1"/>
  <c r="T93" i="6" s="1"/>
  <c r="D92" i="6"/>
  <c r="AD112" i="6"/>
  <c r="Y99" i="6" a="1"/>
  <c r="Y99" i="6" s="1"/>
  <c r="X98" i="6" a="1"/>
  <c r="X98" i="6" s="1"/>
  <c r="W97" i="6" a="1"/>
  <c r="W97" i="6" s="1"/>
  <c r="Z100" i="6" a="1"/>
  <c r="Z100" i="6" s="1"/>
  <c r="V96" i="6" a="1"/>
  <c r="V96" i="6" s="1"/>
  <c r="AA101" i="6" a="1"/>
  <c r="AA101" i="6" s="1"/>
  <c r="AC103" i="6" a="1"/>
  <c r="AC103" i="6" s="1"/>
  <c r="AB102" i="6" a="1"/>
  <c r="AB102" i="6" s="1"/>
  <c r="U95" i="6" a="1"/>
  <c r="U95" i="6" s="1"/>
  <c r="AD109" i="6"/>
  <c r="AD7" i="7"/>
  <c r="B21" i="7"/>
  <c r="S47" i="7"/>
  <c r="T46" i="7"/>
  <c r="U47" i="7"/>
  <c r="V47" i="7" s="1"/>
  <c r="W47" i="7" s="1"/>
  <c r="X47" i="7" s="1"/>
  <c r="Y47" i="7" s="1"/>
  <c r="Z47" i="7" s="1"/>
  <c r="AA47" i="7" s="1"/>
  <c r="AB47" i="7" s="1"/>
  <c r="AC47" i="7" s="1"/>
  <c r="AD47" i="7" s="1"/>
  <c r="AE47" i="7" s="1"/>
  <c r="AF47" i="7" s="1"/>
  <c r="D24" i="7"/>
  <c r="AD104" i="6"/>
  <c r="AD106" i="6"/>
  <c r="AF6" i="7"/>
  <c r="AE4" i="7"/>
  <c r="AC152" i="6"/>
  <c r="AC154" i="6" s="1"/>
  <c r="AC113" i="6"/>
  <c r="AD164" i="6"/>
  <c r="AD165" i="6"/>
  <c r="AD163" i="6"/>
  <c r="AD162" i="6"/>
  <c r="AD168" i="6"/>
  <c r="AD166" i="6" s="1"/>
  <c r="AD161" i="6"/>
  <c r="AD160" i="6" s="1"/>
  <c r="AD53" i="6"/>
  <c r="AD52" i="6" s="1"/>
  <c r="AD7" i="6" a="1"/>
  <c r="AD7" i="6" s="1"/>
  <c r="AE4" i="6"/>
  <c r="AD11" i="6"/>
  <c r="AD8" i="6" s="1"/>
  <c r="AD9" i="6" s="1"/>
  <c r="AD10" i="6"/>
  <c r="B114" i="6"/>
  <c r="AD105" i="6"/>
  <c r="AE104" i="6" l="1"/>
  <c r="AC117" i="6"/>
  <c r="V117" i="6"/>
  <c r="Y117" i="6"/>
  <c r="Z117" i="6"/>
  <c r="AB117" i="6"/>
  <c r="W117" i="6"/>
  <c r="X117" i="6"/>
  <c r="AD117" i="6"/>
  <c r="D118" i="6"/>
  <c r="AA117" i="6"/>
  <c r="T117" i="6"/>
  <c r="U117" i="6"/>
  <c r="AF46" i="6"/>
  <c r="AF111" i="6" s="1"/>
  <c r="AG47" i="6"/>
  <c r="AE109" i="6"/>
  <c r="AE106" i="6"/>
  <c r="AD103" i="6" a="1"/>
  <c r="AD103" i="6" s="1"/>
  <c r="AE114" i="6"/>
  <c r="I47" i="7"/>
  <c r="AE108" i="6"/>
  <c r="Y98" i="6" a="1"/>
  <c r="Y98" i="6" s="1"/>
  <c r="Z99" i="6" a="1"/>
  <c r="Z99" i="6" s="1"/>
  <c r="X97" i="6" a="1"/>
  <c r="X97" i="6" s="1"/>
  <c r="AA100" i="6" a="1"/>
  <c r="AA100" i="6" s="1"/>
  <c r="W96" i="6" a="1"/>
  <c r="W96" i="6" s="1"/>
  <c r="AB101" i="6" a="1"/>
  <c r="AB101" i="6" s="1"/>
  <c r="V95" i="6" a="1"/>
  <c r="V95" i="6" s="1"/>
  <c r="AC102" i="6" a="1"/>
  <c r="AC102" i="6" s="1"/>
  <c r="U94" i="6" a="1"/>
  <c r="U94" i="6" s="1"/>
  <c r="AD159" i="6"/>
  <c r="AE159" i="6" s="1"/>
  <c r="AF118" i="6"/>
  <c r="AF117" i="6"/>
  <c r="AG6" i="6"/>
  <c r="AF41" i="6"/>
  <c r="AF44" i="6"/>
  <c r="AE103" i="6" s="1" a="1"/>
  <c r="AE103" i="6" s="1"/>
  <c r="AE112" i="6"/>
  <c r="AD152" i="6"/>
  <c r="AD114" i="6"/>
  <c r="AG6" i="7"/>
  <c r="AF4" i="7"/>
  <c r="AE105" i="6"/>
  <c r="AE111" i="6"/>
  <c r="AD154" i="6"/>
  <c r="AE110" i="6"/>
  <c r="AE167" i="6"/>
  <c r="AE161" i="6"/>
  <c r="AE160" i="6" s="1"/>
  <c r="AE168" i="6"/>
  <c r="AE166" i="6" s="1"/>
  <c r="AE165" i="6"/>
  <c r="AE163" i="6" s="1"/>
  <c r="AE164" i="6"/>
  <c r="AE52" i="6"/>
  <c r="AF4" i="6"/>
  <c r="AE10" i="6"/>
  <c r="AE11" i="6"/>
  <c r="AE8" i="6" s="1"/>
  <c r="AE53" i="6"/>
  <c r="AE7" i="6" a="1"/>
  <c r="AE7" i="6" s="1"/>
  <c r="B115" i="6"/>
  <c r="AE113" i="6"/>
  <c r="D25" i="7"/>
  <c r="S46" i="7"/>
  <c r="T45" i="7"/>
  <c r="U46" i="7"/>
  <c r="V46" i="7" s="1"/>
  <c r="W46" i="7" s="1"/>
  <c r="X46" i="7" s="1"/>
  <c r="Y46" i="7" s="1"/>
  <c r="Z46" i="7" s="1"/>
  <c r="AA46" i="7" s="1"/>
  <c r="AB46" i="7" s="1"/>
  <c r="AC46" i="7" s="1"/>
  <c r="AD46" i="7" s="1"/>
  <c r="AE46" i="7" s="1"/>
  <c r="AF46" i="7" s="1"/>
  <c r="AG46" i="7" s="1"/>
  <c r="AE7" i="7"/>
  <c r="B22" i="7"/>
  <c r="T92" i="6" a="1"/>
  <c r="T92" i="6" s="1"/>
  <c r="D91" i="6"/>
  <c r="AE107" i="6"/>
  <c r="AF114" i="6" l="1"/>
  <c r="AE162" i="6"/>
  <c r="AF108" i="6"/>
  <c r="AD118" i="6"/>
  <c r="U118" i="6"/>
  <c r="AC118" i="6"/>
  <c r="V118" i="6"/>
  <c r="W118" i="6"/>
  <c r="AE118" i="6"/>
  <c r="D119" i="6"/>
  <c r="AA118" i="6"/>
  <c r="Z118" i="6"/>
  <c r="X118" i="6"/>
  <c r="Y118" i="6"/>
  <c r="T118" i="6"/>
  <c r="AB118" i="6"/>
  <c r="U45" i="7"/>
  <c r="V45" i="7" s="1"/>
  <c r="W45" i="7" s="1"/>
  <c r="X45" i="7" s="1"/>
  <c r="Y45" i="7" s="1"/>
  <c r="Z45" i="7" s="1"/>
  <c r="AA45" i="7" s="1"/>
  <c r="AB45" i="7" s="1"/>
  <c r="AC45" i="7" s="1"/>
  <c r="AD45" i="7" s="1"/>
  <c r="AE45" i="7" s="1"/>
  <c r="AF45" i="7" s="1"/>
  <c r="AG45" i="7" s="1"/>
  <c r="AH45" i="7" s="1"/>
  <c r="S45" i="7"/>
  <c r="T44" i="7"/>
  <c r="I45" i="7"/>
  <c r="AF113" i="6"/>
  <c r="I46" i="7"/>
  <c r="D26" i="7"/>
  <c r="AE152" i="6"/>
  <c r="AE115" i="6"/>
  <c r="AF115" i="6"/>
  <c r="AF107" i="6"/>
  <c r="AF112" i="6"/>
  <c r="AH6" i="7"/>
  <c r="AG4" i="7"/>
  <c r="AG118" i="6"/>
  <c r="AH6" i="6"/>
  <c r="AG41" i="6"/>
  <c r="AG44" i="6"/>
  <c r="AF109" i="6"/>
  <c r="AE154" i="6"/>
  <c r="AF110" i="6"/>
  <c r="Z98" i="6" a="1"/>
  <c r="Z98" i="6" s="1"/>
  <c r="Y97" i="6" a="1"/>
  <c r="Y97" i="6" s="1"/>
  <c r="X96" i="6" a="1"/>
  <c r="X96" i="6" s="1"/>
  <c r="AA99" i="6" a="1"/>
  <c r="AA99" i="6" s="1"/>
  <c r="AC101" i="6" a="1"/>
  <c r="AC101" i="6" s="1"/>
  <c r="AB100" i="6" a="1"/>
  <c r="AB100" i="6" s="1"/>
  <c r="W95" i="6" a="1"/>
  <c r="W95" i="6" s="1"/>
  <c r="V94" i="6" a="1"/>
  <c r="V94" i="6" s="1"/>
  <c r="AD102" i="6" a="1"/>
  <c r="AD102" i="6" s="1"/>
  <c r="U93" i="6" a="1"/>
  <c r="U93" i="6" s="1"/>
  <c r="AF163" i="6"/>
  <c r="AF166" i="6"/>
  <c r="AF162" i="6"/>
  <c r="AF164" i="6"/>
  <c r="AF167" i="6"/>
  <c r="AF161" i="6"/>
  <c r="AF159" i="6" s="1"/>
  <c r="AF168" i="6"/>
  <c r="AF165" i="6"/>
  <c r="AG4" i="6"/>
  <c r="AF11" i="6"/>
  <c r="AF8" i="6" s="1"/>
  <c r="AF10" i="6"/>
  <c r="AF53" i="6"/>
  <c r="AF52" i="6" s="1"/>
  <c r="AF7" i="6" a="1"/>
  <c r="AF7" i="6" s="1"/>
  <c r="B116" i="6"/>
  <c r="AF104" i="6"/>
  <c r="T91" i="6" a="1"/>
  <c r="T91" i="6" s="1"/>
  <c r="D90" i="6"/>
  <c r="AF105" i="6"/>
  <c r="AF7" i="7"/>
  <c r="B23" i="7"/>
  <c r="AE9" i="6"/>
  <c r="AF106" i="6"/>
  <c r="AG46" i="6"/>
  <c r="AG105" i="6" s="1"/>
  <c r="AH47" i="6"/>
  <c r="AG109" i="6" l="1"/>
  <c r="AG111" i="6"/>
  <c r="AG104" i="6"/>
  <c r="AF9" i="6"/>
  <c r="AE119" i="6"/>
  <c r="T119" i="6"/>
  <c r="AB119" i="6"/>
  <c r="D120" i="6"/>
  <c r="U119" i="6"/>
  <c r="AC119" i="6"/>
  <c r="V119" i="6"/>
  <c r="AD119" i="6"/>
  <c r="Z119" i="6"/>
  <c r="W119" i="6"/>
  <c r="X119" i="6"/>
  <c r="Y119" i="6"/>
  <c r="AF119" i="6"/>
  <c r="AA119" i="6"/>
  <c r="AG119" i="6"/>
  <c r="AF160" i="6"/>
  <c r="AG112" i="6"/>
  <c r="AI6" i="7"/>
  <c r="AH4" i="7"/>
  <c r="U44" i="7"/>
  <c r="V44" i="7" s="1"/>
  <c r="W44" i="7" s="1"/>
  <c r="X44" i="7" s="1"/>
  <c r="Y44" i="7" s="1"/>
  <c r="Z44" i="7" s="1"/>
  <c r="AA44" i="7" s="1"/>
  <c r="AB44" i="7" s="1"/>
  <c r="AC44" i="7" s="1"/>
  <c r="AD44" i="7" s="1"/>
  <c r="AE44" i="7" s="1"/>
  <c r="AF44" i="7" s="1"/>
  <c r="AG44" i="7" s="1"/>
  <c r="AH44" i="7" s="1"/>
  <c r="AI44" i="7" s="1"/>
  <c r="T43" i="7"/>
  <c r="S44" i="7"/>
  <c r="Z97" i="6" a="1"/>
  <c r="Z97" i="6" s="1"/>
  <c r="AA98" i="6" a="1"/>
  <c r="AA98" i="6" s="1"/>
  <c r="Y96" i="6" a="1"/>
  <c r="Y96" i="6" s="1"/>
  <c r="AB99" i="6" a="1"/>
  <c r="AB99" i="6" s="1"/>
  <c r="X95" i="6" a="1"/>
  <c r="X95" i="6" s="1"/>
  <c r="AC100" i="6" a="1"/>
  <c r="AC100" i="6" s="1"/>
  <c r="W94" i="6" a="1"/>
  <c r="W94" i="6" s="1"/>
  <c r="AD101" i="6" a="1"/>
  <c r="AD101" i="6" s="1"/>
  <c r="V93" i="6" a="1"/>
  <c r="V93" i="6" s="1"/>
  <c r="U92" i="6" a="1"/>
  <c r="U92" i="6" s="1"/>
  <c r="AE102" i="6" a="1"/>
  <c r="AE102" i="6" s="1"/>
  <c r="AG7" i="7"/>
  <c r="B24" i="7"/>
  <c r="D89" i="6"/>
  <c r="T90" i="6" a="1"/>
  <c r="T90" i="6" s="1"/>
  <c r="AG168" i="6"/>
  <c r="AG167" i="6" s="1"/>
  <c r="AG161" i="6"/>
  <c r="AG160" i="6" s="1"/>
  <c r="AG165" i="6"/>
  <c r="AG162" i="6" s="1"/>
  <c r="AG11" i="6"/>
  <c r="AG8" i="6" s="1"/>
  <c r="AG10" i="6"/>
  <c r="AG53" i="6"/>
  <c r="AG52" i="6" s="1"/>
  <c r="AG7" i="6" a="1"/>
  <c r="AG7" i="6" s="1"/>
  <c r="AH4" i="6"/>
  <c r="B117" i="6"/>
  <c r="AG115" i="6"/>
  <c r="AG113" i="6"/>
  <c r="AG107" i="6"/>
  <c r="AF103" i="6" a="1"/>
  <c r="AF103" i="6" s="1"/>
  <c r="D27" i="7"/>
  <c r="AH46" i="6"/>
  <c r="AH111" i="6" s="1"/>
  <c r="AI47" i="6"/>
  <c r="AG106" i="6"/>
  <c r="AF152" i="6"/>
  <c r="AF154" i="6" s="1"/>
  <c r="AF116" i="6"/>
  <c r="AG108" i="6"/>
  <c r="AH119" i="6"/>
  <c r="AH120" i="6"/>
  <c r="AH112" i="6"/>
  <c r="AH41" i="6"/>
  <c r="AH44" i="6" s="1"/>
  <c r="AI6" i="6"/>
  <c r="AG114" i="6"/>
  <c r="AG110" i="6"/>
  <c r="AG116" i="6"/>
  <c r="AH116" i="6" l="1"/>
  <c r="AF120" i="6"/>
  <c r="V120" i="6"/>
  <c r="AD120" i="6"/>
  <c r="Y120" i="6"/>
  <c r="D121" i="6"/>
  <c r="W120" i="6"/>
  <c r="AE120" i="6"/>
  <c r="X120" i="6"/>
  <c r="T120" i="6"/>
  <c r="AG120" i="6"/>
  <c r="AA120" i="6"/>
  <c r="AB120" i="6"/>
  <c r="U120" i="6"/>
  <c r="AC120" i="6"/>
  <c r="Z120" i="6"/>
  <c r="AG152" i="6"/>
  <c r="AG117" i="6"/>
  <c r="AH117" i="6"/>
  <c r="AI4" i="7"/>
  <c r="AJ6" i="7"/>
  <c r="AI46" i="6"/>
  <c r="AI109" i="6" s="1"/>
  <c r="AJ47" i="6"/>
  <c r="AH114" i="6"/>
  <c r="AG9" i="6"/>
  <c r="AG159" i="6"/>
  <c r="T42" i="7"/>
  <c r="U43" i="7"/>
  <c r="V43" i="7" s="1"/>
  <c r="W43" i="7" s="1"/>
  <c r="X43" i="7" s="1"/>
  <c r="Y43" i="7" s="1"/>
  <c r="Z43" i="7" s="1"/>
  <c r="AA43" i="7" s="1"/>
  <c r="AB43" i="7" s="1"/>
  <c r="AC43" i="7" s="1"/>
  <c r="AD43" i="7" s="1"/>
  <c r="AE43" i="7" s="1"/>
  <c r="AF43" i="7" s="1"/>
  <c r="AG43" i="7" s="1"/>
  <c r="AH43" i="7" s="1"/>
  <c r="AI43" i="7" s="1"/>
  <c r="AJ43" i="7" s="1"/>
  <c r="S43" i="7"/>
  <c r="AG164" i="6"/>
  <c r="AA97" i="6" a="1"/>
  <c r="AA97" i="6" s="1"/>
  <c r="AB98" i="6" a="1"/>
  <c r="AB98" i="6" s="1"/>
  <c r="Z96" i="6" a="1"/>
  <c r="Z96" i="6" s="1"/>
  <c r="AC99" i="6" a="1"/>
  <c r="AC99" i="6" s="1"/>
  <c r="Y95" i="6" a="1"/>
  <c r="Y95" i="6" s="1"/>
  <c r="X94" i="6" a="1"/>
  <c r="X94" i="6" s="1"/>
  <c r="AD100" i="6" a="1"/>
  <c r="AD100" i="6" s="1"/>
  <c r="W93" i="6" a="1"/>
  <c r="W93" i="6" s="1"/>
  <c r="AE101" i="6" a="1"/>
  <c r="AE101" i="6" s="1"/>
  <c r="V92" i="6" a="1"/>
  <c r="V92" i="6" s="1"/>
  <c r="AF102" i="6" a="1"/>
  <c r="AF102" i="6" s="1"/>
  <c r="AG103" i="6" a="1"/>
  <c r="AG103" i="6" s="1"/>
  <c r="U91" i="6" a="1"/>
  <c r="U91" i="6" s="1"/>
  <c r="AH104" i="6"/>
  <c r="AH105" i="6"/>
  <c r="AG154" i="6"/>
  <c r="D28" i="7"/>
  <c r="AI121" i="6"/>
  <c r="AI120" i="6"/>
  <c r="AI107" i="6"/>
  <c r="AI114" i="6"/>
  <c r="AI116" i="6"/>
  <c r="AJ6" i="6"/>
  <c r="AI41" i="6"/>
  <c r="AI44" i="6" s="1"/>
  <c r="AH113" i="6"/>
  <c r="AG163" i="6"/>
  <c r="I44" i="7"/>
  <c r="AH110" i="6"/>
  <c r="D88" i="6"/>
  <c r="T89" i="6" a="1"/>
  <c r="T89" i="6" s="1"/>
  <c r="AH107" i="6"/>
  <c r="AH108" i="6"/>
  <c r="AH115" i="6"/>
  <c r="AH168" i="6"/>
  <c r="AH167" i="6" s="1"/>
  <c r="AH165" i="6"/>
  <c r="AH162" i="6" s="1"/>
  <c r="AH161" i="6"/>
  <c r="AH159" i="6" s="1"/>
  <c r="AH53" i="6"/>
  <c r="AH52" i="6" s="1"/>
  <c r="AH11" i="6"/>
  <c r="AH8" i="6" s="1"/>
  <c r="AH10" i="6"/>
  <c r="AH7" i="6" a="1"/>
  <c r="AH7" i="6" s="1"/>
  <c r="AI4" i="6"/>
  <c r="B118" i="6"/>
  <c r="AG166" i="6"/>
  <c r="AH166" i="6" s="1"/>
  <c r="AH7" i="7"/>
  <c r="B25" i="7"/>
  <c r="AH106" i="6"/>
  <c r="AH109" i="6"/>
  <c r="AI111" i="6" l="1"/>
  <c r="AI105" i="6"/>
  <c r="AI108" i="6"/>
  <c r="AI110" i="6"/>
  <c r="AH160" i="6"/>
  <c r="I43" i="7"/>
  <c r="AI115" i="6"/>
  <c r="AI112" i="6"/>
  <c r="AI106" i="6"/>
  <c r="AI117" i="6"/>
  <c r="T121" i="6"/>
  <c r="AB121" i="6"/>
  <c r="AH121" i="6"/>
  <c r="AG121" i="6"/>
  <c r="W121" i="6"/>
  <c r="U121" i="6"/>
  <c r="AC121" i="6"/>
  <c r="V121" i="6"/>
  <c r="AD121" i="6"/>
  <c r="AE121" i="6"/>
  <c r="X121" i="6"/>
  <c r="AF121" i="6"/>
  <c r="Z121" i="6"/>
  <c r="D122" i="6"/>
  <c r="AA121" i="6"/>
  <c r="Y121" i="6"/>
  <c r="AA96" i="6" a="1"/>
  <c r="AA96" i="6" s="1"/>
  <c r="AB97" i="6" a="1"/>
  <c r="AB97" i="6" s="1"/>
  <c r="Z95" i="6" a="1"/>
  <c r="Z95" i="6" s="1"/>
  <c r="AC98" i="6" a="1"/>
  <c r="AC98" i="6" s="1"/>
  <c r="Y94" i="6" a="1"/>
  <c r="Y94" i="6" s="1"/>
  <c r="AD99" i="6" a="1"/>
  <c r="AD99" i="6" s="1"/>
  <c r="X93" i="6" a="1"/>
  <c r="X93" i="6" s="1"/>
  <c r="W92" i="6" a="1"/>
  <c r="W92" i="6" s="1"/>
  <c r="AF101" i="6" a="1"/>
  <c r="AF101" i="6" s="1"/>
  <c r="AE100" i="6" a="1"/>
  <c r="AE100" i="6" s="1"/>
  <c r="V91" i="6" a="1"/>
  <c r="V91" i="6" s="1"/>
  <c r="U90" i="6" a="1"/>
  <c r="U90" i="6" s="1"/>
  <c r="AG102" i="6" a="1"/>
  <c r="AG102" i="6" s="1"/>
  <c r="AI104" i="6"/>
  <c r="AH103" i="6" a="1"/>
  <c r="AH103" i="6" s="1"/>
  <c r="AH152" i="6"/>
  <c r="AH154" i="6" s="1"/>
  <c r="AH118" i="6"/>
  <c r="AI118" i="6"/>
  <c r="AH164" i="6"/>
  <c r="T88" i="6" a="1"/>
  <c r="T88" i="6" s="1"/>
  <c r="D87" i="6"/>
  <c r="AH163" i="6"/>
  <c r="AI163" i="6" s="1"/>
  <c r="AK6" i="7"/>
  <c r="AJ4" i="7"/>
  <c r="AI168" i="6"/>
  <c r="AI167" i="6" s="1"/>
  <c r="AI165" i="6"/>
  <c r="AI164" i="6"/>
  <c r="AI162" i="6"/>
  <c r="AI161" i="6"/>
  <c r="AI160" i="6" s="1"/>
  <c r="AI159" i="6"/>
  <c r="AI53" i="6"/>
  <c r="AI52" i="6"/>
  <c r="AJ4" i="6"/>
  <c r="AI7" i="6" a="1"/>
  <c r="AI7" i="6" s="1"/>
  <c r="AI11" i="6"/>
  <c r="AI8" i="6" s="1"/>
  <c r="AI9" i="6" s="1"/>
  <c r="AI10" i="6"/>
  <c r="B119" i="6"/>
  <c r="AI113" i="6"/>
  <c r="AH9" i="6"/>
  <c r="AK47" i="6"/>
  <c r="AJ46" i="6"/>
  <c r="AJ111" i="6" s="1"/>
  <c r="AJ122" i="6"/>
  <c r="AJ109" i="6"/>
  <c r="AJ121" i="6"/>
  <c r="AJ113" i="6"/>
  <c r="AJ112" i="6"/>
  <c r="AJ107" i="6"/>
  <c r="AJ106" i="6"/>
  <c r="AJ119" i="6"/>
  <c r="AJ105" i="6"/>
  <c r="AJ41" i="6"/>
  <c r="AJ44" i="6" s="1"/>
  <c r="AK6" i="6"/>
  <c r="AI7" i="7"/>
  <c r="B26" i="7"/>
  <c r="D29" i="7"/>
  <c r="U42" i="7"/>
  <c r="V42" i="7" s="1"/>
  <c r="W42" i="7" s="1"/>
  <c r="X42" i="7" s="1"/>
  <c r="Y42" i="7" s="1"/>
  <c r="Z42" i="7" s="1"/>
  <c r="AA42" i="7" s="1"/>
  <c r="AB42" i="7" s="1"/>
  <c r="AC42" i="7" s="1"/>
  <c r="AD42" i="7" s="1"/>
  <c r="AE42" i="7" s="1"/>
  <c r="AF42" i="7" s="1"/>
  <c r="AG42" i="7" s="1"/>
  <c r="AH42" i="7" s="1"/>
  <c r="AI42" i="7" s="1"/>
  <c r="AJ42" i="7" s="1"/>
  <c r="AK42" i="7" s="1"/>
  <c r="T41" i="7"/>
  <c r="I42" i="7"/>
  <c r="S42" i="7"/>
  <c r="AJ114" i="6" l="1"/>
  <c r="AJ115" i="6"/>
  <c r="AI166" i="6"/>
  <c r="AJ108" i="6"/>
  <c r="U122" i="6"/>
  <c r="AC122" i="6"/>
  <c r="AH122" i="6"/>
  <c r="V122" i="6"/>
  <c r="AD122" i="6"/>
  <c r="AI122" i="6"/>
  <c r="AG122" i="6"/>
  <c r="D123" i="6"/>
  <c r="AA122" i="6"/>
  <c r="W122" i="6"/>
  <c r="AE122" i="6"/>
  <c r="X122" i="6"/>
  <c r="AF122" i="6"/>
  <c r="Y122" i="6"/>
  <c r="Z122" i="6"/>
  <c r="T122" i="6"/>
  <c r="AB122" i="6"/>
  <c r="AA95" i="6" a="1"/>
  <c r="AA95" i="6" s="1"/>
  <c r="AC97" i="6" a="1"/>
  <c r="AC97" i="6" s="1"/>
  <c r="AB96" i="6" a="1"/>
  <c r="AB96" i="6" s="1"/>
  <c r="AD98" i="6" a="1"/>
  <c r="AD98" i="6" s="1"/>
  <c r="Z94" i="6" a="1"/>
  <c r="Z94" i="6" s="1"/>
  <c r="Y93" i="6" a="1"/>
  <c r="Y93" i="6" s="1"/>
  <c r="X92" i="6" a="1"/>
  <c r="X92" i="6" s="1"/>
  <c r="AE99" i="6" a="1"/>
  <c r="AE99" i="6" s="1"/>
  <c r="W91" i="6" a="1"/>
  <c r="W91" i="6" s="1"/>
  <c r="AG101" i="6" a="1"/>
  <c r="AG101" i="6" s="1"/>
  <c r="AF100" i="6" a="1"/>
  <c r="AF100" i="6" s="1"/>
  <c r="V90" i="6" a="1"/>
  <c r="V90" i="6" s="1"/>
  <c r="U89" i="6" a="1"/>
  <c r="U89" i="6" s="1"/>
  <c r="AH102" i="6" a="1"/>
  <c r="AH102" i="6" s="1"/>
  <c r="AI103" i="6" a="1"/>
  <c r="AI103" i="6" s="1"/>
  <c r="AJ104" i="6"/>
  <c r="S41" i="7"/>
  <c r="T40" i="7"/>
  <c r="U41" i="7"/>
  <c r="V41" i="7" s="1"/>
  <c r="W41" i="7" s="1"/>
  <c r="X41" i="7" s="1"/>
  <c r="Y41" i="7" s="1"/>
  <c r="Z41" i="7" s="1"/>
  <c r="AA41" i="7" s="1"/>
  <c r="AB41" i="7" s="1"/>
  <c r="AC41" i="7" s="1"/>
  <c r="AD41" i="7" s="1"/>
  <c r="AE41" i="7" s="1"/>
  <c r="AF41" i="7" s="1"/>
  <c r="AG41" i="7" s="1"/>
  <c r="AH41" i="7" s="1"/>
  <c r="AI41" i="7" s="1"/>
  <c r="AJ41" i="7" s="1"/>
  <c r="AK41" i="7" s="1"/>
  <c r="AL41" i="7" s="1"/>
  <c r="AL6" i="7"/>
  <c r="AK4" i="7"/>
  <c r="AJ110" i="6"/>
  <c r="AJ161" i="6"/>
  <c r="AJ159" i="6" s="1"/>
  <c r="AJ165" i="6"/>
  <c r="AJ162" i="6" s="1"/>
  <c r="AJ168" i="6"/>
  <c r="AJ167" i="6" s="1"/>
  <c r="AJ166" i="6"/>
  <c r="AJ164" i="6"/>
  <c r="AJ53" i="6"/>
  <c r="AJ52" i="6" s="1"/>
  <c r="AK4" i="6"/>
  <c r="AJ7" i="6" a="1"/>
  <c r="AJ7" i="6" s="1"/>
  <c r="AJ10" i="6"/>
  <c r="AJ11" i="6"/>
  <c r="AJ8" i="6" s="1"/>
  <c r="B120" i="6"/>
  <c r="AI152" i="6"/>
  <c r="AI119" i="6"/>
  <c r="AJ118" i="6"/>
  <c r="AJ116" i="6"/>
  <c r="AL47" i="6"/>
  <c r="AK46" i="6"/>
  <c r="AK110" i="6" s="1"/>
  <c r="AK122" i="6"/>
  <c r="AK118" i="6"/>
  <c r="AK112" i="6"/>
  <c r="AK123" i="6"/>
  <c r="AL6" i="6"/>
  <c r="AK41" i="6"/>
  <c r="AK44" i="6" s="1"/>
  <c r="D30" i="7"/>
  <c r="T87" i="6" a="1"/>
  <c r="T87" i="6" s="1"/>
  <c r="D86" i="6"/>
  <c r="AJ7" i="7"/>
  <c r="B27" i="7"/>
  <c r="AJ117" i="6"/>
  <c r="AK106" i="6" l="1"/>
  <c r="AK111" i="6"/>
  <c r="AK117" i="6"/>
  <c r="AK105" i="6"/>
  <c r="AJ163" i="6"/>
  <c r="AK108" i="6"/>
  <c r="W123" i="6"/>
  <c r="AE123" i="6"/>
  <c r="AJ123" i="6"/>
  <c r="AI123" i="6"/>
  <c r="Y123" i="6"/>
  <c r="AG123" i="6"/>
  <c r="AA123" i="6"/>
  <c r="AC123" i="6"/>
  <c r="X123" i="6"/>
  <c r="AF123" i="6"/>
  <c r="Z123" i="6"/>
  <c r="AH123" i="6"/>
  <c r="AB123" i="6"/>
  <c r="U123" i="6"/>
  <c r="D124" i="6"/>
  <c r="T123" i="6"/>
  <c r="V123" i="6"/>
  <c r="AD123" i="6"/>
  <c r="AC96" i="6" a="1"/>
  <c r="AC96" i="6" s="1"/>
  <c r="AB95" i="6" a="1"/>
  <c r="AB95" i="6" s="1"/>
  <c r="AA94" i="6" a="1"/>
  <c r="AA94" i="6" s="1"/>
  <c r="AD97" i="6" a="1"/>
  <c r="AD97" i="6" s="1"/>
  <c r="Z93" i="6" a="1"/>
  <c r="Z93" i="6" s="1"/>
  <c r="Y92" i="6" a="1"/>
  <c r="Y92" i="6" s="1"/>
  <c r="AE98" i="6" a="1"/>
  <c r="AE98" i="6" s="1"/>
  <c r="X91" i="6" a="1"/>
  <c r="X91" i="6" s="1"/>
  <c r="AF99" i="6" a="1"/>
  <c r="AF99" i="6" s="1"/>
  <c r="AG100" i="6" a="1"/>
  <c r="AG100" i="6" s="1"/>
  <c r="AH101" i="6" a="1"/>
  <c r="AH101" i="6" s="1"/>
  <c r="W90" i="6" a="1"/>
  <c r="W90" i="6" s="1"/>
  <c r="V89" i="6" a="1"/>
  <c r="V89" i="6" s="1"/>
  <c r="AI102" i="6" a="1"/>
  <c r="AI102" i="6" s="1"/>
  <c r="U88" i="6" a="1"/>
  <c r="U88" i="6" s="1"/>
  <c r="AJ103" i="6" a="1"/>
  <c r="AJ103" i="6" s="1"/>
  <c r="AK104" i="6"/>
  <c r="AJ152" i="6"/>
  <c r="AJ120" i="6"/>
  <c r="AK120" i="6"/>
  <c r="I41" i="7"/>
  <c r="AK7" i="7"/>
  <c r="B28" i="7"/>
  <c r="T86" i="6" a="1"/>
  <c r="T86" i="6" s="1"/>
  <c r="D85" i="6"/>
  <c r="AL85" i="6" s="1" a="1"/>
  <c r="AL85" i="6" s="1"/>
  <c r="AK119" i="6"/>
  <c r="AK107" i="6"/>
  <c r="AK114" i="6"/>
  <c r="AJ9" i="6"/>
  <c r="S40" i="7"/>
  <c r="T39" i="7"/>
  <c r="U40" i="7"/>
  <c r="V40" i="7" s="1"/>
  <c r="W40" i="7" s="1"/>
  <c r="X40" i="7" s="1"/>
  <c r="Y40" i="7" s="1"/>
  <c r="Z40" i="7" s="1"/>
  <c r="AA40" i="7" s="1"/>
  <c r="AB40" i="7" s="1"/>
  <c r="AC40" i="7" s="1"/>
  <c r="AD40" i="7" s="1"/>
  <c r="AE40" i="7" s="1"/>
  <c r="AF40" i="7" s="1"/>
  <c r="AG40" i="7" s="1"/>
  <c r="AH40" i="7" s="1"/>
  <c r="AI40" i="7" s="1"/>
  <c r="AJ40" i="7" s="1"/>
  <c r="AK40" i="7" s="1"/>
  <c r="AL40" i="7" s="1"/>
  <c r="AK109" i="6"/>
  <c r="AK116" i="6"/>
  <c r="AI154" i="6"/>
  <c r="AJ154" i="6" s="1"/>
  <c r="AJ160" i="6"/>
  <c r="AK113" i="6"/>
  <c r="AK115" i="6"/>
  <c r="AM47" i="6"/>
  <c r="AL46" i="6"/>
  <c r="AL106" i="6" s="1"/>
  <c r="AK165" i="6"/>
  <c r="AK164" i="6" s="1"/>
  <c r="AK161" i="6"/>
  <c r="AK159" i="6" s="1"/>
  <c r="AK168" i="6"/>
  <c r="AK167" i="6" s="1"/>
  <c r="AK53" i="6"/>
  <c r="AK52" i="6"/>
  <c r="AK11" i="6"/>
  <c r="AK8" i="6" s="1"/>
  <c r="AK10" i="6"/>
  <c r="AK7" i="6" a="1"/>
  <c r="AK7" i="6" s="1"/>
  <c r="AL4" i="6"/>
  <c r="B121" i="6"/>
  <c r="D31" i="7"/>
  <c r="AL124" i="6"/>
  <c r="AL123" i="6"/>
  <c r="AL119" i="6"/>
  <c r="AL86" i="6" a="1"/>
  <c r="AL86" i="6" s="1"/>
  <c r="AL41" i="6"/>
  <c r="AL44" i="6" s="1"/>
  <c r="AM6" i="6"/>
  <c r="AL4" i="7"/>
  <c r="AM6" i="7"/>
  <c r="AL113" i="6" l="1"/>
  <c r="AL108" i="6"/>
  <c r="AL109" i="6"/>
  <c r="AL112" i="6"/>
  <c r="AL114" i="6"/>
  <c r="AL116" i="6"/>
  <c r="AL118" i="6"/>
  <c r="AL110" i="6"/>
  <c r="AL120" i="6"/>
  <c r="AL104" i="6"/>
  <c r="AL115" i="6"/>
  <c r="AK9" i="6"/>
  <c r="AL117" i="6"/>
  <c r="AK160" i="6"/>
  <c r="AL160" i="6" s="1"/>
  <c r="AJ124" i="6"/>
  <c r="T124" i="6"/>
  <c r="AB124" i="6"/>
  <c r="AK124" i="6"/>
  <c r="Z124" i="6"/>
  <c r="AH124" i="6"/>
  <c r="U124" i="6"/>
  <c r="AC124" i="6"/>
  <c r="AE124" i="6"/>
  <c r="X124" i="6"/>
  <c r="V124" i="6"/>
  <c r="AD124" i="6"/>
  <c r="W124" i="6"/>
  <c r="AF124" i="6"/>
  <c r="D125" i="6"/>
  <c r="AA124" i="6"/>
  <c r="AI124" i="6"/>
  <c r="Y124" i="6"/>
  <c r="AG124" i="6"/>
  <c r="AK152" i="6"/>
  <c r="AK121" i="6"/>
  <c r="S39" i="7"/>
  <c r="U39" i="7"/>
  <c r="V39" i="7" s="1"/>
  <c r="W39" i="7" s="1"/>
  <c r="X39" i="7" s="1"/>
  <c r="Y39" i="7" s="1"/>
  <c r="Z39" i="7" s="1"/>
  <c r="AA39" i="7" s="1"/>
  <c r="AB39" i="7" s="1"/>
  <c r="AC39" i="7" s="1"/>
  <c r="AD39" i="7" s="1"/>
  <c r="AE39" i="7" s="1"/>
  <c r="AF39" i="7" s="1"/>
  <c r="AG39" i="7" s="1"/>
  <c r="AH39" i="7" s="1"/>
  <c r="AI39" i="7" s="1"/>
  <c r="AJ39" i="7" s="1"/>
  <c r="AK39" i="7" s="1"/>
  <c r="AL39" i="7" s="1"/>
  <c r="AM39" i="7" s="1"/>
  <c r="AN39" i="7" s="1"/>
  <c r="T38" i="7"/>
  <c r="D32" i="7"/>
  <c r="I40" i="7"/>
  <c r="AC95" i="6" a="1"/>
  <c r="AC95" i="6" s="1"/>
  <c r="AB94" i="6" a="1"/>
  <c r="AB94" i="6" s="1"/>
  <c r="AD96" i="6" a="1"/>
  <c r="AD96" i="6" s="1"/>
  <c r="AA93" i="6" a="1"/>
  <c r="AA93" i="6" s="1"/>
  <c r="Z92" i="6" a="1"/>
  <c r="Z92" i="6" s="1"/>
  <c r="AF98" i="6" a="1"/>
  <c r="AF98" i="6" s="1"/>
  <c r="AE97" i="6" a="1"/>
  <c r="AE97" i="6" s="1"/>
  <c r="Y91" i="6" a="1"/>
  <c r="Y91" i="6" s="1"/>
  <c r="X90" i="6" a="1"/>
  <c r="X90" i="6" s="1"/>
  <c r="AG99" i="6" a="1"/>
  <c r="AG99" i="6" s="1"/>
  <c r="AI101" i="6" a="1"/>
  <c r="AI101" i="6" s="1"/>
  <c r="AH100" i="6" a="1"/>
  <c r="AH100" i="6" s="1"/>
  <c r="W89" i="6" a="1"/>
  <c r="W89" i="6" s="1"/>
  <c r="V88" i="6" a="1"/>
  <c r="V88" i="6" s="1"/>
  <c r="AJ102" i="6" a="1"/>
  <c r="AJ102" i="6" s="1"/>
  <c r="U87" i="6" a="1"/>
  <c r="U87" i="6" s="1"/>
  <c r="AK103" i="6" a="1"/>
  <c r="AK103" i="6" s="1"/>
  <c r="AK166" i="6"/>
  <c r="AL107" i="6"/>
  <c r="AL121" i="6"/>
  <c r="AL105" i="6"/>
  <c r="AL111" i="6"/>
  <c r="AK162" i="6"/>
  <c r="AK163" i="6"/>
  <c r="AL7" i="7"/>
  <c r="B29" i="7"/>
  <c r="AN6" i="7"/>
  <c r="AM4" i="7"/>
  <c r="AM124" i="6"/>
  <c r="AM122" i="6"/>
  <c r="AM86" i="6" a="1"/>
  <c r="AM86" i="6" s="1"/>
  <c r="AM87" i="6" a="1"/>
  <c r="AM87" i="6" s="1"/>
  <c r="AM85" i="6" a="1"/>
  <c r="AM85" i="6" s="1"/>
  <c r="AN6" i="6"/>
  <c r="AM41" i="6"/>
  <c r="AM44" i="6" s="1"/>
  <c r="AL165" i="6"/>
  <c r="AL164" i="6" s="1"/>
  <c r="AL168" i="6"/>
  <c r="AL167" i="6" s="1"/>
  <c r="AL166" i="6"/>
  <c r="AL161" i="6"/>
  <c r="AL159" i="6" s="1"/>
  <c r="AL53" i="6"/>
  <c r="AL52" i="6"/>
  <c r="AL7" i="6" a="1"/>
  <c r="AL7" i="6" s="1"/>
  <c r="AM4" i="6"/>
  <c r="AL11" i="6"/>
  <c r="AL8" i="6" s="1"/>
  <c r="AL10" i="6"/>
  <c r="B122" i="6"/>
  <c r="AK154" i="6"/>
  <c r="T85" i="6" a="1"/>
  <c r="T85" i="6" s="1"/>
  <c r="D84" i="6"/>
  <c r="AK85" i="6" a="1"/>
  <c r="AK85" i="6" s="1"/>
  <c r="AM46" i="6"/>
  <c r="AM118" i="6" s="1"/>
  <c r="AN47" i="6"/>
  <c r="AM107" i="6" l="1"/>
  <c r="AM111" i="6"/>
  <c r="AM112" i="6"/>
  <c r="AM119" i="6"/>
  <c r="AL163" i="6"/>
  <c r="AM120" i="6"/>
  <c r="AL162" i="6"/>
  <c r="AK125" i="6"/>
  <c r="Y125" i="6"/>
  <c r="AG125" i="6"/>
  <c r="AA125" i="6"/>
  <c r="AD125" i="6"/>
  <c r="AE125" i="6"/>
  <c r="Z125" i="6"/>
  <c r="AH125" i="6"/>
  <c r="D126" i="6"/>
  <c r="AN126" i="6" s="1"/>
  <c r="AI125" i="6"/>
  <c r="T125" i="6"/>
  <c r="AB125" i="6"/>
  <c r="AJ125" i="6"/>
  <c r="AL125" i="6"/>
  <c r="W125" i="6"/>
  <c r="V125" i="6"/>
  <c r="X125" i="6"/>
  <c r="AF125" i="6"/>
  <c r="U125" i="6"/>
  <c r="AC125" i="6"/>
  <c r="AM125" i="6"/>
  <c r="AC94" i="6" a="1"/>
  <c r="AC94" i="6" s="1"/>
  <c r="AB93" i="6" a="1"/>
  <c r="AB93" i="6" s="1"/>
  <c r="AD95" i="6" a="1"/>
  <c r="AD95" i="6" s="1"/>
  <c r="AE96" i="6" a="1"/>
  <c r="AE96" i="6" s="1"/>
  <c r="AA92" i="6" a="1"/>
  <c r="AA92" i="6" s="1"/>
  <c r="AF97" i="6" a="1"/>
  <c r="AF97" i="6" s="1"/>
  <c r="Z91" i="6" a="1"/>
  <c r="Z91" i="6" s="1"/>
  <c r="Y90" i="6" a="1"/>
  <c r="Y90" i="6" s="1"/>
  <c r="AG98" i="6" a="1"/>
  <c r="AG98" i="6" s="1"/>
  <c r="AH99" i="6" a="1"/>
  <c r="AH99" i="6" s="1"/>
  <c r="X89" i="6" a="1"/>
  <c r="X89" i="6" s="1"/>
  <c r="AI100" i="6" a="1"/>
  <c r="AI100" i="6" s="1"/>
  <c r="W88" i="6" a="1"/>
  <c r="W88" i="6" s="1"/>
  <c r="AK102" i="6" a="1"/>
  <c r="AK102" i="6" s="1"/>
  <c r="V87" i="6" a="1"/>
  <c r="V87" i="6" s="1"/>
  <c r="AJ101" i="6" a="1"/>
  <c r="AJ101" i="6" s="1"/>
  <c r="U86" i="6" a="1"/>
  <c r="U86" i="6" s="1"/>
  <c r="AM104" i="6"/>
  <c r="AL103" i="6" a="1"/>
  <c r="AL103" i="6" s="1"/>
  <c r="D83" i="6"/>
  <c r="AN83" i="6" s="1" a="1"/>
  <c r="AN83" i="6" s="1"/>
  <c r="AJ84" i="6" a="1"/>
  <c r="AJ84" i="6" s="1"/>
  <c r="AK84" i="6" a="1"/>
  <c r="AK84" i="6" s="1"/>
  <c r="AL84" i="6" a="1"/>
  <c r="AL84" i="6" s="1"/>
  <c r="AM113" i="6"/>
  <c r="I39" i="7"/>
  <c r="AM108" i="6"/>
  <c r="AO6" i="7"/>
  <c r="AN4" i="7"/>
  <c r="AL154" i="6"/>
  <c r="AM116" i="6"/>
  <c r="AM167" i="6"/>
  <c r="AM165" i="6"/>
  <c r="AM164" i="6" s="1"/>
  <c r="AM168" i="6"/>
  <c r="AM166" i="6"/>
  <c r="AM161" i="6"/>
  <c r="AM160" i="6" s="1"/>
  <c r="AM159" i="6"/>
  <c r="AM52" i="6"/>
  <c r="AN4" i="6"/>
  <c r="AM11" i="6"/>
  <c r="AM8" i="6" s="1"/>
  <c r="AM53" i="6"/>
  <c r="AM10" i="6"/>
  <c r="AM7" i="6" a="1"/>
  <c r="AM7" i="6" s="1"/>
  <c r="B123" i="6"/>
  <c r="U38" i="7"/>
  <c r="V38" i="7" s="1"/>
  <c r="W38" i="7" s="1"/>
  <c r="X38" i="7" s="1"/>
  <c r="Y38" i="7" s="1"/>
  <c r="Z38" i="7" s="1"/>
  <c r="AA38" i="7" s="1"/>
  <c r="AB38" i="7" s="1"/>
  <c r="AC38" i="7" s="1"/>
  <c r="AD38" i="7" s="1"/>
  <c r="AE38" i="7" s="1"/>
  <c r="AF38" i="7" s="1"/>
  <c r="AG38" i="7" s="1"/>
  <c r="AH38" i="7" s="1"/>
  <c r="AI38" i="7" s="1"/>
  <c r="AJ38" i="7" s="1"/>
  <c r="AK38" i="7" s="1"/>
  <c r="AL38" i="7" s="1"/>
  <c r="AM38" i="7" s="1"/>
  <c r="AN38" i="7" s="1"/>
  <c r="AO38" i="7" s="1"/>
  <c r="I38" i="7"/>
  <c r="T37" i="7"/>
  <c r="S38" i="7"/>
  <c r="AL152" i="6"/>
  <c r="AL122" i="6"/>
  <c r="AN46" i="6"/>
  <c r="AN110" i="6" s="1"/>
  <c r="AO47" i="6"/>
  <c r="D33" i="7"/>
  <c r="AM121" i="6"/>
  <c r="AM115" i="6"/>
  <c r="AN88" i="6" a="1"/>
  <c r="AN88" i="6" s="1"/>
  <c r="AN85" i="6" a="1"/>
  <c r="AN85" i="6" s="1"/>
  <c r="AN125" i="6"/>
  <c r="AN86" i="6" a="1"/>
  <c r="AN86" i="6" s="1"/>
  <c r="AN121" i="6"/>
  <c r="AN87" i="6" a="1"/>
  <c r="AN87" i="6" s="1"/>
  <c r="AN113" i="6"/>
  <c r="AN84" i="6" a="1"/>
  <c r="AN84" i="6" s="1"/>
  <c r="AO6" i="6"/>
  <c r="AN41" i="6"/>
  <c r="AN44" i="6" s="1"/>
  <c r="AM105" i="6"/>
  <c r="AM114" i="6"/>
  <c r="AM117" i="6"/>
  <c r="AL9" i="6"/>
  <c r="AM84" i="6" a="1"/>
  <c r="AM84" i="6" s="1"/>
  <c r="AM106" i="6"/>
  <c r="AM109" i="6"/>
  <c r="AM110" i="6"/>
  <c r="AM7" i="7"/>
  <c r="B30" i="7"/>
  <c r="AN111" i="6" l="1"/>
  <c r="AN116" i="6"/>
  <c r="AN117" i="6"/>
  <c r="AN115" i="6"/>
  <c r="AN109" i="6"/>
  <c r="AN118" i="6"/>
  <c r="AN112" i="6"/>
  <c r="AN123" i="6"/>
  <c r="AN106" i="6"/>
  <c r="AN120" i="6"/>
  <c r="AN108" i="6"/>
  <c r="AN119" i="6"/>
  <c r="AN105" i="6"/>
  <c r="AN114" i="6"/>
  <c r="AN122" i="6"/>
  <c r="AM9" i="6"/>
  <c r="AL126" i="6"/>
  <c r="U126" i="6"/>
  <c r="AC126" i="6"/>
  <c r="AK126" i="6"/>
  <c r="AD126" i="6"/>
  <c r="AA126" i="6"/>
  <c r="V126" i="6"/>
  <c r="Y126" i="6"/>
  <c r="W126" i="6"/>
  <c r="AE126" i="6"/>
  <c r="X126" i="6"/>
  <c r="AG126" i="6"/>
  <c r="AJ126" i="6"/>
  <c r="AF126" i="6"/>
  <c r="D127" i="6"/>
  <c r="AI126" i="6"/>
  <c r="AM126" i="6"/>
  <c r="Z126" i="6"/>
  <c r="AH126" i="6"/>
  <c r="T126" i="6"/>
  <c r="AB126" i="6"/>
  <c r="AD94" i="6" a="1"/>
  <c r="AD94" i="6" s="1"/>
  <c r="AC93" i="6" a="1"/>
  <c r="AC93" i="6" s="1"/>
  <c r="AB92" i="6" a="1"/>
  <c r="AB92" i="6" s="1"/>
  <c r="AF96" i="6" a="1"/>
  <c r="AF96" i="6" s="1"/>
  <c r="AE95" i="6" a="1"/>
  <c r="AE95" i="6" s="1"/>
  <c r="AA91" i="6" a="1"/>
  <c r="AA91" i="6" s="1"/>
  <c r="AG97" i="6" a="1"/>
  <c r="AG97" i="6" s="1"/>
  <c r="Z90" i="6" a="1"/>
  <c r="Z90" i="6" s="1"/>
  <c r="AH98" i="6" a="1"/>
  <c r="AH98" i="6" s="1"/>
  <c r="Y89" i="6" a="1"/>
  <c r="Y89" i="6" s="1"/>
  <c r="AI99" i="6" a="1"/>
  <c r="AI99" i="6" s="1"/>
  <c r="X88" i="6" a="1"/>
  <c r="X88" i="6" s="1"/>
  <c r="AJ100" i="6" a="1"/>
  <c r="AJ100" i="6" s="1"/>
  <c r="AK101" i="6" a="1"/>
  <c r="AK101" i="6" s="1"/>
  <c r="W87" i="6" a="1"/>
  <c r="W87" i="6" s="1"/>
  <c r="V86" i="6" a="1"/>
  <c r="V86" i="6" s="1"/>
  <c r="AL102" i="6" a="1"/>
  <c r="AL102" i="6" s="1"/>
  <c r="U85" i="6" a="1"/>
  <c r="U85" i="6" s="1"/>
  <c r="AM103" i="6" a="1"/>
  <c r="AM103" i="6" s="1"/>
  <c r="AN104" i="6"/>
  <c r="T84" i="6" a="1"/>
  <c r="T84" i="6" s="1"/>
  <c r="T36" i="7"/>
  <c r="S37" i="7"/>
  <c r="U37" i="7"/>
  <c r="V37" i="7" s="1"/>
  <c r="W37" i="7" s="1"/>
  <c r="X37" i="7" s="1"/>
  <c r="Y37" i="7" s="1"/>
  <c r="Z37" i="7" s="1"/>
  <c r="AA37" i="7" s="1"/>
  <c r="AB37" i="7" s="1"/>
  <c r="AC37" i="7" s="1"/>
  <c r="AD37" i="7" s="1"/>
  <c r="AE37" i="7" s="1"/>
  <c r="AF37" i="7" s="1"/>
  <c r="AG37" i="7" s="1"/>
  <c r="AH37" i="7" s="1"/>
  <c r="AI37" i="7" s="1"/>
  <c r="AJ37" i="7" s="1"/>
  <c r="AK37" i="7" s="1"/>
  <c r="AL37" i="7" s="1"/>
  <c r="AM37" i="7" s="1"/>
  <c r="AN37" i="7" s="1"/>
  <c r="AO37" i="7" s="1"/>
  <c r="AP37" i="7" s="1"/>
  <c r="AN168" i="6"/>
  <c r="AN167" i="6" s="1"/>
  <c r="AN165" i="6"/>
  <c r="AN164" i="6" s="1"/>
  <c r="AN161" i="6"/>
  <c r="AN159" i="6" s="1"/>
  <c r="AO4" i="6"/>
  <c r="AN53" i="6"/>
  <c r="AN52" i="6" s="1"/>
  <c r="AN11" i="6"/>
  <c r="AN8" i="6" s="1"/>
  <c r="AN10" i="6"/>
  <c r="AN7" i="6" a="1"/>
  <c r="AN7" i="6" s="1"/>
  <c r="B124" i="6"/>
  <c r="D34" i="7"/>
  <c r="D82" i="6"/>
  <c r="T83" i="6" a="1"/>
  <c r="T83" i="6" s="1"/>
  <c r="AI83" i="6" a="1"/>
  <c r="AI83" i="6" s="1"/>
  <c r="AJ83" i="6" a="1"/>
  <c r="AJ83" i="6" s="1"/>
  <c r="AK83" i="6" a="1"/>
  <c r="AK83" i="6" s="1"/>
  <c r="AL83" i="6" a="1"/>
  <c r="AL83" i="6" s="1"/>
  <c r="AM83" i="6" a="1"/>
  <c r="AM83" i="6" s="1"/>
  <c r="AO46" i="6"/>
  <c r="AO123" i="6" s="1"/>
  <c r="AP47" i="6"/>
  <c r="AM152" i="6"/>
  <c r="AM154" i="6" s="1"/>
  <c r="AM123" i="6"/>
  <c r="AO126" i="6"/>
  <c r="AO111" i="6"/>
  <c r="AO109" i="6"/>
  <c r="AO89" i="6" a="1"/>
  <c r="AO89" i="6" s="1"/>
  <c r="AO112" i="6"/>
  <c r="AO84" i="6" a="1"/>
  <c r="AO84" i="6" s="1"/>
  <c r="AO86" i="6" a="1"/>
  <c r="AO86" i="6" s="1"/>
  <c r="AO85" i="6" a="1"/>
  <c r="AO85" i="6" s="1"/>
  <c r="AO87" i="6" a="1"/>
  <c r="AO87" i="6" s="1"/>
  <c r="AO110" i="6"/>
  <c r="AO105" i="6"/>
  <c r="AO83" i="6" a="1"/>
  <c r="AO83" i="6" s="1"/>
  <c r="AO82" i="6" a="1"/>
  <c r="AO82" i="6" s="1"/>
  <c r="AO88" i="6" a="1"/>
  <c r="AO88" i="6" s="1"/>
  <c r="AP6" i="6"/>
  <c r="AO41" i="6"/>
  <c r="AO44" i="6" s="1"/>
  <c r="AO4" i="7"/>
  <c r="AP6" i="7"/>
  <c r="AM162" i="6"/>
  <c r="AN162" i="6" s="1"/>
  <c r="AM163" i="6"/>
  <c r="AN163" i="6" s="1"/>
  <c r="AN7" i="7"/>
  <c r="B31" i="7"/>
  <c r="AN107" i="6"/>
  <c r="AO107" i="6" l="1"/>
  <c r="AO113" i="6"/>
  <c r="AO122" i="6"/>
  <c r="AO119" i="6"/>
  <c r="AO114" i="6"/>
  <c r="AO115" i="6"/>
  <c r="AO106" i="6"/>
  <c r="AO108" i="6"/>
  <c r="AO124" i="6"/>
  <c r="AO116" i="6"/>
  <c r="AO118" i="6"/>
  <c r="AO120" i="6"/>
  <c r="AO117" i="6"/>
  <c r="AM127" i="6"/>
  <c r="T127" i="6"/>
  <c r="AB127" i="6"/>
  <c r="AJ127" i="6"/>
  <c r="AE127" i="6"/>
  <c r="Y127" i="6"/>
  <c r="U127" i="6"/>
  <c r="AC127" i="6"/>
  <c r="AK127" i="6"/>
  <c r="AN127" i="6"/>
  <c r="V127" i="6"/>
  <c r="AD127" i="6"/>
  <c r="AL127" i="6"/>
  <c r="W127" i="6"/>
  <c r="X127" i="6"/>
  <c r="AH127" i="6"/>
  <c r="Z127" i="6"/>
  <c r="D128" i="6"/>
  <c r="AA127" i="6"/>
  <c r="AI127" i="6"/>
  <c r="AF127" i="6"/>
  <c r="AG127" i="6"/>
  <c r="AO127" i="6"/>
  <c r="AD93" i="6" a="1"/>
  <c r="AD93" i="6" s="1"/>
  <c r="AE94" i="6" a="1"/>
  <c r="AE94" i="6" s="1"/>
  <c r="AC92" i="6" a="1"/>
  <c r="AC92" i="6" s="1"/>
  <c r="AF95" i="6" a="1"/>
  <c r="AF95" i="6" s="1"/>
  <c r="AB91" i="6" a="1"/>
  <c r="AB91" i="6" s="1"/>
  <c r="AH97" i="6" a="1"/>
  <c r="AH97" i="6" s="1"/>
  <c r="AG96" i="6" a="1"/>
  <c r="AG96" i="6" s="1"/>
  <c r="AA90" i="6" a="1"/>
  <c r="AA90" i="6" s="1"/>
  <c r="Z89" i="6" a="1"/>
  <c r="Z89" i="6" s="1"/>
  <c r="AI98" i="6" a="1"/>
  <c r="AI98" i="6" s="1"/>
  <c r="Y88" i="6" a="1"/>
  <c r="Y88" i="6" s="1"/>
  <c r="X87" i="6" a="1"/>
  <c r="X87" i="6" s="1"/>
  <c r="AJ99" i="6" a="1"/>
  <c r="AJ99" i="6" s="1"/>
  <c r="W86" i="6" a="1"/>
  <c r="W86" i="6" s="1"/>
  <c r="AL101" i="6" a="1"/>
  <c r="AL101" i="6" s="1"/>
  <c r="AK100" i="6" a="1"/>
  <c r="AK100" i="6" s="1"/>
  <c r="V85" i="6" a="1"/>
  <c r="V85" i="6" s="1"/>
  <c r="AM102" i="6" a="1"/>
  <c r="AM102" i="6" s="1"/>
  <c r="U84" i="6" a="1"/>
  <c r="U84" i="6" s="1"/>
  <c r="AN103" i="6" a="1"/>
  <c r="AN103" i="6" s="1"/>
  <c r="AO104" i="6"/>
  <c r="AO7" i="7"/>
  <c r="B32" i="7"/>
  <c r="AP46" i="6"/>
  <c r="AP123" i="6" s="1"/>
  <c r="AQ47" i="6"/>
  <c r="AO168" i="6"/>
  <c r="AO167" i="6" s="1"/>
  <c r="AO165" i="6"/>
  <c r="AO162" i="6" s="1"/>
  <c r="AO161" i="6"/>
  <c r="AO159" i="6" s="1"/>
  <c r="AO53" i="6"/>
  <c r="AO52" i="6" s="1"/>
  <c r="AO11" i="6"/>
  <c r="AO8" i="6" s="1"/>
  <c r="AO10" i="6"/>
  <c r="AP4" i="6"/>
  <c r="AO7" i="6" a="1"/>
  <c r="AO7" i="6" s="1"/>
  <c r="B125" i="6"/>
  <c r="D35" i="7"/>
  <c r="AN152" i="6"/>
  <c r="AN124" i="6"/>
  <c r="AN166" i="6"/>
  <c r="AO166" i="6" s="1"/>
  <c r="AN160" i="6"/>
  <c r="AO160" i="6" s="1"/>
  <c r="I37" i="7"/>
  <c r="AN154" i="6"/>
  <c r="T82" i="6" a="1"/>
  <c r="T82" i="6" s="1"/>
  <c r="D81" i="6"/>
  <c r="AP81" i="6" s="1" a="1"/>
  <c r="AP81" i="6" s="1"/>
  <c r="AH82" i="6" a="1"/>
  <c r="AH82" i="6" s="1"/>
  <c r="AI82" i="6" a="1"/>
  <c r="AI82" i="6" s="1"/>
  <c r="AJ82" i="6" a="1"/>
  <c r="AJ82" i="6" s="1"/>
  <c r="AK82" i="6" a="1"/>
  <c r="AK82" i="6" s="1"/>
  <c r="AL82" i="6" a="1"/>
  <c r="AL82" i="6" s="1"/>
  <c r="AM82" i="6" a="1"/>
  <c r="AM82" i="6" s="1"/>
  <c r="AN82" i="6" a="1"/>
  <c r="AN82" i="6" s="1"/>
  <c r="AP121" i="6"/>
  <c r="AP117" i="6"/>
  <c r="AP111" i="6"/>
  <c r="AP108" i="6"/>
  <c r="AP128" i="6"/>
  <c r="AP120" i="6"/>
  <c r="AP112" i="6"/>
  <c r="AP90" i="6" a="1"/>
  <c r="AP90" i="6" s="1"/>
  <c r="AP86" i="6" a="1"/>
  <c r="AP86" i="6" s="1"/>
  <c r="AP83" i="6" a="1"/>
  <c r="AP83" i="6" s="1"/>
  <c r="AP107" i="6"/>
  <c r="AP127" i="6"/>
  <c r="AP122" i="6"/>
  <c r="AP87" i="6" a="1"/>
  <c r="AP87" i="6" s="1"/>
  <c r="AP82" i="6" a="1"/>
  <c r="AP82" i="6" s="1"/>
  <c r="AP85" i="6" a="1"/>
  <c r="AP85" i="6" s="1"/>
  <c r="AP89" i="6" a="1"/>
  <c r="AP89" i="6" s="1"/>
  <c r="AP88" i="6" a="1"/>
  <c r="AP88" i="6" s="1"/>
  <c r="AP84" i="6" a="1"/>
  <c r="AP84" i="6" s="1"/>
  <c r="AP41" i="6"/>
  <c r="AP44" i="6" s="1"/>
  <c r="AQ6" i="6"/>
  <c r="AO121" i="6"/>
  <c r="AN9" i="6"/>
  <c r="AQ6" i="7"/>
  <c r="AP4" i="7"/>
  <c r="U36" i="7"/>
  <c r="V36" i="7" s="1"/>
  <c r="W36" i="7" s="1"/>
  <c r="X36" i="7" s="1"/>
  <c r="Y36" i="7" s="1"/>
  <c r="Z36" i="7" s="1"/>
  <c r="AA36" i="7" s="1"/>
  <c r="AB36" i="7" s="1"/>
  <c r="AC36" i="7" s="1"/>
  <c r="AD36" i="7" s="1"/>
  <c r="AE36" i="7" s="1"/>
  <c r="AF36" i="7" s="1"/>
  <c r="AG36" i="7" s="1"/>
  <c r="AH36" i="7" s="1"/>
  <c r="AI36" i="7" s="1"/>
  <c r="AJ36" i="7" s="1"/>
  <c r="AK36" i="7" s="1"/>
  <c r="AL36" i="7" s="1"/>
  <c r="AM36" i="7" s="1"/>
  <c r="AN36" i="7" s="1"/>
  <c r="AO36" i="7" s="1"/>
  <c r="AP36" i="7" s="1"/>
  <c r="AQ36" i="7" s="1"/>
  <c r="T35" i="7"/>
  <c r="I36" i="7"/>
  <c r="S36" i="7"/>
  <c r="AP105" i="6" l="1"/>
  <c r="AP114" i="6"/>
  <c r="AP106" i="6"/>
  <c r="AP109" i="6"/>
  <c r="AP118" i="6"/>
  <c r="AP110" i="6"/>
  <c r="AP115" i="6"/>
  <c r="AO163" i="6"/>
  <c r="AO164" i="6"/>
  <c r="AO9" i="6"/>
  <c r="AP124" i="6"/>
  <c r="AP119" i="6"/>
  <c r="AN128" i="6"/>
  <c r="D129" i="6"/>
  <c r="AQ129" i="6" s="1"/>
  <c r="AA128" i="6"/>
  <c r="AI128" i="6"/>
  <c r="AC128" i="6"/>
  <c r="AK128" i="6"/>
  <c r="W128" i="6"/>
  <c r="AM128" i="6"/>
  <c r="AO128" i="6"/>
  <c r="Y128" i="6"/>
  <c r="T128" i="6"/>
  <c r="AB128" i="6"/>
  <c r="AJ128" i="6"/>
  <c r="U128" i="6"/>
  <c r="V128" i="6"/>
  <c r="AD128" i="6"/>
  <c r="AL128" i="6"/>
  <c r="AF128" i="6"/>
  <c r="Z128" i="6"/>
  <c r="AH128" i="6"/>
  <c r="AE128" i="6"/>
  <c r="X128" i="6"/>
  <c r="AG128" i="6"/>
  <c r="AE93" i="6" a="1"/>
  <c r="AE93" i="6" s="1"/>
  <c r="AD92" i="6" a="1"/>
  <c r="AD92" i="6" s="1"/>
  <c r="AF94" i="6" a="1"/>
  <c r="AF94" i="6" s="1"/>
  <c r="AC91" i="6" a="1"/>
  <c r="AC91" i="6" s="1"/>
  <c r="AG95" i="6" a="1"/>
  <c r="AG95" i="6" s="1"/>
  <c r="AB90" i="6" a="1"/>
  <c r="AB90" i="6" s="1"/>
  <c r="AI97" i="6" a="1"/>
  <c r="AI97" i="6" s="1"/>
  <c r="AH96" i="6" a="1"/>
  <c r="AH96" i="6" s="1"/>
  <c r="AA89" i="6" a="1"/>
  <c r="AA89" i="6" s="1"/>
  <c r="Z88" i="6" a="1"/>
  <c r="Z88" i="6" s="1"/>
  <c r="AJ98" i="6" a="1"/>
  <c r="AJ98" i="6" s="1"/>
  <c r="AK99" i="6" a="1"/>
  <c r="AK99" i="6" s="1"/>
  <c r="Y87" i="6" a="1"/>
  <c r="Y87" i="6" s="1"/>
  <c r="X86" i="6" a="1"/>
  <c r="X86" i="6" s="1"/>
  <c r="AL100" i="6" a="1"/>
  <c r="AL100" i="6" s="1"/>
  <c r="W85" i="6" a="1"/>
  <c r="W85" i="6" s="1"/>
  <c r="AN102" i="6" a="1"/>
  <c r="AN102" i="6" s="1"/>
  <c r="AM101" i="6" a="1"/>
  <c r="AM101" i="6" s="1"/>
  <c r="V84" i="6" a="1"/>
  <c r="V84" i="6" s="1"/>
  <c r="AO103" i="6" a="1"/>
  <c r="AO103" i="6" s="1"/>
  <c r="U83" i="6" a="1"/>
  <c r="U83" i="6" s="1"/>
  <c r="AP104" i="6"/>
  <c r="AO152" i="6"/>
  <c r="AO125" i="6"/>
  <c r="AP125" i="6"/>
  <c r="AO154" i="6"/>
  <c r="AP7" i="7"/>
  <c r="B33" i="7"/>
  <c r="D36" i="7"/>
  <c r="D80" i="6"/>
  <c r="AQ80" i="6" s="1" a="1"/>
  <c r="AQ80" i="6" s="1"/>
  <c r="T81" i="6" a="1"/>
  <c r="T81" i="6" s="1"/>
  <c r="AG81" i="6" a="1"/>
  <c r="AG81" i="6" s="1"/>
  <c r="AH81" i="6" a="1"/>
  <c r="AH81" i="6" s="1"/>
  <c r="AI81" i="6" a="1"/>
  <c r="AI81" i="6" s="1"/>
  <c r="AJ81" i="6" a="1"/>
  <c r="AJ81" i="6" s="1"/>
  <c r="AK81" i="6" a="1"/>
  <c r="AK81" i="6" s="1"/>
  <c r="AL81" i="6" a="1"/>
  <c r="AL81" i="6" s="1"/>
  <c r="AM81" i="6" a="1"/>
  <c r="AM81" i="6" s="1"/>
  <c r="AN81" i="6" a="1"/>
  <c r="AN81" i="6" s="1"/>
  <c r="AO81" i="6" a="1"/>
  <c r="AO81" i="6" s="1"/>
  <c r="AQ46" i="6"/>
  <c r="AQ119" i="6" s="1"/>
  <c r="AR47" i="6"/>
  <c r="U35" i="7"/>
  <c r="S35" i="7"/>
  <c r="S10" i="7" s="1"/>
  <c r="T10" i="7"/>
  <c r="AR6" i="7"/>
  <c r="AQ4" i="7"/>
  <c r="AQ115" i="6"/>
  <c r="AQ128" i="6"/>
  <c r="AQ86" i="6" a="1"/>
  <c r="AQ86" i="6" s="1"/>
  <c r="AQ83" i="6" a="1"/>
  <c r="AQ83" i="6" s="1"/>
  <c r="AQ87" i="6" a="1"/>
  <c r="AQ87" i="6" s="1"/>
  <c r="AQ85" i="6" a="1"/>
  <c r="AQ85" i="6" s="1"/>
  <c r="AQ88" i="6" a="1"/>
  <c r="AQ88" i="6" s="1"/>
  <c r="AQ90" i="6" a="1"/>
  <c r="AQ90" i="6" s="1"/>
  <c r="AQ84" i="6" a="1"/>
  <c r="AQ84" i="6" s="1"/>
  <c r="AQ91" i="6" a="1"/>
  <c r="AQ91" i="6" s="1"/>
  <c r="AQ89" i="6" a="1"/>
  <c r="AQ89" i="6" s="1"/>
  <c r="AQ81" i="6" a="1"/>
  <c r="AQ81" i="6" s="1"/>
  <c r="AQ82" i="6" a="1"/>
  <c r="AQ82" i="6" s="1"/>
  <c r="AQ41" i="6"/>
  <c r="AQ44" i="6" s="1"/>
  <c r="AR6" i="6"/>
  <c r="AP168" i="6"/>
  <c r="AP167" i="6" s="1"/>
  <c r="AP166" i="6"/>
  <c r="AP162" i="6"/>
  <c r="AP164" i="6"/>
  <c r="AP161" i="6"/>
  <c r="AP160" i="6" s="1"/>
  <c r="AP165" i="6"/>
  <c r="AP163" i="6" s="1"/>
  <c r="AP53" i="6"/>
  <c r="AP52" i="6" s="1"/>
  <c r="AP11" i="6"/>
  <c r="AP8" i="6" s="1"/>
  <c r="AP10" i="6"/>
  <c r="AP7" i="6" a="1"/>
  <c r="AP7" i="6" s="1"/>
  <c r="AQ4" i="6"/>
  <c r="B126" i="6"/>
  <c r="AP113" i="6"/>
  <c r="AP116" i="6"/>
  <c r="AQ121" i="6" l="1"/>
  <c r="AQ113" i="6"/>
  <c r="AQ118" i="6"/>
  <c r="AP159" i="6"/>
  <c r="AQ106" i="6"/>
  <c r="AQ125" i="6"/>
  <c r="AQ112" i="6"/>
  <c r="AQ109" i="6"/>
  <c r="AP9" i="6"/>
  <c r="AO129" i="6"/>
  <c r="U129" i="6"/>
  <c r="AC129" i="6"/>
  <c r="AK129" i="6"/>
  <c r="AF129" i="6"/>
  <c r="D130" i="6"/>
  <c r="AR130" i="6" s="1"/>
  <c r="AP129" i="6"/>
  <c r="AB129" i="6"/>
  <c r="V129" i="6"/>
  <c r="AD129" i="6"/>
  <c r="AL129" i="6"/>
  <c r="AA129" i="6"/>
  <c r="W129" i="6"/>
  <c r="AE129" i="6"/>
  <c r="AM129" i="6"/>
  <c r="X129" i="6"/>
  <c r="AN129" i="6"/>
  <c r="Y129" i="6"/>
  <c r="AG129" i="6"/>
  <c r="Z129" i="6"/>
  <c r="AH129" i="6"/>
  <c r="AI129" i="6"/>
  <c r="T129" i="6"/>
  <c r="AJ129" i="6"/>
  <c r="AE92" i="6" a="1"/>
  <c r="AE92" i="6" s="1"/>
  <c r="AD91" i="6" a="1"/>
  <c r="AD91" i="6" s="1"/>
  <c r="AF93" i="6" a="1"/>
  <c r="AF93" i="6" s="1"/>
  <c r="AG94" i="6" a="1"/>
  <c r="AG94" i="6" s="1"/>
  <c r="AC90" i="6" a="1"/>
  <c r="AC90" i="6" s="1"/>
  <c r="AI96" i="6" a="1"/>
  <c r="AI96" i="6" s="1"/>
  <c r="AH95" i="6" a="1"/>
  <c r="AH95" i="6" s="1"/>
  <c r="AB89" i="6" a="1"/>
  <c r="AB89" i="6" s="1"/>
  <c r="AJ97" i="6" a="1"/>
  <c r="AJ97" i="6" s="1"/>
  <c r="AA88" i="6" a="1"/>
  <c r="AA88" i="6" s="1"/>
  <c r="Z87" i="6" a="1"/>
  <c r="Z87" i="6" s="1"/>
  <c r="AK98" i="6" a="1"/>
  <c r="AK98" i="6" s="1"/>
  <c r="Y86" i="6" a="1"/>
  <c r="Y86" i="6" s="1"/>
  <c r="AL99" i="6" a="1"/>
  <c r="AL99" i="6" s="1"/>
  <c r="X85" i="6" a="1"/>
  <c r="X85" i="6" s="1"/>
  <c r="W84" i="6" a="1"/>
  <c r="W84" i="6" s="1"/>
  <c r="AM100" i="6" a="1"/>
  <c r="AM100" i="6" s="1"/>
  <c r="AN101" i="6" a="1"/>
  <c r="AN101" i="6" s="1"/>
  <c r="V83" i="6" a="1"/>
  <c r="V83" i="6" s="1"/>
  <c r="AO102" i="6" a="1"/>
  <c r="AO102" i="6" s="1"/>
  <c r="U82" i="6" a="1"/>
  <c r="U82" i="6" s="1"/>
  <c r="AQ104" i="6"/>
  <c r="AP103" i="6" a="1"/>
  <c r="AP103" i="6" s="1"/>
  <c r="AP152" i="6"/>
  <c r="AP126" i="6"/>
  <c r="AQ126" i="6"/>
  <c r="AQ114" i="6"/>
  <c r="AQ110" i="6"/>
  <c r="AQ123" i="6"/>
  <c r="V35" i="7"/>
  <c r="U10" i="7"/>
  <c r="AP154" i="6"/>
  <c r="AQ120" i="6"/>
  <c r="AR46" i="6"/>
  <c r="AR126" i="6" s="1"/>
  <c r="AS47" i="6"/>
  <c r="T80" i="6" a="1"/>
  <c r="T80" i="6" s="1"/>
  <c r="D79" i="6"/>
  <c r="AF80" i="6" a="1"/>
  <c r="AF80" i="6" s="1"/>
  <c r="AG80" i="6" a="1"/>
  <c r="AG80" i="6" s="1"/>
  <c r="AH80" i="6" a="1"/>
  <c r="AH80" i="6" s="1"/>
  <c r="AI80" i="6" a="1"/>
  <c r="AI80" i="6" s="1"/>
  <c r="AJ80" i="6" a="1"/>
  <c r="AJ80" i="6" s="1"/>
  <c r="AK80" i="6" a="1"/>
  <c r="AK80" i="6" s="1"/>
  <c r="AL80" i="6" a="1"/>
  <c r="AL80" i="6" s="1"/>
  <c r="AM80" i="6" a="1"/>
  <c r="AM80" i="6" s="1"/>
  <c r="AN80" i="6" a="1"/>
  <c r="AN80" i="6" s="1"/>
  <c r="AO80" i="6" a="1"/>
  <c r="AO80" i="6" s="1"/>
  <c r="AP80" i="6" a="1"/>
  <c r="AP80" i="6" s="1"/>
  <c r="AQ107" i="6"/>
  <c r="AR4" i="7"/>
  <c r="AS6" i="7"/>
  <c r="AQ108" i="6"/>
  <c r="AQ7" i="7"/>
  <c r="B34" i="7"/>
  <c r="AQ122" i="6"/>
  <c r="AQ116" i="6"/>
  <c r="AQ168" i="6"/>
  <c r="AQ166" i="6" s="1"/>
  <c r="AQ167" i="6"/>
  <c r="AQ165" i="6"/>
  <c r="AQ162" i="6" s="1"/>
  <c r="AQ161" i="6"/>
  <c r="AQ160" i="6"/>
  <c r="AQ159" i="6"/>
  <c r="AQ52" i="6"/>
  <c r="AQ11" i="6"/>
  <c r="AQ8" i="6" s="1"/>
  <c r="AQ7" i="6" a="1"/>
  <c r="AQ7" i="6" s="1"/>
  <c r="AQ53" i="6"/>
  <c r="AQ10" i="6"/>
  <c r="AR4" i="6"/>
  <c r="B127" i="6"/>
  <c r="D37" i="7"/>
  <c r="AQ111" i="6"/>
  <c r="AQ117" i="6"/>
  <c r="AR129" i="6"/>
  <c r="AR88" i="6" a="1"/>
  <c r="AR88" i="6" s="1"/>
  <c r="AR87" i="6" a="1"/>
  <c r="AR87" i="6" s="1"/>
  <c r="AR85" i="6" a="1"/>
  <c r="AR85" i="6" s="1"/>
  <c r="AR82" i="6" a="1"/>
  <c r="AR82" i="6" s="1"/>
  <c r="AR90" i="6" a="1"/>
  <c r="AR90" i="6" s="1"/>
  <c r="AR83" i="6" a="1"/>
  <c r="AR83" i="6" s="1"/>
  <c r="AR84" i="6" a="1"/>
  <c r="AR84" i="6" s="1"/>
  <c r="AR89" i="6" a="1"/>
  <c r="AR89" i="6" s="1"/>
  <c r="AR81" i="6" a="1"/>
  <c r="AR81" i="6" s="1"/>
  <c r="AR80" i="6" a="1"/>
  <c r="AR80" i="6" s="1"/>
  <c r="AR92" i="6" a="1"/>
  <c r="AR92" i="6" s="1"/>
  <c r="AR41" i="6"/>
  <c r="AR44" i="6" s="1"/>
  <c r="AR86" i="6" a="1"/>
  <c r="AR86" i="6" s="1"/>
  <c r="AR79" i="6" a="1"/>
  <c r="AR79" i="6" s="1"/>
  <c r="AR91" i="6" a="1"/>
  <c r="AR91" i="6" s="1"/>
  <c r="AS6" i="6"/>
  <c r="AQ105" i="6"/>
  <c r="AQ124" i="6"/>
  <c r="AR106" i="6" l="1"/>
  <c r="AR119" i="6"/>
  <c r="AR124" i="6"/>
  <c r="AR121" i="6"/>
  <c r="AR108" i="6"/>
  <c r="AR117" i="6"/>
  <c r="X130" i="6"/>
  <c r="AF130" i="6"/>
  <c r="AN130" i="6"/>
  <c r="AA130" i="6"/>
  <c r="Y130" i="6"/>
  <c r="AG130" i="6"/>
  <c r="AO130" i="6"/>
  <c r="AI130" i="6"/>
  <c r="Z130" i="6"/>
  <c r="AH130" i="6"/>
  <c r="AQ130" i="6"/>
  <c r="AP130" i="6"/>
  <c r="T130" i="6"/>
  <c r="D131" i="6"/>
  <c r="AB130" i="6"/>
  <c r="AJ130" i="6"/>
  <c r="U130" i="6"/>
  <c r="AC130" i="6"/>
  <c r="AK130" i="6"/>
  <c r="V130" i="6"/>
  <c r="AD130" i="6"/>
  <c r="AL130" i="6"/>
  <c r="W130" i="6"/>
  <c r="AE130" i="6"/>
  <c r="AM130" i="6"/>
  <c r="AE91" i="6" a="1"/>
  <c r="AE91" i="6" s="1"/>
  <c r="AF92" i="6" a="1"/>
  <c r="AF92" i="6" s="1"/>
  <c r="AH94" i="6" a="1"/>
  <c r="AH94" i="6" s="1"/>
  <c r="AG93" i="6" a="1"/>
  <c r="AG93" i="6" s="1"/>
  <c r="AD90" i="6" a="1"/>
  <c r="AD90" i="6" s="1"/>
  <c r="AI95" i="6" a="1"/>
  <c r="AI95" i="6" s="1"/>
  <c r="AC89" i="6" a="1"/>
  <c r="AC89" i="6" s="1"/>
  <c r="AB88" i="6" a="1"/>
  <c r="AB88" i="6" s="1"/>
  <c r="AA87" i="6" a="1"/>
  <c r="AA87" i="6" s="1"/>
  <c r="AJ96" i="6" a="1"/>
  <c r="AJ96" i="6" s="1"/>
  <c r="Z86" i="6" a="1"/>
  <c r="Z86" i="6" s="1"/>
  <c r="AK97" i="6" a="1"/>
  <c r="AK97" i="6" s="1"/>
  <c r="AL98" i="6" a="1"/>
  <c r="AL98" i="6" s="1"/>
  <c r="Y85" i="6" a="1"/>
  <c r="Y85" i="6" s="1"/>
  <c r="AM99" i="6" a="1"/>
  <c r="AM99" i="6" s="1"/>
  <c r="X84" i="6" a="1"/>
  <c r="X84" i="6" s="1"/>
  <c r="AN100" i="6" a="1"/>
  <c r="AN100" i="6" s="1"/>
  <c r="AO101" i="6" a="1"/>
  <c r="AO101" i="6" s="1"/>
  <c r="W83" i="6" a="1"/>
  <c r="W83" i="6" s="1"/>
  <c r="V82" i="6" a="1"/>
  <c r="V82" i="6" s="1"/>
  <c r="AQ103" i="6" a="1"/>
  <c r="AQ103" i="6" s="1"/>
  <c r="AP102" i="6" a="1"/>
  <c r="AP102" i="6" s="1"/>
  <c r="U81" i="6" a="1"/>
  <c r="U81" i="6" s="1"/>
  <c r="AR118" i="6"/>
  <c r="AR107" i="6"/>
  <c r="AR112" i="6"/>
  <c r="D38" i="7"/>
  <c r="AQ9" i="6"/>
  <c r="AR7" i="7"/>
  <c r="B35" i="7"/>
  <c r="AQ152" i="6"/>
  <c r="AQ154" i="6" s="1"/>
  <c r="AQ127" i="6"/>
  <c r="AS4" i="7"/>
  <c r="AT6" i="7"/>
  <c r="AR122" i="6"/>
  <c r="AR105" i="6"/>
  <c r="AR116" i="6"/>
  <c r="AR114" i="6"/>
  <c r="AR168" i="6"/>
  <c r="AR167" i="6" s="1"/>
  <c r="AR161" i="6"/>
  <c r="AR160" i="6" s="1"/>
  <c r="AR164" i="6"/>
  <c r="AR165" i="6"/>
  <c r="AR162" i="6" s="1"/>
  <c r="AR53" i="6"/>
  <c r="AR52" i="6"/>
  <c r="AS4" i="6"/>
  <c r="AR7" i="6" a="1"/>
  <c r="AR7" i="6" s="1"/>
  <c r="AR10" i="6"/>
  <c r="AR11" i="6"/>
  <c r="AR8" i="6" s="1"/>
  <c r="B128" i="6"/>
  <c r="AQ163" i="6"/>
  <c r="AR163" i="6" s="1"/>
  <c r="D78" i="6"/>
  <c r="AE79" i="6" a="1"/>
  <c r="AE79" i="6" s="1"/>
  <c r="AF79" i="6" a="1"/>
  <c r="AF79" i="6" s="1"/>
  <c r="AG79" i="6" a="1"/>
  <c r="AG79" i="6" s="1"/>
  <c r="AH79" i="6" a="1"/>
  <c r="AH79" i="6" s="1"/>
  <c r="AI79" i="6" a="1"/>
  <c r="AI79" i="6" s="1"/>
  <c r="AJ79" i="6" a="1"/>
  <c r="AJ79" i="6" s="1"/>
  <c r="AK79" i="6" a="1"/>
  <c r="AK79" i="6" s="1"/>
  <c r="AL79" i="6" a="1"/>
  <c r="AL79" i="6" s="1"/>
  <c r="AM79" i="6" a="1"/>
  <c r="AM79" i="6" s="1"/>
  <c r="AN79" i="6" a="1"/>
  <c r="AN79" i="6" s="1"/>
  <c r="AO79" i="6" a="1"/>
  <c r="AO79" i="6" s="1"/>
  <c r="AP79" i="6" a="1"/>
  <c r="AP79" i="6" s="1"/>
  <c r="AQ79" i="6" a="1"/>
  <c r="AQ79" i="6" s="1"/>
  <c r="AR109" i="6"/>
  <c r="AR123" i="6"/>
  <c r="AR110" i="6"/>
  <c r="AR125" i="6"/>
  <c r="AQ164" i="6"/>
  <c r="AR104" i="6"/>
  <c r="AR127" i="6"/>
  <c r="AR111" i="6"/>
  <c r="AS127" i="6"/>
  <c r="AS130" i="6"/>
  <c r="AS90" i="6" a="1"/>
  <c r="AS90" i="6" s="1"/>
  <c r="AS117" i="6"/>
  <c r="AS88" i="6" a="1"/>
  <c r="AS88" i="6" s="1"/>
  <c r="AS79" i="6" a="1"/>
  <c r="AS79" i="6" s="1"/>
  <c r="AS89" i="6" a="1"/>
  <c r="AS89" i="6" s="1"/>
  <c r="AS84" i="6" a="1"/>
  <c r="AS84" i="6" s="1"/>
  <c r="AS81" i="6" a="1"/>
  <c r="AS81" i="6" s="1"/>
  <c r="AS91" i="6" a="1"/>
  <c r="AS91" i="6" s="1"/>
  <c r="AS123" i="6"/>
  <c r="AS78" i="6" a="1"/>
  <c r="AS78" i="6" s="1"/>
  <c r="AS92" i="6" a="1"/>
  <c r="AS92" i="6" s="1"/>
  <c r="AS80" i="6" a="1"/>
  <c r="AS80" i="6" s="1"/>
  <c r="AS86" i="6" a="1"/>
  <c r="AS86" i="6" s="1"/>
  <c r="AS85" i="6" a="1"/>
  <c r="AS85" i="6" s="1"/>
  <c r="AS82" i="6" a="1"/>
  <c r="AS82" i="6" s="1"/>
  <c r="AS93" i="6" a="1"/>
  <c r="AS93" i="6" s="1"/>
  <c r="AS83" i="6" a="1"/>
  <c r="AS83" i="6" s="1"/>
  <c r="AS41" i="6"/>
  <c r="AS44" i="6" s="1"/>
  <c r="AT6" i="6"/>
  <c r="AS87" i="6" a="1"/>
  <c r="AS87" i="6" s="1"/>
  <c r="AR115" i="6"/>
  <c r="AR113" i="6"/>
  <c r="AR120" i="6"/>
  <c r="AS46" i="6"/>
  <c r="AS118" i="6" s="1"/>
  <c r="AT47" i="6"/>
  <c r="V10" i="7"/>
  <c r="W35" i="7"/>
  <c r="AS112" i="6" l="1"/>
  <c r="AS119" i="6"/>
  <c r="AS110" i="6"/>
  <c r="AS126" i="6"/>
  <c r="AS106" i="6"/>
  <c r="AS125" i="6"/>
  <c r="AQ131" i="6"/>
  <c r="Z131" i="6"/>
  <c r="AH131" i="6"/>
  <c r="AP131" i="6"/>
  <c r="AM131" i="6"/>
  <c r="AF131" i="6"/>
  <c r="D132" i="6"/>
  <c r="AT132" i="6" s="1"/>
  <c r="AA131" i="6"/>
  <c r="AI131" i="6"/>
  <c r="AR131" i="6"/>
  <c r="T131" i="6"/>
  <c r="AB131" i="6"/>
  <c r="AJ131" i="6"/>
  <c r="U131" i="6"/>
  <c r="AC131" i="6"/>
  <c r="AK131" i="6"/>
  <c r="AE131" i="6"/>
  <c r="AN131" i="6"/>
  <c r="V131" i="6"/>
  <c r="AD131" i="6"/>
  <c r="AL131" i="6"/>
  <c r="W131" i="6"/>
  <c r="X131" i="6"/>
  <c r="Y131" i="6"/>
  <c r="AG131" i="6"/>
  <c r="AO131" i="6"/>
  <c r="AS131" i="6"/>
  <c r="AS115" i="6"/>
  <c r="AS121" i="6"/>
  <c r="AS128" i="6"/>
  <c r="AS122" i="6"/>
  <c r="AU47" i="6"/>
  <c r="AT46" i="6"/>
  <c r="AT118" i="6" s="1"/>
  <c r="AR159" i="6"/>
  <c r="AT92" i="6" a="1"/>
  <c r="AT92" i="6" s="1"/>
  <c r="AT131" i="6"/>
  <c r="AT81" i="6" a="1"/>
  <c r="AT81" i="6" s="1"/>
  <c r="AT90" i="6" a="1"/>
  <c r="AT90" i="6" s="1"/>
  <c r="AT91" i="6" a="1"/>
  <c r="AT91" i="6" s="1"/>
  <c r="AT83" i="6" a="1"/>
  <c r="AT83" i="6" s="1"/>
  <c r="AT80" i="6" a="1"/>
  <c r="AT80" i="6" s="1"/>
  <c r="AT79" i="6" a="1"/>
  <c r="AT79" i="6" s="1"/>
  <c r="AT84" i="6" a="1"/>
  <c r="AT84" i="6" s="1"/>
  <c r="AT94" i="6" a="1"/>
  <c r="AT94" i="6" s="1"/>
  <c r="AT86" i="6" a="1"/>
  <c r="AT86" i="6" s="1"/>
  <c r="AT85" i="6" a="1"/>
  <c r="AT85" i="6" s="1"/>
  <c r="AT82" i="6" a="1"/>
  <c r="AT82" i="6" s="1"/>
  <c r="AT41" i="6"/>
  <c r="AT44" i="6" s="1"/>
  <c r="AT89" i="6" a="1"/>
  <c r="AT89" i="6" s="1"/>
  <c r="AT93" i="6" a="1"/>
  <c r="AT93" i="6" s="1"/>
  <c r="AT88" i="6" a="1"/>
  <c r="AT88" i="6" s="1"/>
  <c r="AT87" i="6" a="1"/>
  <c r="AT87" i="6" s="1"/>
  <c r="AT78" i="6" a="1"/>
  <c r="AT78" i="6" s="1"/>
  <c r="AU6" i="6"/>
  <c r="AS120" i="6"/>
  <c r="X35" i="7"/>
  <c r="W10" i="7"/>
  <c r="AS108" i="6"/>
  <c r="AS124" i="6"/>
  <c r="AR9" i="6"/>
  <c r="AF91" i="6" a="1"/>
  <c r="AF91" i="6" s="1"/>
  <c r="AG92" i="6" a="1"/>
  <c r="AG92" i="6" s="1"/>
  <c r="AE90" i="6" a="1"/>
  <c r="AE90" i="6" s="1"/>
  <c r="AH93" i="6" a="1"/>
  <c r="AH93" i="6" s="1"/>
  <c r="AI94" i="6" a="1"/>
  <c r="AI94" i="6" s="1"/>
  <c r="AD89" i="6" a="1"/>
  <c r="AD89" i="6" s="1"/>
  <c r="AC88" i="6" a="1"/>
  <c r="AC88" i="6" s="1"/>
  <c r="AJ95" i="6" a="1"/>
  <c r="AJ95" i="6" s="1"/>
  <c r="AB87" i="6" a="1"/>
  <c r="AB87" i="6" s="1"/>
  <c r="AK96" i="6" a="1"/>
  <c r="AK96" i="6" s="1"/>
  <c r="AA86" i="6" a="1"/>
  <c r="AA86" i="6" s="1"/>
  <c r="AL97" i="6" a="1"/>
  <c r="AL97" i="6" s="1"/>
  <c r="Z85" i="6" a="1"/>
  <c r="Z85" i="6" s="1"/>
  <c r="AM98" i="6" a="1"/>
  <c r="AM98" i="6" s="1"/>
  <c r="AN99" i="6" a="1"/>
  <c r="AN99" i="6" s="1"/>
  <c r="Y84" i="6" a="1"/>
  <c r="Y84" i="6" s="1"/>
  <c r="X83" i="6" a="1"/>
  <c r="X83" i="6" s="1"/>
  <c r="AP101" i="6" a="1"/>
  <c r="AP101" i="6" s="1"/>
  <c r="W82" i="6" a="1"/>
  <c r="W82" i="6" s="1"/>
  <c r="AO100" i="6" a="1"/>
  <c r="AO100" i="6" s="1"/>
  <c r="AQ102" i="6" a="1"/>
  <c r="AQ102" i="6" s="1"/>
  <c r="V81" i="6" a="1"/>
  <c r="V81" i="6" s="1"/>
  <c r="U80" i="6" a="1"/>
  <c r="U80" i="6" s="1"/>
  <c r="AR103" i="6" a="1"/>
  <c r="AR103" i="6" s="1"/>
  <c r="AS104" i="6"/>
  <c r="AS114" i="6"/>
  <c r="AS165" i="6"/>
  <c r="AS164" i="6" s="1"/>
  <c r="AS163" i="6"/>
  <c r="AS161" i="6"/>
  <c r="AS168" i="6"/>
  <c r="AS167" i="6" s="1"/>
  <c r="AS53" i="6"/>
  <c r="AS52" i="6"/>
  <c r="AT129" i="6" s="1"/>
  <c r="AS11" i="6"/>
  <c r="AS8" i="6" s="1"/>
  <c r="AS10" i="6"/>
  <c r="AT4" i="6"/>
  <c r="AS7" i="6" a="1"/>
  <c r="AS7" i="6" s="1"/>
  <c r="B129" i="6"/>
  <c r="AS111" i="6"/>
  <c r="AS107" i="6"/>
  <c r="AS116" i="6"/>
  <c r="AR152" i="6"/>
  <c r="AR154" i="6" s="1"/>
  <c r="AR128" i="6"/>
  <c r="AR166" i="6"/>
  <c r="AS105" i="6"/>
  <c r="AS7" i="7"/>
  <c r="B36" i="7"/>
  <c r="AS113" i="6"/>
  <c r="AS109" i="6"/>
  <c r="T78" i="6" a="1"/>
  <c r="T78" i="6" s="1"/>
  <c r="D77" i="6"/>
  <c r="U78" i="6" a="1"/>
  <c r="U78" i="6" s="1"/>
  <c r="V78" i="6" a="1"/>
  <c r="V78" i="6" s="1"/>
  <c r="W78" i="6" a="1"/>
  <c r="W78" i="6" s="1"/>
  <c r="X78" i="6" a="1"/>
  <c r="X78" i="6" s="1"/>
  <c r="Y78" i="6" a="1"/>
  <c r="Y78" i="6" s="1"/>
  <c r="Z78" i="6" a="1"/>
  <c r="Z78" i="6" s="1"/>
  <c r="AA78" i="6" a="1"/>
  <c r="AA78" i="6" s="1"/>
  <c r="AB78" i="6" a="1"/>
  <c r="AB78" i="6" s="1"/>
  <c r="AC78" i="6" a="1"/>
  <c r="AC78" i="6" s="1"/>
  <c r="AD78" i="6" a="1"/>
  <c r="AD78" i="6" s="1"/>
  <c r="AE78" i="6" a="1"/>
  <c r="AE78" i="6" s="1"/>
  <c r="AF78" i="6" a="1"/>
  <c r="AF78" i="6" s="1"/>
  <c r="AG78" i="6" a="1"/>
  <c r="AG78" i="6" s="1"/>
  <c r="AH78" i="6" a="1"/>
  <c r="AH78" i="6" s="1"/>
  <c r="AI78" i="6" a="1"/>
  <c r="AI78" i="6" s="1"/>
  <c r="AJ78" i="6" a="1"/>
  <c r="AJ78" i="6" s="1"/>
  <c r="AK78" i="6" a="1"/>
  <c r="AK78" i="6" s="1"/>
  <c r="AL78" i="6" a="1"/>
  <c r="AL78" i="6" s="1"/>
  <c r="AM78" i="6" a="1"/>
  <c r="AM78" i="6" s="1"/>
  <c r="AN78" i="6" a="1"/>
  <c r="AN78" i="6" s="1"/>
  <c r="AO78" i="6" a="1"/>
  <c r="AO78" i="6" s="1"/>
  <c r="AP78" i="6" a="1"/>
  <c r="AP78" i="6" s="1"/>
  <c r="AQ78" i="6" a="1"/>
  <c r="AQ78" i="6" s="1"/>
  <c r="AR78" i="6" a="1"/>
  <c r="AR78" i="6" s="1"/>
  <c r="AT4" i="7"/>
  <c r="AU6" i="7"/>
  <c r="D39" i="7"/>
  <c r="AT106" i="6" l="1"/>
  <c r="AT115" i="6"/>
  <c r="AT105" i="6"/>
  <c r="AT127" i="6"/>
  <c r="AT109" i="6"/>
  <c r="AS159" i="6"/>
  <c r="AT111" i="6"/>
  <c r="AS9" i="6"/>
  <c r="AS162" i="6"/>
  <c r="AT124" i="6"/>
  <c r="AR132" i="6"/>
  <c r="Z132" i="6"/>
  <c r="AH132" i="6"/>
  <c r="AP132" i="6"/>
  <c r="AC132" i="6"/>
  <c r="V132" i="6"/>
  <c r="AE132" i="6"/>
  <c r="T132" i="6"/>
  <c r="AA132" i="6"/>
  <c r="AI132" i="6"/>
  <c r="AQ132" i="6"/>
  <c r="AS132" i="6"/>
  <c r="AK132" i="6"/>
  <c r="AL132" i="6"/>
  <c r="AN132" i="6"/>
  <c r="D133" i="6"/>
  <c r="AU133" i="6" s="1"/>
  <c r="AB132" i="6"/>
  <c r="AJ132" i="6"/>
  <c r="W132" i="6"/>
  <c r="AF132" i="6"/>
  <c r="X132" i="6"/>
  <c r="Y132" i="6"/>
  <c r="AG132" i="6"/>
  <c r="AO132" i="6"/>
  <c r="U132" i="6"/>
  <c r="AD132" i="6"/>
  <c r="AM132" i="6"/>
  <c r="AF90" i="6" a="1"/>
  <c r="AF90" i="6" s="1"/>
  <c r="AG91" i="6" a="1"/>
  <c r="AG91" i="6" s="1"/>
  <c r="AH92" i="6" a="1"/>
  <c r="AH92" i="6" s="1"/>
  <c r="AI93" i="6" a="1"/>
  <c r="AI93" i="6" s="1"/>
  <c r="AE89" i="6" a="1"/>
  <c r="AE89" i="6" s="1"/>
  <c r="AD88" i="6" a="1"/>
  <c r="AD88" i="6" s="1"/>
  <c r="AJ94" i="6" a="1"/>
  <c r="AJ94" i="6" s="1"/>
  <c r="AK95" i="6" a="1"/>
  <c r="AK95" i="6" s="1"/>
  <c r="AC87" i="6" a="1"/>
  <c r="AC87" i="6" s="1"/>
  <c r="AB86" i="6" a="1"/>
  <c r="AB86" i="6" s="1"/>
  <c r="AL96" i="6" a="1"/>
  <c r="AL96" i="6" s="1"/>
  <c r="AA85" i="6" a="1"/>
  <c r="AA85" i="6" s="1"/>
  <c r="Z84" i="6" a="1"/>
  <c r="Z84" i="6" s="1"/>
  <c r="AN98" i="6" a="1"/>
  <c r="AN98" i="6" s="1"/>
  <c r="AM97" i="6" a="1"/>
  <c r="AM97" i="6" s="1"/>
  <c r="AO99" i="6" a="1"/>
  <c r="AO99" i="6" s="1"/>
  <c r="Y83" i="6" a="1"/>
  <c r="Y83" i="6" s="1"/>
  <c r="AP100" i="6" a="1"/>
  <c r="AP100" i="6" s="1"/>
  <c r="X82" i="6" a="1"/>
  <c r="X82" i="6" s="1"/>
  <c r="W81" i="6" a="1"/>
  <c r="W81" i="6" s="1"/>
  <c r="AQ101" i="6" a="1"/>
  <c r="AQ101" i="6" s="1"/>
  <c r="V80" i="6" a="1"/>
  <c r="V80" i="6" s="1"/>
  <c r="U79" i="6" a="1"/>
  <c r="U79" i="6" s="1"/>
  <c r="AR102" i="6" a="1"/>
  <c r="AR102" i="6" s="1"/>
  <c r="AT104" i="6"/>
  <c r="AS103" i="6" a="1"/>
  <c r="AS103" i="6" s="1"/>
  <c r="AT7" i="7"/>
  <c r="B37" i="7"/>
  <c r="Y35" i="7"/>
  <c r="X10" i="7"/>
  <c r="AT125" i="6"/>
  <c r="AT120" i="6"/>
  <c r="T77" i="6" a="1"/>
  <c r="T77" i="6" s="1"/>
  <c r="D76" i="6"/>
  <c r="U77" i="6" a="1"/>
  <c r="U77" i="6" s="1"/>
  <c r="V77" i="6" a="1"/>
  <c r="V77" i="6" s="1"/>
  <c r="W77" i="6" a="1"/>
  <c r="W77" i="6" s="1"/>
  <c r="X77" i="6" a="1"/>
  <c r="X77" i="6" s="1"/>
  <c r="Y77" i="6" a="1"/>
  <c r="Y77" i="6" s="1"/>
  <c r="Z77" i="6" a="1"/>
  <c r="Z77" i="6" s="1"/>
  <c r="AA77" i="6" a="1"/>
  <c r="AA77" i="6" s="1"/>
  <c r="AB77" i="6" a="1"/>
  <c r="AB77" i="6" s="1"/>
  <c r="AC77" i="6" a="1"/>
  <c r="AC77" i="6" s="1"/>
  <c r="AD77" i="6" a="1"/>
  <c r="AD77" i="6" s="1"/>
  <c r="AE77" i="6" a="1"/>
  <c r="AE77" i="6" s="1"/>
  <c r="AF77" i="6" a="1"/>
  <c r="AF77" i="6" s="1"/>
  <c r="AG77" i="6" a="1"/>
  <c r="AG77" i="6" s="1"/>
  <c r="AH77" i="6" a="1"/>
  <c r="AH77" i="6" s="1"/>
  <c r="AI77" i="6" a="1"/>
  <c r="AI77" i="6" s="1"/>
  <c r="AJ77" i="6" a="1"/>
  <c r="AJ77" i="6" s="1"/>
  <c r="AK77" i="6" a="1"/>
  <c r="AK77" i="6" s="1"/>
  <c r="AL77" i="6" a="1"/>
  <c r="AL77" i="6" s="1"/>
  <c r="AM77" i="6" a="1"/>
  <c r="AM77" i="6" s="1"/>
  <c r="AN77" i="6" a="1"/>
  <c r="AN77" i="6" s="1"/>
  <c r="AO77" i="6" a="1"/>
  <c r="AO77" i="6" s="1"/>
  <c r="AP77" i="6" a="1"/>
  <c r="AP77" i="6" s="1"/>
  <c r="AQ77" i="6" a="1"/>
  <c r="AQ77" i="6" s="1"/>
  <c r="AR77" i="6" a="1"/>
  <c r="AR77" i="6" s="1"/>
  <c r="AS77" i="6" a="1"/>
  <c r="AS77" i="6" s="1"/>
  <c r="AS160" i="6"/>
  <c r="AT121" i="6"/>
  <c r="AT107" i="6"/>
  <c r="AT110" i="6"/>
  <c r="AT128" i="6"/>
  <c r="AT122" i="6"/>
  <c r="AT126" i="6"/>
  <c r="AT117" i="6"/>
  <c r="AS166" i="6"/>
  <c r="AU132" i="6"/>
  <c r="AU94" i="6" a="1"/>
  <c r="AU94" i="6" s="1"/>
  <c r="AU86" i="6" a="1"/>
  <c r="AU86" i="6" s="1"/>
  <c r="AU91" i="6" a="1"/>
  <c r="AU91" i="6" s="1"/>
  <c r="AU83" i="6" a="1"/>
  <c r="AU83" i="6" s="1"/>
  <c r="AU92" i="6" a="1"/>
  <c r="AU92" i="6" s="1"/>
  <c r="AU85" i="6" a="1"/>
  <c r="AU85" i="6" s="1"/>
  <c r="AU81" i="6" a="1"/>
  <c r="AU81" i="6" s="1"/>
  <c r="AU89" i="6" a="1"/>
  <c r="AU89" i="6" s="1"/>
  <c r="AU82" i="6" a="1"/>
  <c r="AU82" i="6" s="1"/>
  <c r="AU93" i="6" a="1"/>
  <c r="AU93" i="6" s="1"/>
  <c r="AU77" i="6" a="1"/>
  <c r="AU77" i="6" s="1"/>
  <c r="AU88" i="6" a="1"/>
  <c r="AU88" i="6" s="1"/>
  <c r="AU79" i="6" a="1"/>
  <c r="AU79" i="6" s="1"/>
  <c r="AU90" i="6" a="1"/>
  <c r="AU90" i="6" s="1"/>
  <c r="AU84" i="6" a="1"/>
  <c r="AU84" i="6" s="1"/>
  <c r="AU80" i="6" a="1"/>
  <c r="AU80" i="6" s="1"/>
  <c r="AU87" i="6" a="1"/>
  <c r="AU87" i="6" s="1"/>
  <c r="AU78" i="6" a="1"/>
  <c r="AU78" i="6" s="1"/>
  <c r="AV6" i="6"/>
  <c r="AU95" i="6" a="1"/>
  <c r="AU95" i="6" s="1"/>
  <c r="AU41" i="6"/>
  <c r="AU44" i="6" s="1"/>
  <c r="AT119" i="6"/>
  <c r="AT123" i="6"/>
  <c r="AU46" i="6"/>
  <c r="AU121" i="6" s="1"/>
  <c r="AV47" i="6"/>
  <c r="AV6" i="7"/>
  <c r="AU4" i="7"/>
  <c r="AT77" i="6" a="1"/>
  <c r="AT77" i="6" s="1"/>
  <c r="AT112" i="6"/>
  <c r="AT116" i="6"/>
  <c r="AS152" i="6"/>
  <c r="AS129" i="6"/>
  <c r="AT113" i="6"/>
  <c r="D40" i="7"/>
  <c r="AT161" i="6"/>
  <c r="AT159" i="6" s="1"/>
  <c r="AT165" i="6"/>
  <c r="AT164" i="6" s="1"/>
  <c r="AT168" i="6"/>
  <c r="AT53" i="6"/>
  <c r="AT52" i="6" s="1"/>
  <c r="AT7" i="6" a="1"/>
  <c r="AT7" i="6" s="1"/>
  <c r="AU4" i="6"/>
  <c r="AT11" i="6"/>
  <c r="AT8" i="6" s="1"/>
  <c r="AT10" i="6"/>
  <c r="B130" i="6"/>
  <c r="AT114" i="6"/>
  <c r="AT108" i="6"/>
  <c r="AU106" i="6" l="1"/>
  <c r="AU119" i="6"/>
  <c r="AU118" i="6"/>
  <c r="AU120" i="6"/>
  <c r="AU116" i="6"/>
  <c r="AU110" i="6"/>
  <c r="AU127" i="6"/>
  <c r="AU108" i="6"/>
  <c r="AU113" i="6"/>
  <c r="AU126" i="6"/>
  <c r="AU109" i="6"/>
  <c r="AT160" i="6"/>
  <c r="AT166" i="6"/>
  <c r="AU115" i="6"/>
  <c r="AU111" i="6"/>
  <c r="AU123" i="6"/>
  <c r="D134" i="6"/>
  <c r="AA133" i="6"/>
  <c r="AI133" i="6"/>
  <c r="AQ133" i="6"/>
  <c r="AS133" i="6"/>
  <c r="T133" i="6"/>
  <c r="AB133" i="6"/>
  <c r="AJ133" i="6"/>
  <c r="AR133" i="6"/>
  <c r="AT133" i="6"/>
  <c r="U133" i="6"/>
  <c r="AC133" i="6"/>
  <c r="AK133" i="6"/>
  <c r="V133" i="6"/>
  <c r="AD133" i="6"/>
  <c r="AL133" i="6"/>
  <c r="W133" i="6"/>
  <c r="AE133" i="6"/>
  <c r="AM133" i="6"/>
  <c r="X133" i="6"/>
  <c r="AF133" i="6"/>
  <c r="AN133" i="6"/>
  <c r="Y133" i="6"/>
  <c r="AG133" i="6"/>
  <c r="AO133" i="6"/>
  <c r="Z133" i="6"/>
  <c r="AH133" i="6"/>
  <c r="AP133" i="6"/>
  <c r="AT152" i="6"/>
  <c r="AT130" i="6"/>
  <c r="AU130" i="6"/>
  <c r="AG90" i="6" a="1"/>
  <c r="AG90" i="6" s="1"/>
  <c r="AF89" i="6" a="1"/>
  <c r="AF89" i="6" s="1"/>
  <c r="AI92" i="6" a="1"/>
  <c r="AI92" i="6" s="1"/>
  <c r="AH91" i="6" a="1"/>
  <c r="AH91" i="6" s="1"/>
  <c r="AJ93" i="6" a="1"/>
  <c r="AJ93" i="6" s="1"/>
  <c r="AE88" i="6" a="1"/>
  <c r="AE88" i="6" s="1"/>
  <c r="AK94" i="6" a="1"/>
  <c r="AK94" i="6" s="1"/>
  <c r="AD87" i="6" a="1"/>
  <c r="AD87" i="6" s="1"/>
  <c r="AC86" i="6" a="1"/>
  <c r="AC86" i="6" s="1"/>
  <c r="AL95" i="6" a="1"/>
  <c r="AL95" i="6" s="1"/>
  <c r="AM96" i="6" a="1"/>
  <c r="AM96" i="6" s="1"/>
  <c r="AB85" i="6" a="1"/>
  <c r="AB85" i="6" s="1"/>
  <c r="AA84" i="6" a="1"/>
  <c r="AA84" i="6" s="1"/>
  <c r="AN97" i="6" a="1"/>
  <c r="AN97" i="6" s="1"/>
  <c r="Z83" i="6" a="1"/>
  <c r="Z83" i="6" s="1"/>
  <c r="AO98" i="6" a="1"/>
  <c r="AO98" i="6" s="1"/>
  <c r="AP99" i="6" a="1"/>
  <c r="AP99" i="6" s="1"/>
  <c r="Y82" i="6" a="1"/>
  <c r="Y82" i="6" s="1"/>
  <c r="X81" i="6" a="1"/>
  <c r="X81" i="6" s="1"/>
  <c r="AQ100" i="6" a="1"/>
  <c r="AQ100" i="6" s="1"/>
  <c r="W80" i="6" a="1"/>
  <c r="W80" i="6" s="1"/>
  <c r="AR101" i="6" a="1"/>
  <c r="AR101" i="6" s="1"/>
  <c r="V79" i="6" a="1"/>
  <c r="V79" i="6" s="1"/>
  <c r="AT103" i="6" a="1"/>
  <c r="AT103" i="6" s="1"/>
  <c r="AS102" i="6" a="1"/>
  <c r="AS102" i="6" s="1"/>
  <c r="AU104" i="6"/>
  <c r="D41" i="7"/>
  <c r="AV46" i="6"/>
  <c r="AV124" i="6" s="1"/>
  <c r="AW47" i="6"/>
  <c r="Z35" i="7"/>
  <c r="Y10" i="7"/>
  <c r="AU105" i="6"/>
  <c r="AU117" i="6"/>
  <c r="AU114" i="6"/>
  <c r="AU7" i="7"/>
  <c r="B38" i="7"/>
  <c r="AT163" i="6"/>
  <c r="AU112" i="6"/>
  <c r="AU125" i="6"/>
  <c r="AU128" i="6"/>
  <c r="AU122" i="6"/>
  <c r="T76" i="6" a="1"/>
  <c r="T76" i="6" s="1"/>
  <c r="D75" i="6"/>
  <c r="AV75" i="6" s="1" a="1"/>
  <c r="AV75" i="6" s="1"/>
  <c r="U76" i="6" a="1"/>
  <c r="U76" i="6" s="1"/>
  <c r="V76" i="6" a="1"/>
  <c r="V76" i="6" s="1"/>
  <c r="W76" i="6" a="1"/>
  <c r="W76" i="6" s="1"/>
  <c r="X76" i="6" a="1"/>
  <c r="X76" i="6" s="1"/>
  <c r="Y76" i="6" a="1"/>
  <c r="Y76" i="6" s="1"/>
  <c r="Z76" i="6" a="1"/>
  <c r="Z76" i="6" s="1"/>
  <c r="AA76" i="6" a="1"/>
  <c r="AA76" i="6" s="1"/>
  <c r="AB76" i="6" a="1"/>
  <c r="AB76" i="6" s="1"/>
  <c r="AC76" i="6" a="1"/>
  <c r="AC76" i="6" s="1"/>
  <c r="AD76" i="6" a="1"/>
  <c r="AD76" i="6" s="1"/>
  <c r="AE76" i="6" a="1"/>
  <c r="AE76" i="6" s="1"/>
  <c r="AF76" i="6" a="1"/>
  <c r="AF76" i="6" s="1"/>
  <c r="AG76" i="6" a="1"/>
  <c r="AG76" i="6" s="1"/>
  <c r="AH76" i="6" a="1"/>
  <c r="AH76" i="6" s="1"/>
  <c r="AI76" i="6" a="1"/>
  <c r="AI76" i="6" s="1"/>
  <c r="AJ76" i="6" a="1"/>
  <c r="AJ76" i="6" s="1"/>
  <c r="AK76" i="6" a="1"/>
  <c r="AK76" i="6" s="1"/>
  <c r="AL76" i="6" a="1"/>
  <c r="AL76" i="6" s="1"/>
  <c r="AM76" i="6" a="1"/>
  <c r="AM76" i="6" s="1"/>
  <c r="AN76" i="6" a="1"/>
  <c r="AN76" i="6" s="1"/>
  <c r="AO76" i="6" a="1"/>
  <c r="AO76" i="6" s="1"/>
  <c r="AP76" i="6" a="1"/>
  <c r="AP76" i="6" s="1"/>
  <c r="AQ76" i="6" a="1"/>
  <c r="AQ76" i="6" s="1"/>
  <c r="AR76" i="6" a="1"/>
  <c r="AR76" i="6" s="1"/>
  <c r="AS76" i="6" a="1"/>
  <c r="AS76" i="6" s="1"/>
  <c r="AT76" i="6" a="1"/>
  <c r="AT76" i="6" s="1"/>
  <c r="AV134" i="6"/>
  <c r="AV96" i="6" a="1"/>
  <c r="AV96" i="6" s="1"/>
  <c r="AV88" i="6" a="1"/>
  <c r="AV88" i="6" s="1"/>
  <c r="AV133" i="6"/>
  <c r="AV108" i="6"/>
  <c r="AV92" i="6" a="1"/>
  <c r="AV92" i="6" s="1"/>
  <c r="AV86" i="6" a="1"/>
  <c r="AV86" i="6" s="1"/>
  <c r="AV85" i="6" a="1"/>
  <c r="AV85" i="6" s="1"/>
  <c r="AV77" i="6" a="1"/>
  <c r="AV77" i="6" s="1"/>
  <c r="AV93" i="6" a="1"/>
  <c r="AV93" i="6" s="1"/>
  <c r="AV87" i="6" a="1"/>
  <c r="AV87" i="6" s="1"/>
  <c r="AV82" i="6" a="1"/>
  <c r="AV82" i="6" s="1"/>
  <c r="AV95" i="6" a="1"/>
  <c r="AV95" i="6" s="1"/>
  <c r="AV89" i="6" a="1"/>
  <c r="AV89" i="6" s="1"/>
  <c r="AV106" i="6"/>
  <c r="AV94" i="6" a="1"/>
  <c r="AV94" i="6" s="1"/>
  <c r="AV76" i="6" a="1"/>
  <c r="AV76" i="6" s="1"/>
  <c r="AV83" i="6" a="1"/>
  <c r="AV83" i="6" s="1"/>
  <c r="AV79" i="6" a="1"/>
  <c r="AV79" i="6" s="1"/>
  <c r="AV81" i="6" a="1"/>
  <c r="AV81" i="6" s="1"/>
  <c r="AV90" i="6" a="1"/>
  <c r="AV90" i="6" s="1"/>
  <c r="AV84" i="6" a="1"/>
  <c r="AV84" i="6" s="1"/>
  <c r="AV80" i="6" a="1"/>
  <c r="AV80" i="6" s="1"/>
  <c r="AV91" i="6" a="1"/>
  <c r="AV91" i="6" s="1"/>
  <c r="AV78" i="6" a="1"/>
  <c r="AV78" i="6" s="1"/>
  <c r="AW6" i="6"/>
  <c r="AV41" i="6"/>
  <c r="AV44" i="6" s="1"/>
  <c r="AU76" i="6" a="1"/>
  <c r="AU76" i="6" s="1"/>
  <c r="AT9" i="6"/>
  <c r="AT167" i="6"/>
  <c r="AV4" i="7"/>
  <c r="AW6" i="7"/>
  <c r="AU124" i="6"/>
  <c r="AT162" i="6"/>
  <c r="AU162" i="6" s="1"/>
  <c r="AU165" i="6"/>
  <c r="AU168" i="6"/>
  <c r="AU167" i="6" s="1"/>
  <c r="AU164" i="6"/>
  <c r="AU159" i="6"/>
  <c r="AU163" i="6"/>
  <c r="AU161" i="6"/>
  <c r="AU160" i="6" s="1"/>
  <c r="AV4" i="6"/>
  <c r="AU10" i="6"/>
  <c r="AU11" i="6"/>
  <c r="AU8" i="6" s="1"/>
  <c r="AU9" i="6" s="1"/>
  <c r="AU53" i="6"/>
  <c r="AU52" i="6" s="1"/>
  <c r="AU7" i="6" a="1"/>
  <c r="AU7" i="6" s="1"/>
  <c r="B131" i="6"/>
  <c r="AU107" i="6"/>
  <c r="AU129" i="6"/>
  <c r="AS154" i="6"/>
  <c r="AV107" i="6" l="1"/>
  <c r="AV118" i="6"/>
  <c r="AT154" i="6"/>
  <c r="AV110" i="6"/>
  <c r="AV116" i="6"/>
  <c r="AV121" i="6"/>
  <c r="AV120" i="6"/>
  <c r="AV127" i="6"/>
  <c r="AV119" i="6"/>
  <c r="AV130" i="6"/>
  <c r="AT134" i="6"/>
  <c r="D135" i="6"/>
  <c r="AW135" i="6" s="1"/>
  <c r="AB134" i="6"/>
  <c r="AJ134" i="6"/>
  <c r="AR134" i="6"/>
  <c r="U134" i="6"/>
  <c r="AC134" i="6"/>
  <c r="AS134" i="6"/>
  <c r="W134" i="6"/>
  <c r="AM134" i="6"/>
  <c r="AF134" i="6"/>
  <c r="AG134" i="6"/>
  <c r="AH134" i="6"/>
  <c r="AK134" i="6"/>
  <c r="AN134" i="6"/>
  <c r="Y134" i="6"/>
  <c r="V134" i="6"/>
  <c r="AD134" i="6"/>
  <c r="AL134" i="6"/>
  <c r="AO134" i="6"/>
  <c r="AE134" i="6"/>
  <c r="AU134" i="6"/>
  <c r="T134" i="6"/>
  <c r="AA134" i="6"/>
  <c r="AI134" i="6"/>
  <c r="AQ134" i="6"/>
  <c r="X134" i="6"/>
  <c r="Z134" i="6"/>
  <c r="AP134" i="6"/>
  <c r="AI91" i="6" a="1"/>
  <c r="AI91" i="6" s="1"/>
  <c r="AG89" i="6" a="1"/>
  <c r="AG89" i="6" s="1"/>
  <c r="AH90" i="6" a="1"/>
  <c r="AH90" i="6" s="1"/>
  <c r="AF88" i="6" a="1"/>
  <c r="AF88" i="6" s="1"/>
  <c r="AJ92" i="6" a="1"/>
  <c r="AJ92" i="6" s="1"/>
  <c r="AE87" i="6" a="1"/>
  <c r="AE87" i="6" s="1"/>
  <c r="AD86" i="6" a="1"/>
  <c r="AD86" i="6" s="1"/>
  <c r="AK93" i="6" a="1"/>
  <c r="AK93" i="6" s="1"/>
  <c r="AL94" i="6" a="1"/>
  <c r="AL94" i="6" s="1"/>
  <c r="AC85" i="6" a="1"/>
  <c r="AC85" i="6" s="1"/>
  <c r="AM95" i="6" a="1"/>
  <c r="AM95" i="6" s="1"/>
  <c r="AN96" i="6" a="1"/>
  <c r="AN96" i="6" s="1"/>
  <c r="AB84" i="6" a="1"/>
  <c r="AB84" i="6" s="1"/>
  <c r="AA83" i="6" a="1"/>
  <c r="AA83" i="6" s="1"/>
  <c r="AO97" i="6" a="1"/>
  <c r="AO97" i="6" s="1"/>
  <c r="Z82" i="6" a="1"/>
  <c r="Z82" i="6" s="1"/>
  <c r="AP98" i="6" a="1"/>
  <c r="AP98" i="6" s="1"/>
  <c r="Y81" i="6" a="1"/>
  <c r="Y81" i="6" s="1"/>
  <c r="AQ99" i="6" a="1"/>
  <c r="AQ99" i="6" s="1"/>
  <c r="X80" i="6" a="1"/>
  <c r="X80" i="6" s="1"/>
  <c r="AR100" i="6" a="1"/>
  <c r="AR100" i="6" s="1"/>
  <c r="W79" i="6" a="1"/>
  <c r="W79" i="6" s="1"/>
  <c r="AS101" i="6" a="1"/>
  <c r="AS101" i="6" s="1"/>
  <c r="AT102" i="6" a="1"/>
  <c r="AT102" i="6" s="1"/>
  <c r="AU103" i="6" a="1"/>
  <c r="AU103" i="6" s="1"/>
  <c r="AV104" i="6"/>
  <c r="AU152" i="6"/>
  <c r="AU131" i="6"/>
  <c r="AV131" i="6"/>
  <c r="AW134" i="6"/>
  <c r="AW123" i="6"/>
  <c r="AW90" i="6" a="1"/>
  <c r="AW90" i="6" s="1"/>
  <c r="AW93" i="6" a="1"/>
  <c r="AW93" i="6" s="1"/>
  <c r="AW79" i="6" a="1"/>
  <c r="AW79" i="6" s="1"/>
  <c r="AW94" i="6" a="1"/>
  <c r="AW94" i="6" s="1"/>
  <c r="AW88" i="6" a="1"/>
  <c r="AW88" i="6" s="1"/>
  <c r="AW84" i="6" a="1"/>
  <c r="AW84" i="6" s="1"/>
  <c r="AW95" i="6" a="1"/>
  <c r="AW95" i="6" s="1"/>
  <c r="AW89" i="6" a="1"/>
  <c r="AW89" i="6" s="1"/>
  <c r="AW81" i="6" a="1"/>
  <c r="AW81" i="6" s="1"/>
  <c r="AW96" i="6" a="1"/>
  <c r="AW96" i="6" s="1"/>
  <c r="AW86" i="6" a="1"/>
  <c r="AW86" i="6" s="1"/>
  <c r="AW77" i="6" a="1"/>
  <c r="AW77" i="6" s="1"/>
  <c r="AW75" i="6" a="1"/>
  <c r="AW75" i="6" s="1"/>
  <c r="AW91" i="6" a="1"/>
  <c r="AW91" i="6" s="1"/>
  <c r="AW82" i="6" a="1"/>
  <c r="AW82" i="6" s="1"/>
  <c r="AW78" i="6" a="1"/>
  <c r="AW78" i="6" s="1"/>
  <c r="AW87" i="6" a="1"/>
  <c r="AW87" i="6" s="1"/>
  <c r="AW83" i="6" a="1"/>
  <c r="AW83" i="6" s="1"/>
  <c r="AW80" i="6" a="1"/>
  <c r="AW80" i="6" s="1"/>
  <c r="AW97" i="6" a="1"/>
  <c r="AW97" i="6" s="1"/>
  <c r="AW85" i="6" a="1"/>
  <c r="AW85" i="6" s="1"/>
  <c r="AX6" i="6"/>
  <c r="AW41" i="6"/>
  <c r="AW44" i="6" s="1"/>
  <c r="AV103" i="6" s="1" a="1"/>
  <c r="AV103" i="6" s="1"/>
  <c r="AW92" i="6" a="1"/>
  <c r="AW92" i="6" s="1"/>
  <c r="AW76" i="6" a="1"/>
  <c r="AW76" i="6" s="1"/>
  <c r="AU154" i="6"/>
  <c r="AV123" i="6"/>
  <c r="AV126" i="6"/>
  <c r="AV129" i="6"/>
  <c r="AV128" i="6"/>
  <c r="AV7" i="7"/>
  <c r="B39" i="7"/>
  <c r="AV111" i="6"/>
  <c r="AV117" i="6"/>
  <c r="AV114" i="6"/>
  <c r="AV113" i="6"/>
  <c r="AA35" i="7"/>
  <c r="Z10" i="7"/>
  <c r="D74" i="6"/>
  <c r="T75" i="6" a="1"/>
  <c r="T75" i="6" s="1"/>
  <c r="U75" i="6" a="1"/>
  <c r="U75" i="6" s="1"/>
  <c r="V75" i="6" a="1"/>
  <c r="V75" i="6" s="1"/>
  <c r="W75" i="6" a="1"/>
  <c r="W75" i="6" s="1"/>
  <c r="X75" i="6" a="1"/>
  <c r="X75" i="6" s="1"/>
  <c r="Y75" i="6" a="1"/>
  <c r="Y75" i="6" s="1"/>
  <c r="Z75" i="6" a="1"/>
  <c r="Z75" i="6" s="1"/>
  <c r="AA75" i="6" a="1"/>
  <c r="AA75" i="6" s="1"/>
  <c r="AB75" i="6" a="1"/>
  <c r="AB75" i="6" s="1"/>
  <c r="AC75" i="6" a="1"/>
  <c r="AC75" i="6" s="1"/>
  <c r="AD75" i="6" a="1"/>
  <c r="AD75" i="6" s="1"/>
  <c r="AE75" i="6" a="1"/>
  <c r="AE75" i="6" s="1"/>
  <c r="AF75" i="6" a="1"/>
  <c r="AF75" i="6" s="1"/>
  <c r="AG75" i="6" a="1"/>
  <c r="AG75" i="6" s="1"/>
  <c r="AH75" i="6" a="1"/>
  <c r="AH75" i="6" s="1"/>
  <c r="AI75" i="6" a="1"/>
  <c r="AI75" i="6" s="1"/>
  <c r="AJ75" i="6" a="1"/>
  <c r="AJ75" i="6" s="1"/>
  <c r="AK75" i="6" a="1"/>
  <c r="AK75" i="6" s="1"/>
  <c r="AL75" i="6" a="1"/>
  <c r="AL75" i="6" s="1"/>
  <c r="AM75" i="6" a="1"/>
  <c r="AM75" i="6" s="1"/>
  <c r="AN75" i="6" a="1"/>
  <c r="AN75" i="6" s="1"/>
  <c r="AO75" i="6" a="1"/>
  <c r="AO75" i="6" s="1"/>
  <c r="AP75" i="6" a="1"/>
  <c r="AP75" i="6" s="1"/>
  <c r="AQ75" i="6" a="1"/>
  <c r="AQ75" i="6" s="1"/>
  <c r="AR75" i="6" a="1"/>
  <c r="AR75" i="6" s="1"/>
  <c r="AS75" i="6" a="1"/>
  <c r="AS75" i="6" s="1"/>
  <c r="AT75" i="6" a="1"/>
  <c r="AT75" i="6" s="1"/>
  <c r="AU75" i="6" a="1"/>
  <c r="AU75" i="6" s="1"/>
  <c r="AW46" i="6"/>
  <c r="AW117" i="6" s="1"/>
  <c r="AX47" i="6"/>
  <c r="AV165" i="6"/>
  <c r="AV164" i="6" s="1"/>
  <c r="AV168" i="6"/>
  <c r="AV167" i="6" s="1"/>
  <c r="AV161" i="6"/>
  <c r="AV159" i="6" s="1"/>
  <c r="AW4" i="6"/>
  <c r="AV11" i="6"/>
  <c r="AV8" i="6" s="1"/>
  <c r="AV10" i="6"/>
  <c r="AV53" i="6"/>
  <c r="AV52" i="6" s="1"/>
  <c r="AV7" i="6" a="1"/>
  <c r="AV7" i="6" s="1"/>
  <c r="B132" i="6"/>
  <c r="AV109" i="6"/>
  <c r="AV115" i="6"/>
  <c r="AV122" i="6"/>
  <c r="AV125" i="6"/>
  <c r="D42" i="7"/>
  <c r="AX6" i="7"/>
  <c r="AW4" i="7"/>
  <c r="AV105" i="6"/>
  <c r="AU166" i="6"/>
  <c r="AV112" i="6"/>
  <c r="AW126" i="6" l="1"/>
  <c r="AW120" i="6"/>
  <c r="AW114" i="6"/>
  <c r="AU135" i="6"/>
  <c r="Z135" i="6"/>
  <c r="AH135" i="6"/>
  <c r="AP135" i="6"/>
  <c r="D136" i="6"/>
  <c r="AX136" i="6" s="1"/>
  <c r="AA135" i="6"/>
  <c r="AI135" i="6"/>
  <c r="AQ135" i="6"/>
  <c r="AB135" i="6"/>
  <c r="V135" i="6"/>
  <c r="AD135" i="6"/>
  <c r="AL135" i="6"/>
  <c r="AT135" i="6"/>
  <c r="AM135" i="6"/>
  <c r="Y135" i="6"/>
  <c r="AO135" i="6"/>
  <c r="AR135" i="6"/>
  <c r="AC135" i="6"/>
  <c r="AS135" i="6"/>
  <c r="AE135" i="6"/>
  <c r="T135" i="6"/>
  <c r="AJ135" i="6"/>
  <c r="U135" i="6"/>
  <c r="AK135" i="6"/>
  <c r="W135" i="6"/>
  <c r="AG135" i="6"/>
  <c r="AV135" i="6"/>
  <c r="X135" i="6"/>
  <c r="AF135" i="6"/>
  <c r="AN135" i="6"/>
  <c r="AV152" i="6"/>
  <c r="AV132" i="6"/>
  <c r="AW132" i="6"/>
  <c r="AX46" i="6"/>
  <c r="AX132" i="6" s="1"/>
  <c r="AY47" i="6"/>
  <c r="D73" i="6"/>
  <c r="T74" i="6" a="1"/>
  <c r="T74" i="6" s="1"/>
  <c r="U74" i="6" a="1"/>
  <c r="U74" i="6" s="1"/>
  <c r="V74" i="6" a="1"/>
  <c r="V74" i="6" s="1"/>
  <c r="W74" i="6" a="1"/>
  <c r="W74" i="6" s="1"/>
  <c r="X74" i="6" a="1"/>
  <c r="X74" i="6" s="1"/>
  <c r="Y74" i="6" a="1"/>
  <c r="Y74" i="6" s="1"/>
  <c r="Z74" i="6" a="1"/>
  <c r="Z74" i="6" s="1"/>
  <c r="AA74" i="6" a="1"/>
  <c r="AA74" i="6" s="1"/>
  <c r="AB74" i="6" a="1"/>
  <c r="AB74" i="6" s="1"/>
  <c r="AC74" i="6" a="1"/>
  <c r="AC74" i="6" s="1"/>
  <c r="AD74" i="6" a="1"/>
  <c r="AD74" i="6" s="1"/>
  <c r="AE74" i="6" a="1"/>
  <c r="AE74" i="6" s="1"/>
  <c r="AF74" i="6" a="1"/>
  <c r="AF74" i="6" s="1"/>
  <c r="AG74" i="6" a="1"/>
  <c r="AG74" i="6" s="1"/>
  <c r="AH74" i="6" a="1"/>
  <c r="AH74" i="6" s="1"/>
  <c r="AI74" i="6" a="1"/>
  <c r="AI74" i="6" s="1"/>
  <c r="AJ74" i="6" a="1"/>
  <c r="AJ74" i="6" s="1"/>
  <c r="AK74" i="6" a="1"/>
  <c r="AK74" i="6" s="1"/>
  <c r="AL74" i="6" a="1"/>
  <c r="AL74" i="6" s="1"/>
  <c r="AM74" i="6" a="1"/>
  <c r="AM74" i="6" s="1"/>
  <c r="AN74" i="6" a="1"/>
  <c r="AN74" i="6" s="1"/>
  <c r="AO74" i="6" a="1"/>
  <c r="AO74" i="6" s="1"/>
  <c r="AP74" i="6" a="1"/>
  <c r="AP74" i="6" s="1"/>
  <c r="AQ74" i="6" a="1"/>
  <c r="AQ74" i="6" s="1"/>
  <c r="AR74" i="6" a="1"/>
  <c r="AR74" i="6" s="1"/>
  <c r="AS74" i="6" a="1"/>
  <c r="AS74" i="6" s="1"/>
  <c r="AT74" i="6" a="1"/>
  <c r="AT74" i="6" s="1"/>
  <c r="AU74" i="6" a="1"/>
  <c r="AU74" i="6" s="1"/>
  <c r="AV74" i="6" a="1"/>
  <c r="AV74" i="6" s="1"/>
  <c r="AW112" i="6"/>
  <c r="AW119" i="6"/>
  <c r="AX4" i="7"/>
  <c r="AY6" i="7"/>
  <c r="AV160" i="6"/>
  <c r="AV163" i="6"/>
  <c r="AW118" i="6"/>
  <c r="AW125" i="6"/>
  <c r="AW121" i="6"/>
  <c r="AW129" i="6"/>
  <c r="AV162" i="6"/>
  <c r="AW162" i="6" s="1"/>
  <c r="AW107" i="6"/>
  <c r="AW130" i="6"/>
  <c r="AX92" i="6" a="1"/>
  <c r="AX92" i="6" s="1"/>
  <c r="AX135" i="6"/>
  <c r="AX89" i="6" a="1"/>
  <c r="AX89" i="6" s="1"/>
  <c r="AX81" i="6" a="1"/>
  <c r="AX81" i="6" s="1"/>
  <c r="AX95" i="6" a="1"/>
  <c r="AX95" i="6" s="1"/>
  <c r="AX96" i="6" a="1"/>
  <c r="AX96" i="6" s="1"/>
  <c r="AX90" i="6" a="1"/>
  <c r="AX90" i="6" s="1"/>
  <c r="AX83" i="6" a="1"/>
  <c r="AX83" i="6" s="1"/>
  <c r="AX91" i="6" a="1"/>
  <c r="AX91" i="6" s="1"/>
  <c r="AX98" i="6" a="1"/>
  <c r="AX98" i="6" s="1"/>
  <c r="AX87" i="6" a="1"/>
  <c r="AX87" i="6" s="1"/>
  <c r="AX79" i="6" a="1"/>
  <c r="AX79" i="6" s="1"/>
  <c r="AX74" i="6" a="1"/>
  <c r="AX74" i="6" s="1"/>
  <c r="AX93" i="6" a="1"/>
  <c r="AX93" i="6" s="1"/>
  <c r="AX80" i="6" a="1"/>
  <c r="AX80" i="6" s="1"/>
  <c r="AX97" i="6" a="1"/>
  <c r="AX97" i="6" s="1"/>
  <c r="AX84" i="6" a="1"/>
  <c r="AX84" i="6" s="1"/>
  <c r="AX82" i="6" a="1"/>
  <c r="AX82" i="6" s="1"/>
  <c r="AX88" i="6" a="1"/>
  <c r="AX88" i="6" s="1"/>
  <c r="AX85" i="6" a="1"/>
  <c r="AX85" i="6" s="1"/>
  <c r="AX76" i="6" a="1"/>
  <c r="AX76" i="6" s="1"/>
  <c r="AX94" i="6" a="1"/>
  <c r="AX94" i="6" s="1"/>
  <c r="AX78" i="6" a="1"/>
  <c r="AX78" i="6" s="1"/>
  <c r="AX86" i="6" a="1"/>
  <c r="AX86" i="6" s="1"/>
  <c r="AX41" i="6"/>
  <c r="AX44" i="6" s="1"/>
  <c r="AX75" i="6" a="1"/>
  <c r="AX75" i="6" s="1"/>
  <c r="AX77" i="6" a="1"/>
  <c r="AX77" i="6" s="1"/>
  <c r="AY6" i="6"/>
  <c r="AW131" i="6"/>
  <c r="AW124" i="6"/>
  <c r="AW113" i="6"/>
  <c r="AW127" i="6"/>
  <c r="AH89" i="6" a="1"/>
  <c r="AH89" i="6" s="1"/>
  <c r="AI90" i="6" a="1"/>
  <c r="AI90" i="6" s="1"/>
  <c r="AG88" i="6" a="1"/>
  <c r="AG88" i="6" s="1"/>
  <c r="AJ91" i="6" a="1"/>
  <c r="AJ91" i="6" s="1"/>
  <c r="AF87" i="6" a="1"/>
  <c r="AF87" i="6" s="1"/>
  <c r="AK92" i="6" a="1"/>
  <c r="AK92" i="6" s="1"/>
  <c r="AE86" i="6" a="1"/>
  <c r="AE86" i="6" s="1"/>
  <c r="AL93" i="6" a="1"/>
  <c r="AL93" i="6" s="1"/>
  <c r="AD85" i="6" a="1"/>
  <c r="AD85" i="6" s="1"/>
  <c r="AM94" i="6" a="1"/>
  <c r="AM94" i="6" s="1"/>
  <c r="AN95" i="6" a="1"/>
  <c r="AN95" i="6" s="1"/>
  <c r="AC84" i="6" a="1"/>
  <c r="AC84" i="6" s="1"/>
  <c r="AB83" i="6" a="1"/>
  <c r="AB83" i="6" s="1"/>
  <c r="AO96" i="6" a="1"/>
  <c r="AO96" i="6" s="1"/>
  <c r="AA82" i="6" a="1"/>
  <c r="AA82" i="6" s="1"/>
  <c r="AP97" i="6" a="1"/>
  <c r="AP97" i="6" s="1"/>
  <c r="Z81" i="6" a="1"/>
  <c r="Z81" i="6" s="1"/>
  <c r="AQ98" i="6" a="1"/>
  <c r="AQ98" i="6" s="1"/>
  <c r="Y80" i="6" a="1"/>
  <c r="Y80" i="6" s="1"/>
  <c r="AR99" i="6" a="1"/>
  <c r="AR99" i="6" s="1"/>
  <c r="X79" i="6" a="1"/>
  <c r="X79" i="6" s="1"/>
  <c r="AS100" i="6" a="1"/>
  <c r="AS100" i="6" s="1"/>
  <c r="AU102" i="6" a="1"/>
  <c r="AU102" i="6" s="1"/>
  <c r="AT101" i="6" a="1"/>
  <c r="AT101" i="6" s="1"/>
  <c r="AW105" i="6"/>
  <c r="AW109" i="6"/>
  <c r="AW108" i="6"/>
  <c r="AW111" i="6"/>
  <c r="D43" i="7"/>
  <c r="AW168" i="6"/>
  <c r="AW161" i="6"/>
  <c r="AW159" i="6" s="1"/>
  <c r="AW165" i="6"/>
  <c r="AW163" i="6" s="1"/>
  <c r="AW167" i="6"/>
  <c r="AW11" i="6"/>
  <c r="AW8" i="6" s="1"/>
  <c r="AW10" i="6"/>
  <c r="AW53" i="6"/>
  <c r="AW52" i="6"/>
  <c r="AW7" i="6" a="1"/>
  <c r="AW7" i="6" s="1"/>
  <c r="AX4" i="6"/>
  <c r="B133" i="6"/>
  <c r="AW74" i="6" a="1"/>
  <c r="AW74" i="6" s="1"/>
  <c r="AW110" i="6"/>
  <c r="AW116" i="6"/>
  <c r="AW104" i="6"/>
  <c r="AW115" i="6"/>
  <c r="AW7" i="7"/>
  <c r="B40" i="7"/>
  <c r="AV154" i="6"/>
  <c r="AA10" i="7"/>
  <c r="AB35" i="7"/>
  <c r="AW128" i="6"/>
  <c r="AW122" i="6"/>
  <c r="AV9" i="6"/>
  <c r="AV166" i="6"/>
  <c r="AW106" i="6"/>
  <c r="AX107" i="6" l="1"/>
  <c r="AX114" i="6"/>
  <c r="AX118" i="6"/>
  <c r="AX110" i="6"/>
  <c r="AX119" i="6"/>
  <c r="AW164" i="6"/>
  <c r="AX108" i="6"/>
  <c r="AX124" i="6"/>
  <c r="AX109" i="6"/>
  <c r="AV136" i="6"/>
  <c r="D137" i="6"/>
  <c r="AA136" i="6"/>
  <c r="AI136" i="6"/>
  <c r="AQ136" i="6"/>
  <c r="T136" i="6"/>
  <c r="AJ136" i="6"/>
  <c r="AR136" i="6"/>
  <c r="AK136" i="6"/>
  <c r="AD136" i="6"/>
  <c r="AE136" i="6"/>
  <c r="AF136" i="6"/>
  <c r="AG136" i="6"/>
  <c r="AB136" i="6"/>
  <c r="AC136" i="6"/>
  <c r="V136" i="6"/>
  <c r="AT136" i="6"/>
  <c r="AM136" i="6"/>
  <c r="X136" i="6"/>
  <c r="AN136" i="6"/>
  <c r="AH136" i="6"/>
  <c r="AW136" i="6"/>
  <c r="U136" i="6"/>
  <c r="AS136" i="6"/>
  <c r="AL136" i="6"/>
  <c r="W136" i="6"/>
  <c r="AU136" i="6"/>
  <c r="Y136" i="6"/>
  <c r="Z136" i="6"/>
  <c r="AO136" i="6"/>
  <c r="AP136" i="6"/>
  <c r="AY136" i="6"/>
  <c r="AY94" i="6" a="1"/>
  <c r="AY94" i="6" s="1"/>
  <c r="AY86" i="6" a="1"/>
  <c r="AY86" i="6" s="1"/>
  <c r="AY137" i="6"/>
  <c r="AY96" i="6" a="1"/>
  <c r="AY96" i="6" s="1"/>
  <c r="AY90" i="6" a="1"/>
  <c r="AY90" i="6" s="1"/>
  <c r="AY83" i="6" a="1"/>
  <c r="AY83" i="6" s="1"/>
  <c r="AY91" i="6" a="1"/>
  <c r="AY91" i="6" s="1"/>
  <c r="AY97" i="6" a="1"/>
  <c r="AY97" i="6" s="1"/>
  <c r="AY85" i="6" a="1"/>
  <c r="AY85" i="6" s="1"/>
  <c r="AY99" i="6" a="1"/>
  <c r="AY99" i="6" s="1"/>
  <c r="AY93" i="6" a="1"/>
  <c r="AY93" i="6" s="1"/>
  <c r="AY98" i="6" a="1"/>
  <c r="AY98" i="6" s="1"/>
  <c r="AY88" i="6" a="1"/>
  <c r="AY88" i="6" s="1"/>
  <c r="AY80" i="6" a="1"/>
  <c r="AY80" i="6" s="1"/>
  <c r="AY84" i="6" a="1"/>
  <c r="AY84" i="6" s="1"/>
  <c r="AY73" i="6" a="1"/>
  <c r="AY73" i="6" s="1"/>
  <c r="AY92" i="6" a="1"/>
  <c r="AY92" i="6" s="1"/>
  <c r="AY81" i="6" a="1"/>
  <c r="AY81" i="6" s="1"/>
  <c r="AY77" i="6" a="1"/>
  <c r="AY77" i="6" s="1"/>
  <c r="AY75" i="6" a="1"/>
  <c r="AY75" i="6" s="1"/>
  <c r="AY89" i="6" a="1"/>
  <c r="AY89" i="6" s="1"/>
  <c r="AY79" i="6" a="1"/>
  <c r="AY79" i="6" s="1"/>
  <c r="AY74" i="6" a="1"/>
  <c r="AY74" i="6" s="1"/>
  <c r="AY76" i="6" a="1"/>
  <c r="AY76" i="6" s="1"/>
  <c r="AY78" i="6" a="1"/>
  <c r="AY78" i="6" s="1"/>
  <c r="AY87" i="6" a="1"/>
  <c r="AY87" i="6" s="1"/>
  <c r="AY95" i="6" a="1"/>
  <c r="AY95" i="6" s="1"/>
  <c r="AY82" i="6" a="1"/>
  <c r="AY82" i="6" s="1"/>
  <c r="AY41" i="6"/>
  <c r="AY44" i="6" s="1"/>
  <c r="AX103" i="6" s="1" a="1"/>
  <c r="AX103" i="6" s="1"/>
  <c r="AZ6" i="6"/>
  <c r="AX133" i="6"/>
  <c r="AX115" i="6"/>
  <c r="T73" i="6" a="1"/>
  <c r="T73" i="6" s="1"/>
  <c r="D72" i="6"/>
  <c r="U73" i="6" a="1"/>
  <c r="U73" i="6" s="1"/>
  <c r="V73" i="6" a="1"/>
  <c r="V73" i="6" s="1"/>
  <c r="W73" i="6" a="1"/>
  <c r="W73" i="6" s="1"/>
  <c r="X73" i="6" a="1"/>
  <c r="X73" i="6" s="1"/>
  <c r="Y73" i="6" a="1"/>
  <c r="Y73" i="6" s="1"/>
  <c r="Z73" i="6" a="1"/>
  <c r="Z73" i="6" s="1"/>
  <c r="AA73" i="6" a="1"/>
  <c r="AA73" i="6" s="1"/>
  <c r="AB73" i="6" a="1"/>
  <c r="AB73" i="6" s="1"/>
  <c r="AC73" i="6" a="1"/>
  <c r="AC73" i="6" s="1"/>
  <c r="AD73" i="6" a="1"/>
  <c r="AD73" i="6" s="1"/>
  <c r="AE73" i="6" a="1"/>
  <c r="AE73" i="6" s="1"/>
  <c r="AF73" i="6" a="1"/>
  <c r="AF73" i="6" s="1"/>
  <c r="AG73" i="6" a="1"/>
  <c r="AG73" i="6" s="1"/>
  <c r="AH73" i="6" a="1"/>
  <c r="AH73" i="6" s="1"/>
  <c r="AI73" i="6" a="1"/>
  <c r="AI73" i="6" s="1"/>
  <c r="AJ73" i="6" a="1"/>
  <c r="AJ73" i="6" s="1"/>
  <c r="AK73" i="6" a="1"/>
  <c r="AK73" i="6" s="1"/>
  <c r="AL73" i="6" a="1"/>
  <c r="AL73" i="6" s="1"/>
  <c r="AM73" i="6" a="1"/>
  <c r="AM73" i="6" s="1"/>
  <c r="AN73" i="6" a="1"/>
  <c r="AN73" i="6" s="1"/>
  <c r="AO73" i="6" a="1"/>
  <c r="AO73" i="6" s="1"/>
  <c r="AP73" i="6" a="1"/>
  <c r="AP73" i="6" s="1"/>
  <c r="AQ73" i="6" a="1"/>
  <c r="AQ73" i="6" s="1"/>
  <c r="AR73" i="6" a="1"/>
  <c r="AR73" i="6" s="1"/>
  <c r="AS73" i="6" a="1"/>
  <c r="AS73" i="6" s="1"/>
  <c r="AT73" i="6" a="1"/>
  <c r="AT73" i="6" s="1"/>
  <c r="AU73" i="6" a="1"/>
  <c r="AU73" i="6" s="1"/>
  <c r="AV73" i="6" a="1"/>
  <c r="AV73" i="6" s="1"/>
  <c r="AW73" i="6" a="1"/>
  <c r="AW73" i="6" s="1"/>
  <c r="AW154" i="6"/>
  <c r="AW166" i="6"/>
  <c r="AI89" i="6" a="1"/>
  <c r="AI89" i="6" s="1"/>
  <c r="AJ90" i="6" a="1"/>
  <c r="AJ90" i="6" s="1"/>
  <c r="AH88" i="6" a="1"/>
  <c r="AH88" i="6" s="1"/>
  <c r="AG87" i="6" a="1"/>
  <c r="AG87" i="6" s="1"/>
  <c r="AF86" i="6" a="1"/>
  <c r="AF86" i="6" s="1"/>
  <c r="AK91" i="6" a="1"/>
  <c r="AK91" i="6" s="1"/>
  <c r="AL92" i="6" a="1"/>
  <c r="AL92" i="6" s="1"/>
  <c r="AE85" i="6" a="1"/>
  <c r="AE85" i="6" s="1"/>
  <c r="AM93" i="6" a="1"/>
  <c r="AM93" i="6" s="1"/>
  <c r="AN94" i="6" a="1"/>
  <c r="AN94" i="6" s="1"/>
  <c r="AD84" i="6" a="1"/>
  <c r="AD84" i="6" s="1"/>
  <c r="AC83" i="6" a="1"/>
  <c r="AC83" i="6" s="1"/>
  <c r="AO95" i="6" a="1"/>
  <c r="AO95" i="6" s="1"/>
  <c r="AP96" i="6" a="1"/>
  <c r="AP96" i="6" s="1"/>
  <c r="AB82" i="6" a="1"/>
  <c r="AB82" i="6" s="1"/>
  <c r="AA81" i="6" a="1"/>
  <c r="AA81" i="6" s="1"/>
  <c r="Z80" i="6" a="1"/>
  <c r="Z80" i="6" s="1"/>
  <c r="AQ97" i="6" a="1"/>
  <c r="AQ97" i="6" s="1"/>
  <c r="Y79" i="6" a="1"/>
  <c r="Y79" i="6" s="1"/>
  <c r="AR98" i="6" a="1"/>
  <c r="AR98" i="6" s="1"/>
  <c r="AS99" i="6" a="1"/>
  <c r="AS99" i="6" s="1"/>
  <c r="AU101" i="6" a="1"/>
  <c r="AU101" i="6" s="1"/>
  <c r="AT100" i="6" a="1"/>
  <c r="AT100" i="6" s="1"/>
  <c r="AV102" i="6" a="1"/>
  <c r="AV102" i="6" s="1"/>
  <c r="AX112" i="6"/>
  <c r="AX122" i="6"/>
  <c r="AX117" i="6"/>
  <c r="AY46" i="6"/>
  <c r="AY121" i="6" s="1"/>
  <c r="AZ47" i="6"/>
  <c r="AX168" i="6"/>
  <c r="AX167" i="6" s="1"/>
  <c r="AX165" i="6"/>
  <c r="AX163" i="6" s="1"/>
  <c r="AX161" i="6"/>
  <c r="AX159" i="6" s="1"/>
  <c r="AX53" i="6"/>
  <c r="AX11" i="6"/>
  <c r="AX8" i="6" s="1"/>
  <c r="AX10" i="6"/>
  <c r="AX7" i="6" a="1"/>
  <c r="AX7" i="6" s="1"/>
  <c r="AX52" i="6"/>
  <c r="AY4" i="6"/>
  <c r="B134" i="6"/>
  <c r="AX7" i="7"/>
  <c r="B41" i="7"/>
  <c r="AX127" i="6"/>
  <c r="AX121" i="6"/>
  <c r="AX106" i="6"/>
  <c r="AX131" i="6"/>
  <c r="AX111" i="6"/>
  <c r="AX125" i="6"/>
  <c r="AX104" i="6"/>
  <c r="AX130" i="6"/>
  <c r="AW160" i="6"/>
  <c r="AX128" i="6"/>
  <c r="D44" i="7"/>
  <c r="AX126" i="6"/>
  <c r="AW152" i="6"/>
  <c r="AW133" i="6"/>
  <c r="AX73" i="6" a="1"/>
  <c r="AX73" i="6" s="1"/>
  <c r="AX123" i="6"/>
  <c r="AX120" i="6"/>
  <c r="AW103" i="6" a="1"/>
  <c r="AW103" i="6" s="1"/>
  <c r="AX129" i="6"/>
  <c r="AZ6" i="7"/>
  <c r="AY4" i="7"/>
  <c r="AB10" i="7"/>
  <c r="AC35" i="7"/>
  <c r="AW9" i="6"/>
  <c r="AX116" i="6"/>
  <c r="AX105" i="6"/>
  <c r="AX113" i="6"/>
  <c r="AW137" i="6" l="1"/>
  <c r="D138" i="6"/>
  <c r="AA137" i="6"/>
  <c r="AI137" i="6"/>
  <c r="AQ137" i="6"/>
  <c r="T137" i="6"/>
  <c r="AJ137" i="6"/>
  <c r="AR137" i="6"/>
  <c r="AC137" i="6"/>
  <c r="AS137" i="6"/>
  <c r="AD137" i="6"/>
  <c r="W137" i="6"/>
  <c r="AM137" i="6"/>
  <c r="AG137" i="6"/>
  <c r="AB137" i="6"/>
  <c r="AK137" i="6"/>
  <c r="U137" i="6"/>
  <c r="V137" i="6"/>
  <c r="AL137" i="6"/>
  <c r="AE137" i="6"/>
  <c r="AU137" i="6"/>
  <c r="AN137" i="6"/>
  <c r="AT137" i="6"/>
  <c r="Y137" i="6"/>
  <c r="X137" i="6"/>
  <c r="AV137" i="6"/>
  <c r="AO137" i="6"/>
  <c r="Z137" i="6"/>
  <c r="AH137" i="6"/>
  <c r="AP137" i="6"/>
  <c r="AF137" i="6"/>
  <c r="AX137" i="6"/>
  <c r="D71" i="6"/>
  <c r="T72" i="6" a="1"/>
  <c r="T72" i="6" s="1"/>
  <c r="U72" i="6" a="1"/>
  <c r="U72" i="6" s="1"/>
  <c r="V72" i="6" a="1"/>
  <c r="V72" i="6" s="1"/>
  <c r="W72" i="6" a="1"/>
  <c r="W72" i="6" s="1"/>
  <c r="X72" i="6" a="1"/>
  <c r="X72" i="6" s="1"/>
  <c r="Y72" i="6" a="1"/>
  <c r="Y72" i="6" s="1"/>
  <c r="Z72" i="6" a="1"/>
  <c r="Z72" i="6" s="1"/>
  <c r="AA72" i="6" a="1"/>
  <c r="AA72" i="6" s="1"/>
  <c r="AB72" i="6" a="1"/>
  <c r="AB72" i="6" s="1"/>
  <c r="AC72" i="6" a="1"/>
  <c r="AC72" i="6" s="1"/>
  <c r="AD72" i="6" a="1"/>
  <c r="AD72" i="6" s="1"/>
  <c r="AE72" i="6" a="1"/>
  <c r="AE72" i="6" s="1"/>
  <c r="AF72" i="6" a="1"/>
  <c r="AF72" i="6" s="1"/>
  <c r="AG72" i="6" a="1"/>
  <c r="AG72" i="6" s="1"/>
  <c r="AH72" i="6" a="1"/>
  <c r="AH72" i="6" s="1"/>
  <c r="AI72" i="6" a="1"/>
  <c r="AI72" i="6" s="1"/>
  <c r="AJ72" i="6" a="1"/>
  <c r="AJ72" i="6" s="1"/>
  <c r="AK72" i="6" a="1"/>
  <c r="AK72" i="6" s="1"/>
  <c r="AL72" i="6" a="1"/>
  <c r="AL72" i="6" s="1"/>
  <c r="AM72" i="6" a="1"/>
  <c r="AM72" i="6" s="1"/>
  <c r="AN72" i="6" a="1"/>
  <c r="AN72" i="6" s="1"/>
  <c r="AO72" i="6" a="1"/>
  <c r="AO72" i="6" s="1"/>
  <c r="AP72" i="6" a="1"/>
  <c r="AP72" i="6" s="1"/>
  <c r="AQ72" i="6" a="1"/>
  <c r="AQ72" i="6" s="1"/>
  <c r="AR72" i="6" a="1"/>
  <c r="AR72" i="6" s="1"/>
  <c r="AS72" i="6" a="1"/>
  <c r="AS72" i="6" s="1"/>
  <c r="AT72" i="6" a="1"/>
  <c r="AT72" i="6" s="1"/>
  <c r="AU72" i="6" a="1"/>
  <c r="AU72" i="6" s="1"/>
  <c r="AV72" i="6" a="1"/>
  <c r="AV72" i="6" s="1"/>
  <c r="AW72" i="6" a="1"/>
  <c r="AW72" i="6" s="1"/>
  <c r="AX72" i="6" a="1"/>
  <c r="AX72" i="6" s="1"/>
  <c r="AY106" i="6"/>
  <c r="AY113" i="6"/>
  <c r="AY125" i="6"/>
  <c r="AY123" i="6"/>
  <c r="AY168" i="6"/>
  <c r="AY167" i="6" s="1"/>
  <c r="AY160" i="6"/>
  <c r="AY163" i="6"/>
  <c r="AY161" i="6"/>
  <c r="AY159" i="6"/>
  <c r="AY165" i="6"/>
  <c r="AY53" i="6"/>
  <c r="AY52" i="6"/>
  <c r="AZ135" i="6" s="1"/>
  <c r="AZ4" i="6"/>
  <c r="AY10" i="6"/>
  <c r="AY7" i="6" a="1"/>
  <c r="AY7" i="6" s="1"/>
  <c r="AY11" i="6"/>
  <c r="AY8" i="6" s="1"/>
  <c r="B135" i="6"/>
  <c r="BA47" i="6"/>
  <c r="AZ46" i="6"/>
  <c r="AZ133" i="6" s="1"/>
  <c r="AY105" i="6"/>
  <c r="AY107" i="6"/>
  <c r="AY133" i="6"/>
  <c r="AY115" i="6"/>
  <c r="AY114" i="6"/>
  <c r="AY130" i="6"/>
  <c r="AX160" i="6"/>
  <c r="AY122" i="6"/>
  <c r="AJ89" i="6" a="1"/>
  <c r="AJ89" i="6" s="1"/>
  <c r="AI88" i="6" a="1"/>
  <c r="AI88" i="6" s="1"/>
  <c r="AH87" i="6" a="1"/>
  <c r="AH87" i="6" s="1"/>
  <c r="AG86" i="6" a="1"/>
  <c r="AG86" i="6" s="1"/>
  <c r="AK90" i="6" a="1"/>
  <c r="AK90" i="6" s="1"/>
  <c r="AL91" i="6" a="1"/>
  <c r="AL91" i="6" s="1"/>
  <c r="AF85" i="6" a="1"/>
  <c r="AF85" i="6" s="1"/>
  <c r="AM92" i="6" a="1"/>
  <c r="AM92" i="6" s="1"/>
  <c r="AE84" i="6" a="1"/>
  <c r="AE84" i="6" s="1"/>
  <c r="AD83" i="6" a="1"/>
  <c r="AD83" i="6" s="1"/>
  <c r="AN93" i="6" a="1"/>
  <c r="AN93" i="6" s="1"/>
  <c r="AO94" i="6" a="1"/>
  <c r="AO94" i="6" s="1"/>
  <c r="AC82" i="6" a="1"/>
  <c r="AC82" i="6" s="1"/>
  <c r="AP95" i="6" a="1"/>
  <c r="AP95" i="6" s="1"/>
  <c r="AB81" i="6" a="1"/>
  <c r="AB81" i="6" s="1"/>
  <c r="AA80" i="6" a="1"/>
  <c r="AA80" i="6" s="1"/>
  <c r="AQ96" i="6" a="1"/>
  <c r="AQ96" i="6" s="1"/>
  <c r="AR97" i="6" a="1"/>
  <c r="AR97" i="6" s="1"/>
  <c r="Z79" i="6" a="1"/>
  <c r="Z79" i="6" s="1"/>
  <c r="AT99" i="6" a="1"/>
  <c r="AT99" i="6" s="1"/>
  <c r="AS98" i="6" a="1"/>
  <c r="AS98" i="6" s="1"/>
  <c r="AU100" i="6" a="1"/>
  <c r="AU100" i="6" s="1"/>
  <c r="AV101" i="6" a="1"/>
  <c r="AV101" i="6" s="1"/>
  <c r="AW102" i="6" a="1"/>
  <c r="AW102" i="6" s="1"/>
  <c r="AY132" i="6"/>
  <c r="AY110" i="6"/>
  <c r="AY72" i="6" a="1"/>
  <c r="AY72" i="6" s="1"/>
  <c r="AY111" i="6"/>
  <c r="AY117" i="6"/>
  <c r="AY118" i="6"/>
  <c r="AY127" i="6"/>
  <c r="BA6" i="7"/>
  <c r="AZ4" i="7"/>
  <c r="AX164" i="6"/>
  <c r="AY164" i="6" s="1"/>
  <c r="AD35" i="7"/>
  <c r="AC10" i="7"/>
  <c r="AY128" i="6"/>
  <c r="D45" i="7"/>
  <c r="AX152" i="6"/>
  <c r="AX134" i="6"/>
  <c r="AY109" i="6"/>
  <c r="AY131" i="6"/>
  <c r="AY108" i="6"/>
  <c r="AX9" i="6"/>
  <c r="AZ137" i="6"/>
  <c r="AZ129" i="6"/>
  <c r="AZ138" i="6"/>
  <c r="AZ130" i="6"/>
  <c r="AZ125" i="6"/>
  <c r="AZ121" i="6"/>
  <c r="AZ118" i="6"/>
  <c r="AZ115" i="6"/>
  <c r="AZ119" i="6"/>
  <c r="AZ96" i="6" a="1"/>
  <c r="AZ96" i="6" s="1"/>
  <c r="AZ88" i="6" a="1"/>
  <c r="AZ88" i="6" s="1"/>
  <c r="AZ128" i="6"/>
  <c r="AZ122" i="6"/>
  <c r="AZ113" i="6"/>
  <c r="AZ97" i="6" a="1"/>
  <c r="AZ97" i="6" s="1"/>
  <c r="AZ91" i="6" a="1"/>
  <c r="AZ91" i="6" s="1"/>
  <c r="AZ85" i="6" a="1"/>
  <c r="AZ85" i="6" s="1"/>
  <c r="AZ77" i="6" a="1"/>
  <c r="AZ77" i="6" s="1"/>
  <c r="AZ98" i="6" a="1"/>
  <c r="AZ98" i="6" s="1"/>
  <c r="AZ92" i="6" a="1"/>
  <c r="AZ92" i="6" s="1"/>
  <c r="AZ86" i="6" a="1"/>
  <c r="AZ86" i="6" s="1"/>
  <c r="AZ82" i="6" a="1"/>
  <c r="AZ82" i="6" s="1"/>
  <c r="AZ114" i="6"/>
  <c r="AZ93" i="6" a="1"/>
  <c r="AZ93" i="6" s="1"/>
  <c r="AZ87" i="6" a="1"/>
  <c r="AZ87" i="6" s="1"/>
  <c r="AZ107" i="6"/>
  <c r="AZ106" i="6"/>
  <c r="AZ100" i="6" a="1"/>
  <c r="AZ100" i="6" s="1"/>
  <c r="AZ94" i="6" a="1"/>
  <c r="AZ94" i="6" s="1"/>
  <c r="AZ84" i="6" a="1"/>
  <c r="AZ84" i="6" s="1"/>
  <c r="AZ80" i="6" a="1"/>
  <c r="AZ80" i="6" s="1"/>
  <c r="AZ73" i="6" a="1"/>
  <c r="AZ73" i="6" s="1"/>
  <c r="AZ95" i="6" a="1"/>
  <c r="AZ95" i="6" s="1"/>
  <c r="AZ76" i="6" a="1"/>
  <c r="AZ76" i="6" s="1"/>
  <c r="AZ90" i="6" a="1"/>
  <c r="AZ90" i="6" s="1"/>
  <c r="AZ81" i="6" a="1"/>
  <c r="AZ81" i="6" s="1"/>
  <c r="AZ75" i="6" a="1"/>
  <c r="AZ75" i="6" s="1"/>
  <c r="AZ99" i="6" a="1"/>
  <c r="AZ99" i="6" s="1"/>
  <c r="AZ78" i="6" a="1"/>
  <c r="AZ78" i="6" s="1"/>
  <c r="AZ83" i="6" a="1"/>
  <c r="AZ83" i="6" s="1"/>
  <c r="AZ72" i="6" a="1"/>
  <c r="AZ72" i="6" s="1"/>
  <c r="AZ41" i="6"/>
  <c r="AZ44" i="6" s="1"/>
  <c r="AZ89" i="6" a="1"/>
  <c r="AZ89" i="6" s="1"/>
  <c r="AZ79" i="6" a="1"/>
  <c r="AZ79" i="6" s="1"/>
  <c r="AZ74" i="6" a="1"/>
  <c r="AZ74" i="6" s="1"/>
  <c r="AZ71" i="6" a="1"/>
  <c r="AZ71" i="6" s="1"/>
  <c r="BA6" i="6"/>
  <c r="AY116" i="6"/>
  <c r="AY104" i="6"/>
  <c r="AY124" i="6"/>
  <c r="AX162" i="6"/>
  <c r="AY162" i="6" s="1"/>
  <c r="AY112" i="6"/>
  <c r="AY120" i="6"/>
  <c r="AY126" i="6"/>
  <c r="AY119" i="6"/>
  <c r="AY7" i="7"/>
  <c r="B42" i="7"/>
  <c r="AX166" i="6"/>
  <c r="AY129" i="6"/>
  <c r="AY134" i="6"/>
  <c r="AZ116" i="6" l="1"/>
  <c r="AZ134" i="6"/>
  <c r="AZ108" i="6"/>
  <c r="AZ112" i="6"/>
  <c r="AZ120" i="6"/>
  <c r="AZ131" i="6"/>
  <c r="AZ111" i="6"/>
  <c r="AZ105" i="6"/>
  <c r="AZ124" i="6"/>
  <c r="AZ110" i="6"/>
  <c r="AZ117" i="6"/>
  <c r="AZ109" i="6"/>
  <c r="AZ123" i="6"/>
  <c r="AZ126" i="6"/>
  <c r="AY138" i="6"/>
  <c r="X138" i="6"/>
  <c r="AF138" i="6"/>
  <c r="AN138" i="6"/>
  <c r="AV138" i="6"/>
  <c r="Y138" i="6"/>
  <c r="AO138" i="6"/>
  <c r="AH138" i="6"/>
  <c r="AP138" i="6"/>
  <c r="AI138" i="6"/>
  <c r="AB138" i="6"/>
  <c r="AR138" i="6"/>
  <c r="U138" i="6"/>
  <c r="AS138" i="6"/>
  <c r="V138" i="6"/>
  <c r="AL138" i="6"/>
  <c r="AT138" i="6"/>
  <c r="AG138" i="6"/>
  <c r="AW138" i="6"/>
  <c r="T138" i="6"/>
  <c r="AA138" i="6"/>
  <c r="AQ138" i="6"/>
  <c r="D139" i="6"/>
  <c r="BA139" i="6" s="1"/>
  <c r="AJ138" i="6"/>
  <c r="AK138" i="6"/>
  <c r="Z138" i="6"/>
  <c r="AX138" i="6"/>
  <c r="AC138" i="6"/>
  <c r="AD138" i="6"/>
  <c r="W138" i="6"/>
  <c r="AE138" i="6"/>
  <c r="AM138" i="6"/>
  <c r="AU138" i="6"/>
  <c r="BA4" i="7"/>
  <c r="BB6" i="7"/>
  <c r="AY9" i="6"/>
  <c r="AJ88" i="6" a="1"/>
  <c r="AJ88" i="6" s="1"/>
  <c r="AI87" i="6" a="1"/>
  <c r="AI87" i="6" s="1"/>
  <c r="AL90" i="6" a="1"/>
  <c r="AL90" i="6" s="1"/>
  <c r="AH86" i="6" a="1"/>
  <c r="AH86" i="6" s="1"/>
  <c r="AK89" i="6" a="1"/>
  <c r="AK89" i="6" s="1"/>
  <c r="AG85" i="6" a="1"/>
  <c r="AG85" i="6" s="1"/>
  <c r="AM91" i="6" a="1"/>
  <c r="AM91" i="6" s="1"/>
  <c r="AF84" i="6" a="1"/>
  <c r="AF84" i="6" s="1"/>
  <c r="AN92" i="6" a="1"/>
  <c r="AN92" i="6" s="1"/>
  <c r="AO93" i="6" a="1"/>
  <c r="AO93" i="6" s="1"/>
  <c r="AE83" i="6" a="1"/>
  <c r="AE83" i="6" s="1"/>
  <c r="AD82" i="6" a="1"/>
  <c r="AD82" i="6" s="1"/>
  <c r="AP94" i="6" a="1"/>
  <c r="AP94" i="6" s="1"/>
  <c r="AC81" i="6" a="1"/>
  <c r="AC81" i="6" s="1"/>
  <c r="AQ95" i="6" a="1"/>
  <c r="AQ95" i="6" s="1"/>
  <c r="AR96" i="6" a="1"/>
  <c r="AR96" i="6" s="1"/>
  <c r="AB80" i="6" a="1"/>
  <c r="AB80" i="6" s="1"/>
  <c r="AA79" i="6" a="1"/>
  <c r="AA79" i="6" s="1"/>
  <c r="AS97" i="6" a="1"/>
  <c r="AS97" i="6" s="1"/>
  <c r="AT98" i="6" a="1"/>
  <c r="AT98" i="6" s="1"/>
  <c r="AU99" i="6" a="1"/>
  <c r="AU99" i="6" s="1"/>
  <c r="AV100" i="6" a="1"/>
  <c r="AV100" i="6" s="1"/>
  <c r="AW101" i="6" a="1"/>
  <c r="AW101" i="6" s="1"/>
  <c r="AX102" i="6" a="1"/>
  <c r="AX102" i="6" s="1"/>
  <c r="BA124" i="6"/>
  <c r="BA105" i="6"/>
  <c r="BA138" i="6"/>
  <c r="BA98" i="6" a="1"/>
  <c r="BA98" i="6" s="1"/>
  <c r="BA90" i="6" a="1"/>
  <c r="BA90" i="6" s="1"/>
  <c r="BA87" i="6" a="1"/>
  <c r="BA87" i="6" s="1"/>
  <c r="BA79" i="6" a="1"/>
  <c r="BA79" i="6" s="1"/>
  <c r="BA99" i="6" a="1"/>
  <c r="BA99" i="6" s="1"/>
  <c r="BA93" i="6" a="1"/>
  <c r="BA93" i="6" s="1"/>
  <c r="BA84" i="6" a="1"/>
  <c r="BA84" i="6" s="1"/>
  <c r="BA100" i="6" a="1"/>
  <c r="BA100" i="6" s="1"/>
  <c r="BA94" i="6" a="1"/>
  <c r="BA94" i="6" s="1"/>
  <c r="BA88" i="6" a="1"/>
  <c r="BA88" i="6" s="1"/>
  <c r="BA81" i="6" a="1"/>
  <c r="BA81" i="6" s="1"/>
  <c r="BA101" i="6" a="1"/>
  <c r="BA101" i="6" s="1"/>
  <c r="BA95" i="6" a="1"/>
  <c r="BA95" i="6" s="1"/>
  <c r="BA75" i="6" a="1"/>
  <c r="BA75" i="6" s="1"/>
  <c r="BA77" i="6" a="1"/>
  <c r="BA77" i="6" s="1"/>
  <c r="BA72" i="6" a="1"/>
  <c r="BA72" i="6" s="1"/>
  <c r="BA97" i="6" a="1"/>
  <c r="BA97" i="6" s="1"/>
  <c r="BA85" i="6" a="1"/>
  <c r="BA85" i="6" s="1"/>
  <c r="BA78" i="6" a="1"/>
  <c r="BA78" i="6" s="1"/>
  <c r="BA89" i="6" a="1"/>
  <c r="BA89" i="6" s="1"/>
  <c r="BA86" i="6" a="1"/>
  <c r="BA86" i="6" s="1"/>
  <c r="BA82" i="6" a="1"/>
  <c r="BA82" i="6" s="1"/>
  <c r="BA71" i="6" a="1"/>
  <c r="BA71" i="6" s="1"/>
  <c r="BA96" i="6" a="1"/>
  <c r="BA96" i="6" s="1"/>
  <c r="BA76" i="6" a="1"/>
  <c r="BA76" i="6" s="1"/>
  <c r="BA44" i="6"/>
  <c r="BA91" i="6" a="1"/>
  <c r="BA91" i="6" s="1"/>
  <c r="BA92" i="6" a="1"/>
  <c r="BA92" i="6" s="1"/>
  <c r="BA83" i="6" a="1"/>
  <c r="BA83" i="6" s="1"/>
  <c r="BA41" i="6"/>
  <c r="BA74" i="6" a="1"/>
  <c r="BA74" i="6" s="1"/>
  <c r="BB6" i="6"/>
  <c r="BA73" i="6" a="1"/>
  <c r="BA73" i="6" s="1"/>
  <c r="BA80" i="6" a="1"/>
  <c r="BA80" i="6" s="1"/>
  <c r="AX154" i="6"/>
  <c r="D70" i="6"/>
  <c r="BA70" i="6" s="1" a="1"/>
  <c r="BA70" i="6" s="1"/>
  <c r="T71" i="6" a="1"/>
  <c r="T71" i="6" s="1"/>
  <c r="U71" i="6" a="1"/>
  <c r="U71" i="6" s="1"/>
  <c r="V71" i="6" a="1"/>
  <c r="V71" i="6" s="1"/>
  <c r="W71" i="6" a="1"/>
  <c r="W71" i="6" s="1"/>
  <c r="X71" i="6" a="1"/>
  <c r="X71" i="6" s="1"/>
  <c r="Y71" i="6" a="1"/>
  <c r="Y71" i="6" s="1"/>
  <c r="Z71" i="6" a="1"/>
  <c r="Z71" i="6" s="1"/>
  <c r="AA71" i="6" a="1"/>
  <c r="AA71" i="6" s="1"/>
  <c r="AB71" i="6" a="1"/>
  <c r="AB71" i="6" s="1"/>
  <c r="AC71" i="6" a="1"/>
  <c r="AC71" i="6" s="1"/>
  <c r="AD71" i="6" a="1"/>
  <c r="AD71" i="6" s="1"/>
  <c r="AE71" i="6" a="1"/>
  <c r="AE71" i="6" s="1"/>
  <c r="AF71" i="6" a="1"/>
  <c r="AF71" i="6" s="1"/>
  <c r="AG71" i="6" a="1"/>
  <c r="AG71" i="6" s="1"/>
  <c r="AH71" i="6" a="1"/>
  <c r="AH71" i="6" s="1"/>
  <c r="AI71" i="6" a="1"/>
  <c r="AI71" i="6" s="1"/>
  <c r="AJ71" i="6" a="1"/>
  <c r="AJ71" i="6" s="1"/>
  <c r="AK71" i="6" a="1"/>
  <c r="AK71" i="6" s="1"/>
  <c r="AL71" i="6" a="1"/>
  <c r="AL71" i="6" s="1"/>
  <c r="AM71" i="6" a="1"/>
  <c r="AM71" i="6" s="1"/>
  <c r="AN71" i="6" a="1"/>
  <c r="AN71" i="6" s="1"/>
  <c r="AO71" i="6" a="1"/>
  <c r="AO71" i="6" s="1"/>
  <c r="AP71" i="6" a="1"/>
  <c r="AP71" i="6" s="1"/>
  <c r="AQ71" i="6" a="1"/>
  <c r="AQ71" i="6" s="1"/>
  <c r="AR71" i="6" a="1"/>
  <c r="AR71" i="6" s="1"/>
  <c r="AS71" i="6" a="1"/>
  <c r="AS71" i="6" s="1"/>
  <c r="AT71" i="6" a="1"/>
  <c r="AT71" i="6" s="1"/>
  <c r="AU71" i="6" a="1"/>
  <c r="AU71" i="6" s="1"/>
  <c r="AV71" i="6" a="1"/>
  <c r="AV71" i="6" s="1"/>
  <c r="AW71" i="6" a="1"/>
  <c r="AW71" i="6" s="1"/>
  <c r="AX71" i="6" a="1"/>
  <c r="AX71" i="6" s="1"/>
  <c r="AY71" i="6" a="1"/>
  <c r="AY71" i="6" s="1"/>
  <c r="AD10" i="7"/>
  <c r="AE35" i="7"/>
  <c r="AZ161" i="6"/>
  <c r="AZ159" i="6" s="1"/>
  <c r="AZ168" i="6"/>
  <c r="AZ167" i="6" s="1"/>
  <c r="AZ165" i="6"/>
  <c r="AZ163" i="6" s="1"/>
  <c r="AZ160" i="6"/>
  <c r="AZ53" i="6"/>
  <c r="AZ52" i="6" s="1"/>
  <c r="BA4" i="6"/>
  <c r="AZ10" i="6"/>
  <c r="AZ7" i="6" a="1"/>
  <c r="AZ7" i="6" s="1"/>
  <c r="AZ11" i="6"/>
  <c r="AZ8" i="6" s="1"/>
  <c r="B136" i="6"/>
  <c r="AY103" i="6" a="1"/>
  <c r="AY103" i="6" s="1"/>
  <c r="AY152" i="6"/>
  <c r="AY135" i="6"/>
  <c r="AZ7" i="7"/>
  <c r="B43" i="7"/>
  <c r="AZ104" i="6"/>
  <c r="AZ127" i="6"/>
  <c r="AZ132" i="6"/>
  <c r="D46" i="7"/>
  <c r="BB47" i="6"/>
  <c r="BA46" i="6"/>
  <c r="BA135" i="6" s="1"/>
  <c r="AY166" i="6"/>
  <c r="BA126" i="6" l="1"/>
  <c r="BA107" i="6"/>
  <c r="BA122" i="6"/>
  <c r="BA125" i="6"/>
  <c r="BA127" i="6"/>
  <c r="BA128" i="6"/>
  <c r="BA108" i="6"/>
  <c r="BA119" i="6"/>
  <c r="BA130" i="6"/>
  <c r="BA110" i="6"/>
  <c r="AZ9" i="6"/>
  <c r="BA106" i="6"/>
  <c r="BA112" i="6"/>
  <c r="AY139" i="6"/>
  <c r="D140" i="6"/>
  <c r="AA139" i="6"/>
  <c r="AI139" i="6"/>
  <c r="AQ139" i="6"/>
  <c r="AZ139" i="6"/>
  <c r="T139" i="6"/>
  <c r="AB139" i="6"/>
  <c r="AJ139" i="6"/>
  <c r="AR139" i="6"/>
  <c r="U139" i="6"/>
  <c r="AC139" i="6"/>
  <c r="AK139" i="6"/>
  <c r="AS139" i="6"/>
  <c r="V139" i="6"/>
  <c r="AD139" i="6"/>
  <c r="AL139" i="6"/>
  <c r="AT139" i="6"/>
  <c r="W139" i="6"/>
  <c r="AE139" i="6"/>
  <c r="AM139" i="6"/>
  <c r="AU139" i="6"/>
  <c r="X139" i="6"/>
  <c r="AF139" i="6"/>
  <c r="AN139" i="6"/>
  <c r="AV139" i="6"/>
  <c r="Y139" i="6"/>
  <c r="AG139" i="6"/>
  <c r="AO139" i="6"/>
  <c r="AW139" i="6"/>
  <c r="AP139" i="6"/>
  <c r="Z139" i="6"/>
  <c r="AH139" i="6"/>
  <c r="AX139" i="6"/>
  <c r="AZ152" i="6"/>
  <c r="AZ136" i="6"/>
  <c r="BA136" i="6"/>
  <c r="AJ87" i="6" a="1"/>
  <c r="AJ87" i="6" s="1"/>
  <c r="AK88" i="6" a="1"/>
  <c r="AK88" i="6" s="1"/>
  <c r="AI86" i="6" a="1"/>
  <c r="AI86" i="6" s="1"/>
  <c r="AL89" i="6" a="1"/>
  <c r="AL89" i="6" s="1"/>
  <c r="AH85" i="6" a="1"/>
  <c r="AH85" i="6" s="1"/>
  <c r="AN91" i="6" a="1"/>
  <c r="AN91" i="6" s="1"/>
  <c r="AG84" i="6" a="1"/>
  <c r="AG84" i="6" s="1"/>
  <c r="AM90" i="6" a="1"/>
  <c r="AM90" i="6" s="1"/>
  <c r="AF83" i="6" a="1"/>
  <c r="AF83" i="6" s="1"/>
  <c r="AO92" i="6" a="1"/>
  <c r="AO92" i="6" s="1"/>
  <c r="AE82" i="6" a="1"/>
  <c r="AE82" i="6" s="1"/>
  <c r="AP93" i="6" a="1"/>
  <c r="AP93" i="6" s="1"/>
  <c r="AQ94" i="6" a="1"/>
  <c r="AQ94" i="6" s="1"/>
  <c r="AD81" i="6" a="1"/>
  <c r="AD81" i="6" s="1"/>
  <c r="AR95" i="6" a="1"/>
  <c r="AR95" i="6" s="1"/>
  <c r="AC80" i="6" a="1"/>
  <c r="AC80" i="6" s="1"/>
  <c r="AB79" i="6" a="1"/>
  <c r="AB79" i="6" s="1"/>
  <c r="AS96" i="6" a="1"/>
  <c r="AS96" i="6" s="1"/>
  <c r="AT97" i="6" a="1"/>
  <c r="AT97" i="6" s="1"/>
  <c r="AU98" i="6" a="1"/>
  <c r="AU98" i="6" s="1"/>
  <c r="AV99" i="6" a="1"/>
  <c r="AV99" i="6" s="1"/>
  <c r="AW100" i="6" a="1"/>
  <c r="AW100" i="6" s="1"/>
  <c r="AX101" i="6" a="1"/>
  <c r="AX101" i="6" s="1"/>
  <c r="AY102" i="6" a="1"/>
  <c r="AY102" i="6" s="1"/>
  <c r="AZ103" i="6" a="1"/>
  <c r="AZ103" i="6" s="1"/>
  <c r="BA113" i="6"/>
  <c r="BA114" i="6"/>
  <c r="BA132" i="6"/>
  <c r="BA129" i="6"/>
  <c r="BB140" i="6"/>
  <c r="BB139" i="6"/>
  <c r="BB100" i="6" a="1"/>
  <c r="BB100" i="6" s="1"/>
  <c r="BB92" i="6" a="1"/>
  <c r="BB92" i="6" s="1"/>
  <c r="BB94" i="6" a="1"/>
  <c r="BB94" i="6" s="1"/>
  <c r="BB88" i="6" a="1"/>
  <c r="BB88" i="6" s="1"/>
  <c r="BB81" i="6" a="1"/>
  <c r="BB81" i="6" s="1"/>
  <c r="BB89" i="6" a="1"/>
  <c r="BB89" i="6" s="1"/>
  <c r="BB101" i="6" a="1"/>
  <c r="BB101" i="6" s="1"/>
  <c r="BB95" i="6" a="1"/>
  <c r="BB95" i="6" s="1"/>
  <c r="BB83" i="6" a="1"/>
  <c r="BB83" i="6" s="1"/>
  <c r="BB97" i="6" a="1"/>
  <c r="BB97" i="6" s="1"/>
  <c r="BB91" i="6" a="1"/>
  <c r="BB91" i="6" s="1"/>
  <c r="BB102" i="6" a="1"/>
  <c r="BB102" i="6" s="1"/>
  <c r="BB90" i="6" a="1"/>
  <c r="BB90" i="6" s="1"/>
  <c r="BB85" i="6" a="1"/>
  <c r="BB85" i="6" s="1"/>
  <c r="BB78" i="6" a="1"/>
  <c r="BB78" i="6" s="1"/>
  <c r="BB74" i="6" a="1"/>
  <c r="BB74" i="6" s="1"/>
  <c r="BB86" i="6" a="1"/>
  <c r="BB86" i="6" s="1"/>
  <c r="BB82" i="6" a="1"/>
  <c r="BB82" i="6" s="1"/>
  <c r="BB79" i="6" a="1"/>
  <c r="BB79" i="6" s="1"/>
  <c r="BB71" i="6" a="1"/>
  <c r="BB71" i="6" s="1"/>
  <c r="BB96" i="6" a="1"/>
  <c r="BB96" i="6" s="1"/>
  <c r="BB80" i="6" a="1"/>
  <c r="BB80" i="6" s="1"/>
  <c r="BB73" i="6" a="1"/>
  <c r="BB73" i="6" s="1"/>
  <c r="BB98" i="6" a="1"/>
  <c r="BB98" i="6" s="1"/>
  <c r="BB93" i="6" a="1"/>
  <c r="BB93" i="6" s="1"/>
  <c r="BB84" i="6" a="1"/>
  <c r="BB84" i="6" s="1"/>
  <c r="BB72" i="6" a="1"/>
  <c r="BB72" i="6" s="1"/>
  <c r="BB41" i="6"/>
  <c r="BB44" i="6" s="1"/>
  <c r="BB87" i="6" a="1"/>
  <c r="BB87" i="6" s="1"/>
  <c r="BB70" i="6" a="1"/>
  <c r="BB70" i="6" s="1"/>
  <c r="BB77" i="6" a="1"/>
  <c r="BB77" i="6" s="1"/>
  <c r="BB99" i="6" a="1"/>
  <c r="BB99" i="6" s="1"/>
  <c r="BB75" i="6" a="1"/>
  <c r="BB75" i="6" s="1"/>
  <c r="BB76" i="6" a="1"/>
  <c r="BB76" i="6" s="1"/>
  <c r="BC6" i="6"/>
  <c r="BA104" i="6"/>
  <c r="AF35" i="7"/>
  <c r="AE10" i="7"/>
  <c r="BA111" i="6"/>
  <c r="BA115" i="6"/>
  <c r="BA116" i="6"/>
  <c r="BA131" i="6"/>
  <c r="BC47" i="6"/>
  <c r="BB46" i="6"/>
  <c r="BB131" i="6" s="1"/>
  <c r="AZ164" i="6"/>
  <c r="T70" i="6" a="1"/>
  <c r="T70" i="6" s="1"/>
  <c r="D69" i="6"/>
  <c r="BB69" i="6" s="1" a="1"/>
  <c r="BB69" i="6" s="1"/>
  <c r="U70" i="6" a="1"/>
  <c r="U70" i="6" s="1"/>
  <c r="V70" i="6" a="1"/>
  <c r="V70" i="6" s="1"/>
  <c r="W70" i="6" a="1"/>
  <c r="W70" i="6" s="1"/>
  <c r="X70" i="6" a="1"/>
  <c r="X70" i="6" s="1"/>
  <c r="Y70" i="6" a="1"/>
  <c r="Y70" i="6" s="1"/>
  <c r="Z70" i="6" a="1"/>
  <c r="Z70" i="6" s="1"/>
  <c r="AA70" i="6" a="1"/>
  <c r="AA70" i="6" s="1"/>
  <c r="AB70" i="6" a="1"/>
  <c r="AB70" i="6" s="1"/>
  <c r="AC70" i="6" a="1"/>
  <c r="AC70" i="6" s="1"/>
  <c r="AD70" i="6" a="1"/>
  <c r="AD70" i="6" s="1"/>
  <c r="AE70" i="6" a="1"/>
  <c r="AE70" i="6" s="1"/>
  <c r="AF70" i="6" a="1"/>
  <c r="AF70" i="6" s="1"/>
  <c r="AG70" i="6" a="1"/>
  <c r="AG70" i="6" s="1"/>
  <c r="AH70" i="6" a="1"/>
  <c r="AH70" i="6" s="1"/>
  <c r="AI70" i="6" a="1"/>
  <c r="AI70" i="6" s="1"/>
  <c r="AJ70" i="6" a="1"/>
  <c r="AJ70" i="6" s="1"/>
  <c r="AK70" i="6" a="1"/>
  <c r="AK70" i="6" s="1"/>
  <c r="AL70" i="6" a="1"/>
  <c r="AL70" i="6" s="1"/>
  <c r="AM70" i="6" a="1"/>
  <c r="AM70" i="6" s="1"/>
  <c r="AN70" i="6" a="1"/>
  <c r="AN70" i="6" s="1"/>
  <c r="AO70" i="6" a="1"/>
  <c r="AO70" i="6" s="1"/>
  <c r="AP70" i="6" a="1"/>
  <c r="AP70" i="6" s="1"/>
  <c r="AQ70" i="6" a="1"/>
  <c r="AQ70" i="6" s="1"/>
  <c r="AR70" i="6" a="1"/>
  <c r="AR70" i="6" s="1"/>
  <c r="AS70" i="6" a="1"/>
  <c r="AS70" i="6" s="1"/>
  <c r="AT70" i="6" a="1"/>
  <c r="AT70" i="6" s="1"/>
  <c r="AU70" i="6" a="1"/>
  <c r="AU70" i="6" s="1"/>
  <c r="AV70" i="6" a="1"/>
  <c r="AV70" i="6" s="1"/>
  <c r="AW70" i="6" a="1"/>
  <c r="AW70" i="6" s="1"/>
  <c r="AX70" i="6" a="1"/>
  <c r="AX70" i="6" s="1"/>
  <c r="AY70" i="6" a="1"/>
  <c r="AY70" i="6" s="1"/>
  <c r="AZ70" i="6" a="1"/>
  <c r="AZ70" i="6" s="1"/>
  <c r="BA109" i="6"/>
  <c r="BA117" i="6"/>
  <c r="BA121" i="6"/>
  <c r="BA118" i="6"/>
  <c r="BA133" i="6"/>
  <c r="AZ166" i="6"/>
  <c r="BA166" i="6" s="1"/>
  <c r="BB4" i="7"/>
  <c r="BC6" i="7"/>
  <c r="AZ162" i="6"/>
  <c r="BA162" i="6" s="1"/>
  <c r="BA7" i="7"/>
  <c r="B44" i="7"/>
  <c r="BA168" i="6"/>
  <c r="BA165" i="6"/>
  <c r="BA167" i="6"/>
  <c r="BA163" i="6"/>
  <c r="BA164" i="6"/>
  <c r="BA161" i="6"/>
  <c r="BA159" i="6" s="1"/>
  <c r="BA53" i="6"/>
  <c r="BA52" i="6"/>
  <c r="BA11" i="6"/>
  <c r="BA8" i="6" s="1"/>
  <c r="BA10" i="6"/>
  <c r="BA7" i="6" a="1"/>
  <c r="BA7" i="6" s="1"/>
  <c r="BB4" i="6"/>
  <c r="B137" i="6"/>
  <c r="D47" i="7"/>
  <c r="AY154" i="6"/>
  <c r="BA123" i="6"/>
  <c r="BA134" i="6"/>
  <c r="BA120" i="6"/>
  <c r="BB137" i="6" l="1"/>
  <c r="AZ154" i="6"/>
  <c r="AZ140" i="6"/>
  <c r="X140" i="6"/>
  <c r="AF140" i="6"/>
  <c r="AN140" i="6"/>
  <c r="AV140" i="6"/>
  <c r="BA140" i="6"/>
  <c r="Y140" i="6"/>
  <c r="AG140" i="6"/>
  <c r="AO140" i="6"/>
  <c r="AW140" i="6"/>
  <c r="Z140" i="6"/>
  <c r="AH140" i="6"/>
  <c r="AP140" i="6"/>
  <c r="AX140" i="6"/>
  <c r="D141" i="6"/>
  <c r="AA140" i="6"/>
  <c r="AI140" i="6"/>
  <c r="AQ140" i="6"/>
  <c r="AY140" i="6"/>
  <c r="T140" i="6"/>
  <c r="AB140" i="6"/>
  <c r="AJ140" i="6"/>
  <c r="AR140" i="6"/>
  <c r="U140" i="6"/>
  <c r="AC140" i="6"/>
  <c r="AK140" i="6"/>
  <c r="AS140" i="6"/>
  <c r="V140" i="6"/>
  <c r="AD140" i="6"/>
  <c r="AL140" i="6"/>
  <c r="AT140" i="6"/>
  <c r="W140" i="6"/>
  <c r="AE140" i="6"/>
  <c r="AM140" i="6"/>
  <c r="AU140" i="6"/>
  <c r="AL88" i="6" a="1"/>
  <c r="AL88" i="6" s="1"/>
  <c r="AK87" i="6" a="1"/>
  <c r="AK87" i="6" s="1"/>
  <c r="AJ86" i="6" a="1"/>
  <c r="AJ86" i="6" s="1"/>
  <c r="AI85" i="6" a="1"/>
  <c r="AI85" i="6" s="1"/>
  <c r="AM89" i="6" a="1"/>
  <c r="AM89" i="6" s="1"/>
  <c r="AN90" i="6" a="1"/>
  <c r="AN90" i="6" s="1"/>
  <c r="AH84" i="6" a="1"/>
  <c r="AH84" i="6" s="1"/>
  <c r="AO91" i="6" a="1"/>
  <c r="AO91" i="6" s="1"/>
  <c r="AG83" i="6" a="1"/>
  <c r="AG83" i="6" s="1"/>
  <c r="AF82" i="6" a="1"/>
  <c r="AF82" i="6" s="1"/>
  <c r="AE81" i="6" a="1"/>
  <c r="AE81" i="6" s="1"/>
  <c r="AP92" i="6" a="1"/>
  <c r="AP92" i="6" s="1"/>
  <c r="AD80" i="6" a="1"/>
  <c r="AD80" i="6" s="1"/>
  <c r="AQ93" i="6" a="1"/>
  <c r="AQ93" i="6" s="1"/>
  <c r="AR94" i="6" a="1"/>
  <c r="AR94" i="6" s="1"/>
  <c r="AC79" i="6" a="1"/>
  <c r="AC79" i="6" s="1"/>
  <c r="AS95" i="6" a="1"/>
  <c r="AS95" i="6" s="1"/>
  <c r="AT96" i="6" a="1"/>
  <c r="AT96" i="6" s="1"/>
  <c r="AU97" i="6" a="1"/>
  <c r="AU97" i="6" s="1"/>
  <c r="AV98" i="6" a="1"/>
  <c r="AV98" i="6" s="1"/>
  <c r="AW99" i="6" a="1"/>
  <c r="AW99" i="6" s="1"/>
  <c r="AX100" i="6" a="1"/>
  <c r="AX100" i="6" s="1"/>
  <c r="AY101" i="6" a="1"/>
  <c r="AY101" i="6" s="1"/>
  <c r="AZ102" i="6" a="1"/>
  <c r="AZ102" i="6" s="1"/>
  <c r="BA103" i="6" a="1"/>
  <c r="BA103" i="6" s="1"/>
  <c r="BB104" i="6"/>
  <c r="BB115" i="6"/>
  <c r="BB109" i="6"/>
  <c r="BB128" i="6"/>
  <c r="BB116" i="6"/>
  <c r="BB132" i="6"/>
  <c r="BC140" i="6"/>
  <c r="BC118" i="6"/>
  <c r="BC141" i="6"/>
  <c r="BC136" i="6"/>
  <c r="BC102" i="6" a="1"/>
  <c r="BC102" i="6" s="1"/>
  <c r="BC94" i="6" a="1"/>
  <c r="BC94" i="6" s="1"/>
  <c r="BC86" i="6" a="1"/>
  <c r="BC86" i="6" s="1"/>
  <c r="BC125" i="6"/>
  <c r="BC132" i="6"/>
  <c r="BC101" i="6" a="1"/>
  <c r="BC101" i="6" s="1"/>
  <c r="BC95" i="6" a="1"/>
  <c r="BC95" i="6" s="1"/>
  <c r="BC89" i="6" a="1"/>
  <c r="BC89" i="6" s="1"/>
  <c r="BC83" i="6" a="1"/>
  <c r="BC83" i="6" s="1"/>
  <c r="BC96" i="6" a="1"/>
  <c r="BC96" i="6" s="1"/>
  <c r="BC90" i="6" a="1"/>
  <c r="BC90" i="6" s="1"/>
  <c r="BC91" i="6" a="1"/>
  <c r="BC91" i="6" s="1"/>
  <c r="BC85" i="6" a="1"/>
  <c r="BC85" i="6" s="1"/>
  <c r="BC98" i="6" a="1"/>
  <c r="BC98" i="6" s="1"/>
  <c r="BC92" i="6" a="1"/>
  <c r="BC92" i="6" s="1"/>
  <c r="BC97" i="6" a="1"/>
  <c r="BC97" i="6" s="1"/>
  <c r="BC82" i="6" a="1"/>
  <c r="BC82" i="6" s="1"/>
  <c r="BC79" i="6" a="1"/>
  <c r="BC79" i="6" s="1"/>
  <c r="BC71" i="6" a="1"/>
  <c r="BC71" i="6" s="1"/>
  <c r="BC99" i="6" a="1"/>
  <c r="BC99" i="6" s="1"/>
  <c r="BC73" i="6" a="1"/>
  <c r="BC73" i="6" s="1"/>
  <c r="BC103" i="6" a="1"/>
  <c r="BC103" i="6" s="1"/>
  <c r="BC76" i="6" a="1"/>
  <c r="BC76" i="6" s="1"/>
  <c r="BC75" i="6" a="1"/>
  <c r="BC75" i="6" s="1"/>
  <c r="BC78" i="6" a="1"/>
  <c r="BC78" i="6" s="1"/>
  <c r="BC87" i="6" a="1"/>
  <c r="BC87" i="6" s="1"/>
  <c r="BC70" i="6" a="1"/>
  <c r="BC70" i="6" s="1"/>
  <c r="BC100" i="6" a="1"/>
  <c r="BC100" i="6" s="1"/>
  <c r="BC77" i="6" a="1"/>
  <c r="BC77" i="6" s="1"/>
  <c r="BC81" i="6" a="1"/>
  <c r="BC81" i="6" s="1"/>
  <c r="BC74" i="6" a="1"/>
  <c r="BC74" i="6" s="1"/>
  <c r="BC80" i="6" a="1"/>
  <c r="BC80" i="6" s="1"/>
  <c r="BC93" i="6" a="1"/>
  <c r="BC93" i="6" s="1"/>
  <c r="BC88" i="6" a="1"/>
  <c r="BC88" i="6" s="1"/>
  <c r="BC84" i="6" a="1"/>
  <c r="BC84" i="6" s="1"/>
  <c r="BC41" i="6"/>
  <c r="BC44" i="6" s="1"/>
  <c r="BC104" i="6" s="1"/>
  <c r="BD6" i="6"/>
  <c r="BC72" i="6" a="1"/>
  <c r="BC72" i="6" s="1"/>
  <c r="BC69" i="6" a="1"/>
  <c r="BC69" i="6" s="1"/>
  <c r="BB112" i="6"/>
  <c r="BB135" i="6"/>
  <c r="BB118" i="6"/>
  <c r="BA9" i="6"/>
  <c r="BD6" i="7"/>
  <c r="BC4" i="7"/>
  <c r="BB110" i="6"/>
  <c r="BB136" i="6"/>
  <c r="BB121" i="6"/>
  <c r="BB123" i="6"/>
  <c r="BB125" i="6"/>
  <c r="BB124" i="6"/>
  <c r="D48" i="7"/>
  <c r="BB107" i="6"/>
  <c r="BB129" i="6"/>
  <c r="BB126" i="6"/>
  <c r="BB117" i="6"/>
  <c r="BC46" i="6"/>
  <c r="BC135" i="6" s="1"/>
  <c r="BD47" i="6"/>
  <c r="BB113" i="6"/>
  <c r="BB133" i="6"/>
  <c r="BB134" i="6"/>
  <c r="BA160" i="6"/>
  <c r="BB160" i="6" s="1"/>
  <c r="T69" i="6" a="1"/>
  <c r="T69" i="6" s="1"/>
  <c r="D68" i="6"/>
  <c r="U69" i="6" a="1"/>
  <c r="U69" i="6" s="1"/>
  <c r="V69" i="6" a="1"/>
  <c r="V69" i="6" s="1"/>
  <c r="W69" i="6" a="1"/>
  <c r="W69" i="6" s="1"/>
  <c r="X69" i="6" a="1"/>
  <c r="X69" i="6" s="1"/>
  <c r="Y69" i="6" a="1"/>
  <c r="Y69" i="6" s="1"/>
  <c r="Z69" i="6" a="1"/>
  <c r="Z69" i="6" s="1"/>
  <c r="AA69" i="6" a="1"/>
  <c r="AA69" i="6" s="1"/>
  <c r="AB69" i="6" a="1"/>
  <c r="AB69" i="6" s="1"/>
  <c r="AC69" i="6" a="1"/>
  <c r="AC69" i="6" s="1"/>
  <c r="AD69" i="6" a="1"/>
  <c r="AD69" i="6" s="1"/>
  <c r="AE69" i="6" a="1"/>
  <c r="AE69" i="6" s="1"/>
  <c r="AF69" i="6" a="1"/>
  <c r="AF69" i="6" s="1"/>
  <c r="AG69" i="6" a="1"/>
  <c r="AG69" i="6" s="1"/>
  <c r="AH69" i="6" a="1"/>
  <c r="AH69" i="6" s="1"/>
  <c r="AI69" i="6" a="1"/>
  <c r="AI69" i="6" s="1"/>
  <c r="AJ69" i="6" a="1"/>
  <c r="AJ69" i="6" s="1"/>
  <c r="AK69" i="6" a="1"/>
  <c r="AK69" i="6" s="1"/>
  <c r="AL69" i="6" a="1"/>
  <c r="AL69" i="6" s="1"/>
  <c r="AM69" i="6" a="1"/>
  <c r="AM69" i="6" s="1"/>
  <c r="AN69" i="6" a="1"/>
  <c r="AN69" i="6" s="1"/>
  <c r="AO69" i="6" a="1"/>
  <c r="AO69" i="6" s="1"/>
  <c r="AP69" i="6" a="1"/>
  <c r="AP69" i="6" s="1"/>
  <c r="AQ69" i="6" a="1"/>
  <c r="AQ69" i="6" s="1"/>
  <c r="AR69" i="6" a="1"/>
  <c r="AR69" i="6" s="1"/>
  <c r="AS69" i="6" a="1"/>
  <c r="AS69" i="6" s="1"/>
  <c r="AT69" i="6" a="1"/>
  <c r="AT69" i="6" s="1"/>
  <c r="AU69" i="6" a="1"/>
  <c r="AU69" i="6" s="1"/>
  <c r="AV69" i="6" a="1"/>
  <c r="AV69" i="6" s="1"/>
  <c r="AW69" i="6" a="1"/>
  <c r="AW69" i="6" s="1"/>
  <c r="AX69" i="6" a="1"/>
  <c r="AX69" i="6" s="1"/>
  <c r="AY69" i="6" a="1"/>
  <c r="AY69" i="6" s="1"/>
  <c r="AZ69" i="6" a="1"/>
  <c r="AZ69" i="6" s="1"/>
  <c r="BA69" i="6" a="1"/>
  <c r="BA69" i="6" s="1"/>
  <c r="BB108" i="6"/>
  <c r="BB7" i="7"/>
  <c r="B45" i="7"/>
  <c r="BB120" i="6"/>
  <c r="BA152" i="6"/>
  <c r="BA154" i="6" s="1"/>
  <c r="BA137" i="6"/>
  <c r="AG35" i="7"/>
  <c r="AF10" i="7"/>
  <c r="BB105" i="6"/>
  <c r="BB122" i="6"/>
  <c r="BB119" i="6"/>
  <c r="BB168" i="6"/>
  <c r="BB167" i="6" s="1"/>
  <c r="BB161" i="6"/>
  <c r="BB159" i="6" s="1"/>
  <c r="BB165" i="6"/>
  <c r="BB164" i="6" s="1"/>
  <c r="BB53" i="6"/>
  <c r="BB52" i="6"/>
  <c r="BB7" i="6" a="1"/>
  <c r="BB7" i="6" s="1"/>
  <c r="BC4" i="6"/>
  <c r="BB11" i="6"/>
  <c r="BB8" i="6" s="1"/>
  <c r="BB10" i="6"/>
  <c r="B138" i="6"/>
  <c r="BB111" i="6"/>
  <c r="BB106" i="6"/>
  <c r="BB130" i="6"/>
  <c r="BB127" i="6"/>
  <c r="BB114" i="6"/>
  <c r="BC117" i="6" l="1"/>
  <c r="BB166" i="6"/>
  <c r="BC110" i="6"/>
  <c r="BC115" i="6"/>
  <c r="BA141" i="6"/>
  <c r="Z141" i="6"/>
  <c r="AH141" i="6"/>
  <c r="AP141" i="6"/>
  <c r="AX141" i="6"/>
  <c r="U141" i="6"/>
  <c r="AC141" i="6"/>
  <c r="AK141" i="6"/>
  <c r="V141" i="6"/>
  <c r="AT141" i="6"/>
  <c r="AU141" i="6"/>
  <c r="D142" i="6"/>
  <c r="AA141" i="6"/>
  <c r="AI141" i="6"/>
  <c r="AQ141" i="6"/>
  <c r="AY141" i="6"/>
  <c r="AD141" i="6"/>
  <c r="T141" i="6"/>
  <c r="AB141" i="6"/>
  <c r="AJ141" i="6"/>
  <c r="AR141" i="6"/>
  <c r="AZ141" i="6"/>
  <c r="AS141" i="6"/>
  <c r="AL141" i="6"/>
  <c r="AV141" i="6"/>
  <c r="BB141" i="6"/>
  <c r="AE141" i="6"/>
  <c r="AM141" i="6"/>
  <c r="W141" i="6"/>
  <c r="X141" i="6"/>
  <c r="Y141" i="6"/>
  <c r="AG141" i="6"/>
  <c r="AO141" i="6"/>
  <c r="AW141" i="6"/>
  <c r="AF141" i="6"/>
  <c r="AN141" i="6"/>
  <c r="D67" i="6"/>
  <c r="T68" i="6" a="1"/>
  <c r="T68" i="6" s="1"/>
  <c r="U68" i="6" a="1"/>
  <c r="U68" i="6" s="1"/>
  <c r="V68" i="6" a="1"/>
  <c r="V68" i="6" s="1"/>
  <c r="W68" i="6" a="1"/>
  <c r="W68" i="6" s="1"/>
  <c r="X68" i="6" a="1"/>
  <c r="X68" i="6" s="1"/>
  <c r="Y68" i="6" a="1"/>
  <c r="Y68" i="6" s="1"/>
  <c r="Z68" i="6" a="1"/>
  <c r="Z68" i="6" s="1"/>
  <c r="AA68" i="6" a="1"/>
  <c r="AA68" i="6" s="1"/>
  <c r="AB68" i="6" a="1"/>
  <c r="AB68" i="6" s="1"/>
  <c r="AC68" i="6" a="1"/>
  <c r="AC68" i="6" s="1"/>
  <c r="AD68" i="6" a="1"/>
  <c r="AD68" i="6" s="1"/>
  <c r="AE68" i="6" a="1"/>
  <c r="AE68" i="6" s="1"/>
  <c r="AF68" i="6" a="1"/>
  <c r="AF68" i="6" s="1"/>
  <c r="AG68" i="6" a="1"/>
  <c r="AG68" i="6" s="1"/>
  <c r="AH68" i="6" a="1"/>
  <c r="AH68" i="6" s="1"/>
  <c r="AI68" i="6" a="1"/>
  <c r="AI68" i="6" s="1"/>
  <c r="AJ68" i="6" a="1"/>
  <c r="AJ68" i="6" s="1"/>
  <c r="AK68" i="6" a="1"/>
  <c r="AK68" i="6" s="1"/>
  <c r="AL68" i="6" a="1"/>
  <c r="AL68" i="6" s="1"/>
  <c r="AM68" i="6" a="1"/>
  <c r="AM68" i="6" s="1"/>
  <c r="AN68" i="6" a="1"/>
  <c r="AN68" i="6" s="1"/>
  <c r="AO68" i="6" a="1"/>
  <c r="AO68" i="6" s="1"/>
  <c r="AP68" i="6" a="1"/>
  <c r="AP68" i="6" s="1"/>
  <c r="AQ68" i="6" a="1"/>
  <c r="AQ68" i="6" s="1"/>
  <c r="AR68" i="6" a="1"/>
  <c r="AR68" i="6" s="1"/>
  <c r="AS68" i="6" a="1"/>
  <c r="AS68" i="6" s="1"/>
  <c r="AT68" i="6" a="1"/>
  <c r="AT68" i="6" s="1"/>
  <c r="AU68" i="6" a="1"/>
  <c r="AU68" i="6" s="1"/>
  <c r="AV68" i="6" a="1"/>
  <c r="AV68" i="6" s="1"/>
  <c r="AW68" i="6" a="1"/>
  <c r="AW68" i="6" s="1"/>
  <c r="AX68" i="6" a="1"/>
  <c r="AX68" i="6" s="1"/>
  <c r="AY68" i="6" a="1"/>
  <c r="AY68" i="6" s="1"/>
  <c r="AZ68" i="6" a="1"/>
  <c r="AZ68" i="6" s="1"/>
  <c r="BA68" i="6" a="1"/>
  <c r="BA68" i="6" s="1"/>
  <c r="BB68" i="6" a="1"/>
  <c r="BB68" i="6" s="1"/>
  <c r="BB9" i="6"/>
  <c r="BB162" i="6"/>
  <c r="BC162" i="6" s="1"/>
  <c r="BC7" i="7"/>
  <c r="B46" i="7"/>
  <c r="D49" i="7"/>
  <c r="AL87" i="6" a="1"/>
  <c r="AL87" i="6" s="1"/>
  <c r="AK86" i="6" a="1"/>
  <c r="AK86" i="6" s="1"/>
  <c r="AJ85" i="6" a="1"/>
  <c r="AJ85" i="6" s="1"/>
  <c r="AM88" i="6" a="1"/>
  <c r="AM88" i="6" s="1"/>
  <c r="AI84" i="6" a="1"/>
  <c r="AI84" i="6" s="1"/>
  <c r="AN89" i="6" a="1"/>
  <c r="AN89" i="6" s="1"/>
  <c r="AH83" i="6" a="1"/>
  <c r="AH83" i="6" s="1"/>
  <c r="AO90" i="6" a="1"/>
  <c r="AO90" i="6" s="1"/>
  <c r="AP91" i="6" a="1"/>
  <c r="AP91" i="6" s="1"/>
  <c r="AG82" i="6" a="1"/>
  <c r="AG82" i="6" s="1"/>
  <c r="AF81" i="6" a="1"/>
  <c r="AF81" i="6" s="1"/>
  <c r="AE80" i="6" a="1"/>
  <c r="AE80" i="6" s="1"/>
  <c r="AQ92" i="6" a="1"/>
  <c r="AQ92" i="6" s="1"/>
  <c r="AR93" i="6" a="1"/>
  <c r="AR93" i="6" s="1"/>
  <c r="AD79" i="6" a="1"/>
  <c r="AD79" i="6" s="1"/>
  <c r="AS94" i="6" a="1"/>
  <c r="AS94" i="6" s="1"/>
  <c r="AU96" i="6" a="1"/>
  <c r="AU96" i="6" s="1"/>
  <c r="AT95" i="6" a="1"/>
  <c r="AT95" i="6" s="1"/>
  <c r="AV97" i="6" a="1"/>
  <c r="AV97" i="6" s="1"/>
  <c r="AW98" i="6" a="1"/>
  <c r="AW98" i="6" s="1"/>
  <c r="AX99" i="6" a="1"/>
  <c r="AX99" i="6" s="1"/>
  <c r="AY100" i="6" a="1"/>
  <c r="AY100" i="6" s="1"/>
  <c r="AZ101" i="6" a="1"/>
  <c r="AZ101" i="6" s="1"/>
  <c r="BA102" i="6" a="1"/>
  <c r="BA102" i="6" s="1"/>
  <c r="BC68" i="6" a="1"/>
  <c r="BC68" i="6" s="1"/>
  <c r="BC113" i="6"/>
  <c r="BC121" i="6"/>
  <c r="BC130" i="6"/>
  <c r="BC127" i="6"/>
  <c r="BC116" i="6"/>
  <c r="BC161" i="6"/>
  <c r="BC159" i="6" s="1"/>
  <c r="BC165" i="6"/>
  <c r="BC164" i="6" s="1"/>
  <c r="BC168" i="6"/>
  <c r="BC167" i="6" s="1"/>
  <c r="BD4" i="6"/>
  <c r="BC11" i="6"/>
  <c r="BC8" i="6" s="1"/>
  <c r="BC9" i="6" s="1"/>
  <c r="BC53" i="6"/>
  <c r="BC52" i="6" s="1"/>
  <c r="BC10" i="6"/>
  <c r="BC7" i="6" a="1"/>
  <c r="BC7" i="6" s="1"/>
  <c r="B139" i="6"/>
  <c r="BC123" i="6"/>
  <c r="BB152" i="6"/>
  <c r="BB138" i="6"/>
  <c r="BC106" i="6"/>
  <c r="BC114" i="6"/>
  <c r="BC109" i="6"/>
  <c r="BC138" i="6"/>
  <c r="BC133" i="6"/>
  <c r="BC124" i="6"/>
  <c r="BD46" i="6"/>
  <c r="BD138" i="6" s="1"/>
  <c r="BE47" i="6"/>
  <c r="BC105" i="6"/>
  <c r="BC131" i="6"/>
  <c r="AH35" i="7"/>
  <c r="AG10" i="7"/>
  <c r="BD4" i="7"/>
  <c r="BE6" i="7"/>
  <c r="BC108" i="6"/>
  <c r="BC129" i="6"/>
  <c r="BC119" i="6"/>
  <c r="BC112" i="6"/>
  <c r="BC134" i="6"/>
  <c r="BC126" i="6"/>
  <c r="BC137" i="6"/>
  <c r="BC120" i="6"/>
  <c r="BB163" i="6"/>
  <c r="BC163" i="6" s="1"/>
  <c r="BC107" i="6"/>
  <c r="BC122" i="6"/>
  <c r="BB103" i="6" a="1"/>
  <c r="BB103" i="6" s="1"/>
  <c r="BD142" i="6"/>
  <c r="BD132" i="6"/>
  <c r="BD130" i="6"/>
  <c r="BD128" i="6"/>
  <c r="BD141" i="6"/>
  <c r="BD129" i="6"/>
  <c r="BD123" i="6"/>
  <c r="BD118" i="6"/>
  <c r="BD116" i="6"/>
  <c r="BD110" i="6"/>
  <c r="BD109" i="6"/>
  <c r="BD108" i="6"/>
  <c r="BD106" i="6"/>
  <c r="BD96" i="6" a="1"/>
  <c r="BD96" i="6" s="1"/>
  <c r="BD88" i="6" a="1"/>
  <c r="BD88" i="6" s="1"/>
  <c r="BD122" i="6"/>
  <c r="BD119" i="6"/>
  <c r="BD114" i="6"/>
  <c r="BD107" i="6"/>
  <c r="BD102" i="6" a="1"/>
  <c r="BD102" i="6" s="1"/>
  <c r="BD85" i="6" a="1"/>
  <c r="BD85" i="6" s="1"/>
  <c r="BD77" i="6" a="1"/>
  <c r="BD77" i="6" s="1"/>
  <c r="BD103" i="6" a="1"/>
  <c r="BD103" i="6" s="1"/>
  <c r="BD97" i="6" a="1"/>
  <c r="BD97" i="6" s="1"/>
  <c r="BD91" i="6" a="1"/>
  <c r="BD91" i="6" s="1"/>
  <c r="BD82" i="6" a="1"/>
  <c r="BD82" i="6" s="1"/>
  <c r="BD98" i="6" a="1"/>
  <c r="BD98" i="6" s="1"/>
  <c r="BD92" i="6" a="1"/>
  <c r="BD92" i="6" s="1"/>
  <c r="BD86" i="6" a="1"/>
  <c r="BD86" i="6" s="1"/>
  <c r="BD126" i="6"/>
  <c r="BD117" i="6"/>
  <c r="BD99" i="6" a="1"/>
  <c r="BD99" i="6" s="1"/>
  <c r="BD124" i="6"/>
  <c r="BD73" i="6" a="1"/>
  <c r="BD73" i="6" s="1"/>
  <c r="BD94" i="6" a="1"/>
  <c r="BD94" i="6" s="1"/>
  <c r="BD87" i="6" a="1"/>
  <c r="BD87" i="6" s="1"/>
  <c r="BD70" i="6" a="1"/>
  <c r="BD70" i="6" s="1"/>
  <c r="BD101" i="6" a="1"/>
  <c r="BD101" i="6" s="1"/>
  <c r="BD89" i="6" a="1"/>
  <c r="BD89" i="6" s="1"/>
  <c r="BD83" i="6" a="1"/>
  <c r="BD83" i="6" s="1"/>
  <c r="BD80" i="6" a="1"/>
  <c r="BD80" i="6" s="1"/>
  <c r="BD76" i="6" a="1"/>
  <c r="BD76" i="6" s="1"/>
  <c r="BD75" i="6" a="1"/>
  <c r="BD75" i="6" s="1"/>
  <c r="BD93" i="6" a="1"/>
  <c r="BD93" i="6" s="1"/>
  <c r="BD69" i="6" a="1"/>
  <c r="BD69" i="6" s="1"/>
  <c r="BD100" i="6" a="1"/>
  <c r="BD100" i="6" s="1"/>
  <c r="BD90" i="6" a="1"/>
  <c r="BD90" i="6" s="1"/>
  <c r="BD67" i="6" a="1"/>
  <c r="BD67" i="6" s="1"/>
  <c r="BD81" i="6" a="1"/>
  <c r="BD81" i="6" s="1"/>
  <c r="BD74" i="6" a="1"/>
  <c r="BD74" i="6" s="1"/>
  <c r="BD95" i="6" a="1"/>
  <c r="BD95" i="6" s="1"/>
  <c r="BD79" i="6" a="1"/>
  <c r="BD79" i="6" s="1"/>
  <c r="BD84" i="6" a="1"/>
  <c r="BD84" i="6" s="1"/>
  <c r="BD78" i="6" a="1"/>
  <c r="BD78" i="6" s="1"/>
  <c r="BD41" i="6"/>
  <c r="BD44" i="6" s="1"/>
  <c r="BD104" i="6" s="1"/>
  <c r="BE6" i="6"/>
  <c r="BD68" i="6" a="1"/>
  <c r="BD68" i="6" s="1"/>
  <c r="BD72" i="6" a="1"/>
  <c r="BD72" i="6" s="1"/>
  <c r="BD71" i="6" a="1"/>
  <c r="BD71" i="6" s="1"/>
  <c r="BC111" i="6"/>
  <c r="BC128" i="6"/>
  <c r="BD115" i="6" l="1"/>
  <c r="BD105" i="6"/>
  <c r="BD113" i="6"/>
  <c r="BD133" i="6"/>
  <c r="BD121" i="6"/>
  <c r="BD111" i="6"/>
  <c r="BD137" i="6"/>
  <c r="BD134" i="6"/>
  <c r="BC166" i="6"/>
  <c r="BD125" i="6"/>
  <c r="BD120" i="6"/>
  <c r="BD127" i="6"/>
  <c r="BD136" i="6"/>
  <c r="BD112" i="6"/>
  <c r="BD131" i="6"/>
  <c r="BD135" i="6"/>
  <c r="BC160" i="6"/>
  <c r="BB142" i="6"/>
  <c r="W142" i="6"/>
  <c r="AE142" i="6"/>
  <c r="AM142" i="6"/>
  <c r="AU142" i="6"/>
  <c r="X142" i="6"/>
  <c r="AN142" i="6"/>
  <c r="AV142" i="6"/>
  <c r="AX142" i="6"/>
  <c r="AF142" i="6"/>
  <c r="AP142" i="6"/>
  <c r="AQ142" i="6"/>
  <c r="AZ142" i="6"/>
  <c r="BC142" i="6"/>
  <c r="Y142" i="6"/>
  <c r="AG142" i="6"/>
  <c r="AO142" i="6"/>
  <c r="AW142" i="6"/>
  <c r="Z142" i="6"/>
  <c r="AI142" i="6"/>
  <c r="AR142" i="6"/>
  <c r="D143" i="6"/>
  <c r="BE143" i="6" s="1"/>
  <c r="AY142" i="6"/>
  <c r="T142" i="6"/>
  <c r="AB142" i="6"/>
  <c r="AJ142" i="6"/>
  <c r="U142" i="6"/>
  <c r="AC142" i="6"/>
  <c r="AK142" i="6"/>
  <c r="AS142" i="6"/>
  <c r="BA142" i="6"/>
  <c r="V142" i="6"/>
  <c r="AD142" i="6"/>
  <c r="AL142" i="6"/>
  <c r="AT142" i="6"/>
  <c r="AH142" i="6"/>
  <c r="AA142" i="6"/>
  <c r="BC152" i="6"/>
  <c r="BC139" i="6"/>
  <c r="BD139" i="6"/>
  <c r="BE142" i="6"/>
  <c r="BE134" i="6"/>
  <c r="BE130" i="6"/>
  <c r="BE139" i="6"/>
  <c r="BE116" i="6"/>
  <c r="BE131" i="6"/>
  <c r="BE106" i="6"/>
  <c r="BE98" i="6" a="1"/>
  <c r="BE98" i="6" s="1"/>
  <c r="BE90" i="6" a="1"/>
  <c r="BE90" i="6" s="1"/>
  <c r="BE92" i="6" a="1"/>
  <c r="BE92" i="6" s="1"/>
  <c r="BE86" i="6" a="1"/>
  <c r="BE86" i="6" s="1"/>
  <c r="BE79" i="6" a="1"/>
  <c r="BE79" i="6" s="1"/>
  <c r="BE87" i="6" a="1"/>
  <c r="BE87" i="6" s="1"/>
  <c r="BE84" i="6" a="1"/>
  <c r="BE84" i="6" s="1"/>
  <c r="BE99" i="6" a="1"/>
  <c r="BE99" i="6" s="1"/>
  <c r="BE93" i="6" a="1"/>
  <c r="BE93" i="6" s="1"/>
  <c r="BE81" i="6" a="1"/>
  <c r="BE81" i="6" s="1"/>
  <c r="BE95" i="6" a="1"/>
  <c r="BE95" i="6" s="1"/>
  <c r="BE89" i="6" a="1"/>
  <c r="BE89" i="6" s="1"/>
  <c r="BE120" i="6"/>
  <c r="BE94" i="6" a="1"/>
  <c r="BE94" i="6" s="1"/>
  <c r="BE83" i="6" a="1"/>
  <c r="BE83" i="6" s="1"/>
  <c r="BE80" i="6" a="1"/>
  <c r="BE80" i="6" s="1"/>
  <c r="BE76" i="6" a="1"/>
  <c r="BE76" i="6" s="1"/>
  <c r="BE75" i="6" a="1"/>
  <c r="BE75" i="6" s="1"/>
  <c r="BE67" i="6" a="1"/>
  <c r="BE67" i="6" s="1"/>
  <c r="BE101" i="6" a="1"/>
  <c r="BE101" i="6" s="1"/>
  <c r="BE72" i="6" a="1"/>
  <c r="BE72" i="6" s="1"/>
  <c r="BE96" i="6" a="1"/>
  <c r="BE96" i="6" s="1"/>
  <c r="BE88" i="6" a="1"/>
  <c r="BE88" i="6" s="1"/>
  <c r="BE77" i="6" a="1"/>
  <c r="BE77" i="6" s="1"/>
  <c r="BE69" i="6" a="1"/>
  <c r="BE69" i="6" s="1"/>
  <c r="BE100" i="6" a="1"/>
  <c r="BE100" i="6" s="1"/>
  <c r="BE71" i="6" a="1"/>
  <c r="BE71" i="6" s="1"/>
  <c r="BE102" i="6" a="1"/>
  <c r="BE102" i="6" s="1"/>
  <c r="BE103" i="6" a="1"/>
  <c r="BE103" i="6" s="1"/>
  <c r="BE70" i="6" a="1"/>
  <c r="BE70" i="6" s="1"/>
  <c r="BE91" i="6" a="1"/>
  <c r="BE91" i="6" s="1"/>
  <c r="BE74" i="6" a="1"/>
  <c r="BE74" i="6" s="1"/>
  <c r="BE97" i="6" a="1"/>
  <c r="BE97" i="6" s="1"/>
  <c r="BE82" i="6" a="1"/>
  <c r="BE82" i="6" s="1"/>
  <c r="BE78" i="6" a="1"/>
  <c r="BE78" i="6" s="1"/>
  <c r="BE68" i="6" a="1"/>
  <c r="BE68" i="6" s="1"/>
  <c r="BF6" i="6"/>
  <c r="BE85" i="6" a="1"/>
  <c r="BE85" i="6" s="1"/>
  <c r="BE73" i="6" a="1"/>
  <c r="BE73" i="6" s="1"/>
  <c r="BE41" i="6"/>
  <c r="BE44" i="6" s="1"/>
  <c r="BE46" i="6"/>
  <c r="BE128" i="6" s="1"/>
  <c r="BF47" i="6"/>
  <c r="D50" i="7"/>
  <c r="BD7" i="7"/>
  <c r="B47" i="7"/>
  <c r="BE4" i="7"/>
  <c r="BF6" i="7"/>
  <c r="AH10" i="7"/>
  <c r="AI35" i="7"/>
  <c r="BD165" i="6"/>
  <c r="BD163" i="6" s="1"/>
  <c r="BD164" i="6"/>
  <c r="BD161" i="6"/>
  <c r="BD160" i="6" s="1"/>
  <c r="BD168" i="6"/>
  <c r="BD167" i="6" s="1"/>
  <c r="BE4" i="6"/>
  <c r="BD53" i="6"/>
  <c r="BD52" i="6" s="1"/>
  <c r="BD11" i="6"/>
  <c r="BD8" i="6" s="1"/>
  <c r="BD10" i="6"/>
  <c r="BD7" i="6" a="1"/>
  <c r="BD7" i="6" s="1"/>
  <c r="B140" i="6"/>
  <c r="D66" i="6"/>
  <c r="BE66" i="6" s="1" a="1"/>
  <c r="BE66" i="6" s="1"/>
  <c r="T67" i="6" a="1"/>
  <c r="T67" i="6" s="1"/>
  <c r="U67" i="6" a="1"/>
  <c r="U67" i="6" s="1"/>
  <c r="V67" i="6" a="1"/>
  <c r="V67" i="6" s="1"/>
  <c r="W67" i="6" a="1"/>
  <c r="W67" i="6" s="1"/>
  <c r="X67" i="6" a="1"/>
  <c r="X67" i="6" s="1"/>
  <c r="Y67" i="6" a="1"/>
  <c r="Y67" i="6" s="1"/>
  <c r="Z67" i="6" a="1"/>
  <c r="Z67" i="6" s="1"/>
  <c r="AA67" i="6" a="1"/>
  <c r="AA67" i="6" s="1"/>
  <c r="AB67" i="6" a="1"/>
  <c r="AB67" i="6" s="1"/>
  <c r="AC67" i="6" a="1"/>
  <c r="AC67" i="6" s="1"/>
  <c r="AD67" i="6" a="1"/>
  <c r="AD67" i="6" s="1"/>
  <c r="AE67" i="6" a="1"/>
  <c r="AE67" i="6" s="1"/>
  <c r="AF67" i="6" a="1"/>
  <c r="AF67" i="6" s="1"/>
  <c r="AG67" i="6" a="1"/>
  <c r="AG67" i="6" s="1"/>
  <c r="AH67" i="6" a="1"/>
  <c r="AH67" i="6" s="1"/>
  <c r="AI67" i="6" a="1"/>
  <c r="AI67" i="6" s="1"/>
  <c r="AJ67" i="6" a="1"/>
  <c r="AJ67" i="6" s="1"/>
  <c r="AK67" i="6" a="1"/>
  <c r="AK67" i="6" s="1"/>
  <c r="AL67" i="6" a="1"/>
  <c r="AL67" i="6" s="1"/>
  <c r="AM67" i="6" a="1"/>
  <c r="AM67" i="6" s="1"/>
  <c r="AN67" i="6" a="1"/>
  <c r="AN67" i="6" s="1"/>
  <c r="AO67" i="6" a="1"/>
  <c r="AO67" i="6" s="1"/>
  <c r="AP67" i="6" a="1"/>
  <c r="AP67" i="6" s="1"/>
  <c r="AQ67" i="6" a="1"/>
  <c r="AQ67" i="6" s="1"/>
  <c r="AR67" i="6" a="1"/>
  <c r="AR67" i="6" s="1"/>
  <c r="AS67" i="6" a="1"/>
  <c r="AS67" i="6" s="1"/>
  <c r="AT67" i="6" a="1"/>
  <c r="AT67" i="6" s="1"/>
  <c r="AU67" i="6" a="1"/>
  <c r="AU67" i="6" s="1"/>
  <c r="AV67" i="6" a="1"/>
  <c r="AV67" i="6" s="1"/>
  <c r="AW67" i="6" a="1"/>
  <c r="AW67" i="6" s="1"/>
  <c r="AX67" i="6" a="1"/>
  <c r="AX67" i="6" s="1"/>
  <c r="AY67" i="6" a="1"/>
  <c r="AY67" i="6" s="1"/>
  <c r="AZ67" i="6" a="1"/>
  <c r="AZ67" i="6" s="1"/>
  <c r="BA67" i="6" a="1"/>
  <c r="BA67" i="6" s="1"/>
  <c r="BB67" i="6" a="1"/>
  <c r="BB67" i="6" s="1"/>
  <c r="BC67" i="6" a="1"/>
  <c r="BC67" i="6" s="1"/>
  <c r="BB154" i="6"/>
  <c r="BC154" i="6" l="1"/>
  <c r="BE124" i="6"/>
  <c r="BE118" i="6"/>
  <c r="BE121" i="6"/>
  <c r="BD162" i="6"/>
  <c r="BE104" i="6"/>
  <c r="BE113" i="6"/>
  <c r="BE138" i="6"/>
  <c r="BE129" i="6"/>
  <c r="BD159" i="6"/>
  <c r="BE112" i="6"/>
  <c r="BE117" i="6"/>
  <c r="BE136" i="6"/>
  <c r="BD166" i="6"/>
  <c r="BE114" i="6"/>
  <c r="BE119" i="6"/>
  <c r="Y143" i="6"/>
  <c r="AG143" i="6"/>
  <c r="AO143" i="6"/>
  <c r="AW143" i="6"/>
  <c r="T143" i="6"/>
  <c r="AB143" i="6"/>
  <c r="AJ143" i="6"/>
  <c r="Z143" i="6"/>
  <c r="AH143" i="6"/>
  <c r="AP143" i="6"/>
  <c r="AX143" i="6"/>
  <c r="AR143" i="6"/>
  <c r="D144" i="6"/>
  <c r="BF144" i="6" s="1"/>
  <c r="AA143" i="6"/>
  <c r="AI143" i="6"/>
  <c r="AQ143" i="6"/>
  <c r="AY143" i="6"/>
  <c r="AZ143" i="6"/>
  <c r="BD143" i="6"/>
  <c r="U143" i="6"/>
  <c r="AC143" i="6"/>
  <c r="AK143" i="6"/>
  <c r="AS143" i="6"/>
  <c r="BA143" i="6"/>
  <c r="V143" i="6"/>
  <c r="AD143" i="6"/>
  <c r="AL143" i="6"/>
  <c r="AT143" i="6"/>
  <c r="BB143" i="6"/>
  <c r="AE143" i="6"/>
  <c r="AU143" i="6"/>
  <c r="W143" i="6"/>
  <c r="AM143" i="6"/>
  <c r="X143" i="6"/>
  <c r="AF143" i="6"/>
  <c r="AN143" i="6"/>
  <c r="AV143" i="6"/>
  <c r="BC143" i="6"/>
  <c r="BD152" i="6"/>
  <c r="BD154" i="6" s="1"/>
  <c r="BD140" i="6"/>
  <c r="BE140" i="6"/>
  <c r="BD9" i="6"/>
  <c r="BF143" i="6"/>
  <c r="BF133" i="6"/>
  <c r="BF124" i="6"/>
  <c r="BF100" i="6" a="1"/>
  <c r="BF100" i="6" s="1"/>
  <c r="BF92" i="6" a="1"/>
  <c r="BF92" i="6" s="1"/>
  <c r="BF99" i="6" a="1"/>
  <c r="BF99" i="6" s="1"/>
  <c r="BF93" i="6" a="1"/>
  <c r="BF93" i="6" s="1"/>
  <c r="BF87" i="6" a="1"/>
  <c r="BF87" i="6" s="1"/>
  <c r="BF81" i="6" a="1"/>
  <c r="BF81" i="6" s="1"/>
  <c r="BF94" i="6" a="1"/>
  <c r="BF94" i="6" s="1"/>
  <c r="BF88" i="6" a="1"/>
  <c r="BF88" i="6" s="1"/>
  <c r="BF89" i="6" a="1"/>
  <c r="BF89" i="6" s="1"/>
  <c r="BF83" i="6" a="1"/>
  <c r="BF83" i="6" s="1"/>
  <c r="BF102" i="6" a="1"/>
  <c r="BF102" i="6" s="1"/>
  <c r="BF96" i="6" a="1"/>
  <c r="BF96" i="6" s="1"/>
  <c r="BF90" i="6" a="1"/>
  <c r="BF90" i="6" s="1"/>
  <c r="BF107" i="6"/>
  <c r="BF101" i="6" a="1"/>
  <c r="BF101" i="6" s="1"/>
  <c r="BF77" i="6" a="1"/>
  <c r="BF77" i="6" s="1"/>
  <c r="BF69" i="6" a="1"/>
  <c r="BF69" i="6" s="1"/>
  <c r="BF91" i="6" a="1"/>
  <c r="BF91" i="6" s="1"/>
  <c r="BF78" i="6" a="1"/>
  <c r="BF78" i="6" s="1"/>
  <c r="BF74" i="6" a="1"/>
  <c r="BF74" i="6" s="1"/>
  <c r="BF66" i="6" a="1"/>
  <c r="BF66" i="6" s="1"/>
  <c r="BF103" i="6" a="1"/>
  <c r="BF103" i="6" s="1"/>
  <c r="BF84" i="6" a="1"/>
  <c r="BF84" i="6" s="1"/>
  <c r="BF71" i="6" a="1"/>
  <c r="BF71" i="6" s="1"/>
  <c r="BF95" i="6" a="1"/>
  <c r="BF95" i="6" s="1"/>
  <c r="BF85" i="6" a="1"/>
  <c r="BF85" i="6" s="1"/>
  <c r="BF73" i="6" a="1"/>
  <c r="BF73" i="6" s="1"/>
  <c r="BF97" i="6" a="1"/>
  <c r="BF97" i="6" s="1"/>
  <c r="BF106" i="6"/>
  <c r="BF79" i="6" a="1"/>
  <c r="BF79" i="6" s="1"/>
  <c r="BF82" i="6" a="1"/>
  <c r="BF82" i="6" s="1"/>
  <c r="BF86" i="6" a="1"/>
  <c r="BF86" i="6" s="1"/>
  <c r="BF80" i="6" a="1"/>
  <c r="BF80" i="6" s="1"/>
  <c r="BF76" i="6" a="1"/>
  <c r="BF76" i="6" s="1"/>
  <c r="BF72" i="6" a="1"/>
  <c r="BF72" i="6" s="1"/>
  <c r="BF105" i="6"/>
  <c r="BF98" i="6" a="1"/>
  <c r="BF98" i="6" s="1"/>
  <c r="BF75" i="6" a="1"/>
  <c r="BF75" i="6" s="1"/>
  <c r="BF70" i="6" a="1"/>
  <c r="BF70" i="6" s="1"/>
  <c r="BF67" i="6" a="1"/>
  <c r="BF67" i="6" s="1"/>
  <c r="BF41" i="6"/>
  <c r="BF44" i="6" s="1"/>
  <c r="BF68" i="6" a="1"/>
  <c r="BF68" i="6" s="1"/>
  <c r="BG6" i="6"/>
  <c r="BF46" i="6"/>
  <c r="BF135" i="6" s="1"/>
  <c r="BG47" i="6"/>
  <c r="BE7" i="7"/>
  <c r="B48" i="7"/>
  <c r="BE110" i="6"/>
  <c r="BE115" i="6"/>
  <c r="BE132" i="6"/>
  <c r="BG6" i="7"/>
  <c r="BF4" i="7"/>
  <c r="BE122" i="6"/>
  <c r="BE125" i="6"/>
  <c r="BE123" i="6"/>
  <c r="D51" i="7"/>
  <c r="T66" i="6" a="1"/>
  <c r="T66" i="6" s="1"/>
  <c r="D65" i="6"/>
  <c r="BF65" i="6" s="1" a="1"/>
  <c r="BF65" i="6" s="1"/>
  <c r="U66" i="6" a="1"/>
  <c r="U66" i="6" s="1"/>
  <c r="V66" i="6" a="1"/>
  <c r="V66" i="6" s="1"/>
  <c r="W66" i="6" a="1"/>
  <c r="W66" i="6" s="1"/>
  <c r="X66" i="6" a="1"/>
  <c r="X66" i="6" s="1"/>
  <c r="Y66" i="6" a="1"/>
  <c r="Y66" i="6" s="1"/>
  <c r="Z66" i="6" a="1"/>
  <c r="Z66" i="6" s="1"/>
  <c r="AA66" i="6" a="1"/>
  <c r="AA66" i="6" s="1"/>
  <c r="AB66" i="6" a="1"/>
  <c r="AB66" i="6" s="1"/>
  <c r="AC66" i="6" a="1"/>
  <c r="AC66" i="6" s="1"/>
  <c r="AD66" i="6" a="1"/>
  <c r="AD66" i="6" s="1"/>
  <c r="AE66" i="6" a="1"/>
  <c r="AE66" i="6" s="1"/>
  <c r="AF66" i="6" a="1"/>
  <c r="AF66" i="6" s="1"/>
  <c r="AG66" i="6" a="1"/>
  <c r="AG66" i="6" s="1"/>
  <c r="AH66" i="6" a="1"/>
  <c r="AH66" i="6" s="1"/>
  <c r="AI66" i="6" a="1"/>
  <c r="AI66" i="6" s="1"/>
  <c r="AJ66" i="6" a="1"/>
  <c r="AJ66" i="6" s="1"/>
  <c r="AK66" i="6" a="1"/>
  <c r="AK66" i="6" s="1"/>
  <c r="AL66" i="6" a="1"/>
  <c r="AL66" i="6" s="1"/>
  <c r="AM66" i="6" a="1"/>
  <c r="AM66" i="6" s="1"/>
  <c r="AN66" i="6" a="1"/>
  <c r="AN66" i="6" s="1"/>
  <c r="AO66" i="6" a="1"/>
  <c r="AO66" i="6" s="1"/>
  <c r="AP66" i="6" a="1"/>
  <c r="AP66" i="6" s="1"/>
  <c r="AQ66" i="6" a="1"/>
  <c r="AQ66" i="6" s="1"/>
  <c r="AR66" i="6" a="1"/>
  <c r="AR66" i="6" s="1"/>
  <c r="AS66" i="6" a="1"/>
  <c r="AS66" i="6" s="1"/>
  <c r="AT66" i="6" a="1"/>
  <c r="AT66" i="6" s="1"/>
  <c r="AU66" i="6" a="1"/>
  <c r="AU66" i="6" s="1"/>
  <c r="AV66" i="6" a="1"/>
  <c r="AV66" i="6" s="1"/>
  <c r="AW66" i="6" a="1"/>
  <c r="AW66" i="6" s="1"/>
  <c r="AX66" i="6" a="1"/>
  <c r="AX66" i="6" s="1"/>
  <c r="AY66" i="6" a="1"/>
  <c r="AY66" i="6" s="1"/>
  <c r="AZ66" i="6" a="1"/>
  <c r="AZ66" i="6" s="1"/>
  <c r="BA66" i="6" a="1"/>
  <c r="BA66" i="6" s="1"/>
  <c r="BB66" i="6" a="1"/>
  <c r="BB66" i="6" s="1"/>
  <c r="BC66" i="6" a="1"/>
  <c r="BC66" i="6" s="1"/>
  <c r="BD66" i="6" a="1"/>
  <c r="BD66" i="6" s="1"/>
  <c r="BE165" i="6"/>
  <c r="BE162" i="6" s="1"/>
  <c r="BE161" i="6"/>
  <c r="BE159" i="6" s="1"/>
  <c r="BE168" i="6"/>
  <c r="BE167" i="6"/>
  <c r="BE53" i="6"/>
  <c r="BE11" i="6"/>
  <c r="BE8" i="6" s="1"/>
  <c r="BE10" i="6"/>
  <c r="BE52" i="6"/>
  <c r="BE7" i="6" a="1"/>
  <c r="BE7" i="6" s="1"/>
  <c r="BF4" i="6"/>
  <c r="B141" i="6"/>
  <c r="BE137" i="6"/>
  <c r="BE133" i="6"/>
  <c r="BE109" i="6"/>
  <c r="BE127" i="6"/>
  <c r="BE126" i="6"/>
  <c r="AI10" i="7"/>
  <c r="AJ35" i="7"/>
  <c r="BE107" i="6"/>
  <c r="BE105" i="6"/>
  <c r="BE108" i="6"/>
  <c r="BE111" i="6"/>
  <c r="BE135" i="6"/>
  <c r="BF122" i="6" l="1"/>
  <c r="BF117" i="6"/>
  <c r="BF115" i="6"/>
  <c r="BF119" i="6"/>
  <c r="BF116" i="6"/>
  <c r="BF110" i="6"/>
  <c r="BF129" i="6"/>
  <c r="BF121" i="6"/>
  <c r="BE160" i="6"/>
  <c r="BF132" i="6"/>
  <c r="BF131" i="6"/>
  <c r="BF140" i="6"/>
  <c r="BF112" i="6"/>
  <c r="BF108" i="6"/>
  <c r="BF139" i="6"/>
  <c r="BF138" i="6"/>
  <c r="BF109" i="6"/>
  <c r="BF120" i="6"/>
  <c r="BE166" i="6"/>
  <c r="BF166" i="6" s="1"/>
  <c r="BF104" i="6"/>
  <c r="BF111" i="6"/>
  <c r="BF128" i="6"/>
  <c r="BD144" i="6"/>
  <c r="BE144" i="6"/>
  <c r="Y144" i="6"/>
  <c r="AG144" i="6"/>
  <c r="AO144" i="6"/>
  <c r="AW144" i="6"/>
  <c r="AP144" i="6"/>
  <c r="AY144" i="6"/>
  <c r="U144" i="6"/>
  <c r="AS144" i="6"/>
  <c r="AL144" i="6"/>
  <c r="W144" i="6"/>
  <c r="Z144" i="6"/>
  <c r="AH144" i="6"/>
  <c r="AX144" i="6"/>
  <c r="AA144" i="6"/>
  <c r="AI144" i="6"/>
  <c r="AK144" i="6"/>
  <c r="AD144" i="6"/>
  <c r="AE144" i="6"/>
  <c r="D145" i="6"/>
  <c r="BG145" i="6" s="1"/>
  <c r="AQ144" i="6"/>
  <c r="T144" i="6"/>
  <c r="AB144" i="6"/>
  <c r="AJ144" i="6"/>
  <c r="AZ144" i="6"/>
  <c r="AC144" i="6"/>
  <c r="BC144" i="6"/>
  <c r="V144" i="6"/>
  <c r="BB144" i="6"/>
  <c r="AM144" i="6"/>
  <c r="X144" i="6"/>
  <c r="AF144" i="6"/>
  <c r="AN144" i="6"/>
  <c r="AV144" i="6"/>
  <c r="AR144" i="6"/>
  <c r="BA144" i="6"/>
  <c r="AT144" i="6"/>
  <c r="AU144" i="6"/>
  <c r="BF168" i="6"/>
  <c r="BF167" i="6" s="1"/>
  <c r="BF165" i="6"/>
  <c r="BF162" i="6" s="1"/>
  <c r="BF161" i="6"/>
  <c r="BF159" i="6" s="1"/>
  <c r="BF160" i="6"/>
  <c r="BF53" i="6"/>
  <c r="BF52" i="6" s="1"/>
  <c r="BF11" i="6"/>
  <c r="BF8" i="6" s="1"/>
  <c r="BF10" i="6"/>
  <c r="BF7" i="6" a="1"/>
  <c r="BF7" i="6" s="1"/>
  <c r="BG4" i="6"/>
  <c r="B142" i="6"/>
  <c r="BF7" i="7"/>
  <c r="B49" i="7"/>
  <c r="BF113" i="6"/>
  <c r="BF136" i="6"/>
  <c r="BF123" i="6"/>
  <c r="BE163" i="6"/>
  <c r="BF163" i="6" s="1"/>
  <c r="BE152" i="6"/>
  <c r="BE141" i="6"/>
  <c r="BE9" i="6"/>
  <c r="T65" i="6" a="1"/>
  <c r="T65" i="6" s="1"/>
  <c r="D64" i="6"/>
  <c r="BG64" i="6" s="1" a="1"/>
  <c r="BG64" i="6" s="1"/>
  <c r="U65" i="6" a="1"/>
  <c r="U65" i="6" s="1"/>
  <c r="V65" i="6" a="1"/>
  <c r="V65" i="6" s="1"/>
  <c r="W65" i="6" a="1"/>
  <c r="W65" i="6" s="1"/>
  <c r="X65" i="6" a="1"/>
  <c r="X65" i="6" s="1"/>
  <c r="Y65" i="6" a="1"/>
  <c r="Y65" i="6" s="1"/>
  <c r="Z65" i="6" a="1"/>
  <c r="Z65" i="6" s="1"/>
  <c r="AA65" i="6" a="1"/>
  <c r="AA65" i="6" s="1"/>
  <c r="AB65" i="6" a="1"/>
  <c r="AB65" i="6" s="1"/>
  <c r="AC65" i="6" a="1"/>
  <c r="AC65" i="6" s="1"/>
  <c r="AD65" i="6" a="1"/>
  <c r="AD65" i="6" s="1"/>
  <c r="AE65" i="6" a="1"/>
  <c r="AE65" i="6" s="1"/>
  <c r="AF65" i="6" a="1"/>
  <c r="AF65" i="6" s="1"/>
  <c r="AG65" i="6" a="1"/>
  <c r="AG65" i="6" s="1"/>
  <c r="AH65" i="6" a="1"/>
  <c r="AH65" i="6" s="1"/>
  <c r="AI65" i="6" a="1"/>
  <c r="AI65" i="6" s="1"/>
  <c r="AJ65" i="6" a="1"/>
  <c r="AJ65" i="6" s="1"/>
  <c r="AK65" i="6" a="1"/>
  <c r="AK65" i="6" s="1"/>
  <c r="AL65" i="6" a="1"/>
  <c r="AL65" i="6" s="1"/>
  <c r="AM65" i="6" a="1"/>
  <c r="AM65" i="6" s="1"/>
  <c r="AN65" i="6" a="1"/>
  <c r="AN65" i="6" s="1"/>
  <c r="AO65" i="6" a="1"/>
  <c r="AO65" i="6" s="1"/>
  <c r="AP65" i="6" a="1"/>
  <c r="AP65" i="6" s="1"/>
  <c r="AQ65" i="6" a="1"/>
  <c r="AQ65" i="6" s="1"/>
  <c r="AR65" i="6" a="1"/>
  <c r="AR65" i="6" s="1"/>
  <c r="AS65" i="6" a="1"/>
  <c r="AS65" i="6" s="1"/>
  <c r="AT65" i="6" a="1"/>
  <c r="AT65" i="6" s="1"/>
  <c r="AU65" i="6" a="1"/>
  <c r="AU65" i="6" s="1"/>
  <c r="AV65" i="6" a="1"/>
  <c r="AV65" i="6" s="1"/>
  <c r="AW65" i="6" a="1"/>
  <c r="AW65" i="6" s="1"/>
  <c r="AX65" i="6" a="1"/>
  <c r="AX65" i="6" s="1"/>
  <c r="AY65" i="6" a="1"/>
  <c r="AY65" i="6" s="1"/>
  <c r="AZ65" i="6" a="1"/>
  <c r="AZ65" i="6" s="1"/>
  <c r="BA65" i="6" a="1"/>
  <c r="BA65" i="6" s="1"/>
  <c r="BB65" i="6" a="1"/>
  <c r="BB65" i="6" s="1"/>
  <c r="BC65" i="6" a="1"/>
  <c r="BC65" i="6" s="1"/>
  <c r="BD65" i="6" a="1"/>
  <c r="BD65" i="6" s="1"/>
  <c r="BE65" i="6" a="1"/>
  <c r="BE65" i="6" s="1"/>
  <c r="BH6" i="7"/>
  <c r="BG4" i="7"/>
  <c r="BG46" i="6"/>
  <c r="BG139" i="6" s="1"/>
  <c r="BH47" i="6"/>
  <c r="BF118" i="6"/>
  <c r="BF141" i="6"/>
  <c r="BF137" i="6"/>
  <c r="BF127" i="6"/>
  <c r="BE164" i="6"/>
  <c r="BF164" i="6" s="1"/>
  <c r="BF114" i="6"/>
  <c r="BF126" i="6"/>
  <c r="BF134" i="6"/>
  <c r="AJ10" i="7"/>
  <c r="AK35" i="7"/>
  <c r="D52" i="7"/>
  <c r="BG144" i="6"/>
  <c r="BG137" i="6"/>
  <c r="BG102" i="6" a="1"/>
  <c r="BG102" i="6" s="1"/>
  <c r="BG94" i="6" a="1"/>
  <c r="BG94" i="6" s="1"/>
  <c r="BG86" i="6" a="1"/>
  <c r="BG86" i="6" s="1"/>
  <c r="BG100" i="6" a="1"/>
  <c r="BG100" i="6" s="1"/>
  <c r="BG83" i="6" a="1"/>
  <c r="BG83" i="6" s="1"/>
  <c r="BG101" i="6" a="1"/>
  <c r="BG101" i="6" s="1"/>
  <c r="BG95" i="6" a="1"/>
  <c r="BG95" i="6" s="1"/>
  <c r="BG89" i="6" a="1"/>
  <c r="BG89" i="6" s="1"/>
  <c r="BG96" i="6" a="1"/>
  <c r="BG96" i="6" s="1"/>
  <c r="BG90" i="6" a="1"/>
  <c r="BG90" i="6" s="1"/>
  <c r="BG103" i="6" a="1"/>
  <c r="BG103" i="6" s="1"/>
  <c r="BG97" i="6" a="1"/>
  <c r="BG97" i="6" s="1"/>
  <c r="BG91" i="6" a="1"/>
  <c r="BG91" i="6" s="1"/>
  <c r="BG84" i="6" a="1"/>
  <c r="BG84" i="6" s="1"/>
  <c r="BG78" i="6" a="1"/>
  <c r="BG78" i="6" s="1"/>
  <c r="BG71" i="6" a="1"/>
  <c r="BG71" i="6" s="1"/>
  <c r="BG98" i="6" a="1"/>
  <c r="BG98" i="6" s="1"/>
  <c r="BG88" i="6" a="1"/>
  <c r="BG88" i="6" s="1"/>
  <c r="BG79" i="6" a="1"/>
  <c r="BG79" i="6" s="1"/>
  <c r="BG68" i="6" a="1"/>
  <c r="BG68" i="6" s="1"/>
  <c r="BG93" i="6" a="1"/>
  <c r="BG93" i="6" s="1"/>
  <c r="BG85" i="6" a="1"/>
  <c r="BG85" i="6" s="1"/>
  <c r="BG81" i="6" a="1"/>
  <c r="BG81" i="6" s="1"/>
  <c r="BG73" i="6" a="1"/>
  <c r="BG73" i="6" s="1"/>
  <c r="BG75" i="6" a="1"/>
  <c r="BG75" i="6" s="1"/>
  <c r="BG99" i="6" a="1"/>
  <c r="BG99" i="6" s="1"/>
  <c r="BG87" i="6" a="1"/>
  <c r="BG87" i="6" s="1"/>
  <c r="BG74" i="6" a="1"/>
  <c r="BG74" i="6" s="1"/>
  <c r="BG65" i="6" a="1"/>
  <c r="BG65" i="6" s="1"/>
  <c r="BG82" i="6" a="1"/>
  <c r="BG82" i="6" s="1"/>
  <c r="BG92" i="6" a="1"/>
  <c r="BG92" i="6" s="1"/>
  <c r="BG80" i="6" a="1"/>
  <c r="BG80" i="6" s="1"/>
  <c r="BG76" i="6" a="1"/>
  <c r="BG76" i="6" s="1"/>
  <c r="BG72" i="6" a="1"/>
  <c r="BG72" i="6" s="1"/>
  <c r="BG67" i="6" a="1"/>
  <c r="BG67" i="6" s="1"/>
  <c r="BG66" i="6" a="1"/>
  <c r="BG66" i="6" s="1"/>
  <c r="BG70" i="6" a="1"/>
  <c r="BG70" i="6" s="1"/>
  <c r="BG41" i="6"/>
  <c r="BG44" i="6" s="1"/>
  <c r="BG77" i="6" a="1"/>
  <c r="BG77" i="6" s="1"/>
  <c r="BG69" i="6" a="1"/>
  <c r="BG69" i="6" s="1"/>
  <c r="BH6" i="6"/>
  <c r="BF125" i="6"/>
  <c r="BF130" i="6"/>
  <c r="BG142" i="6" l="1"/>
  <c r="BG141" i="6"/>
  <c r="BG104" i="6"/>
  <c r="BG131" i="6"/>
  <c r="BG112" i="6"/>
  <c r="BG111" i="6"/>
  <c r="BE145" i="6"/>
  <c r="T145" i="6"/>
  <c r="AB145" i="6"/>
  <c r="AJ145" i="6"/>
  <c r="AR145" i="6"/>
  <c r="AZ145" i="6"/>
  <c r="AU145" i="6"/>
  <c r="AF145" i="6"/>
  <c r="AV145" i="6"/>
  <c r="BF145" i="6"/>
  <c r="AG145" i="6"/>
  <c r="AW145" i="6"/>
  <c r="U145" i="6"/>
  <c r="AC145" i="6"/>
  <c r="AK145" i="6"/>
  <c r="AS145" i="6"/>
  <c r="BA145" i="6"/>
  <c r="W145" i="6"/>
  <c r="AE145" i="6"/>
  <c r="AM145" i="6"/>
  <c r="BC145" i="6"/>
  <c r="X145" i="6"/>
  <c r="AN145" i="6"/>
  <c r="BD145" i="6"/>
  <c r="Y145" i="6"/>
  <c r="AO145" i="6"/>
  <c r="V145" i="6"/>
  <c r="AD145" i="6"/>
  <c r="AL145" i="6"/>
  <c r="AT145" i="6"/>
  <c r="BB145" i="6"/>
  <c r="Z145" i="6"/>
  <c r="AH145" i="6"/>
  <c r="AP145" i="6"/>
  <c r="AX145" i="6"/>
  <c r="D146" i="6"/>
  <c r="AA145" i="6"/>
  <c r="AI145" i="6"/>
  <c r="AQ145" i="6"/>
  <c r="AY145" i="6"/>
  <c r="BG116" i="6"/>
  <c r="BG106" i="6"/>
  <c r="BG126" i="6"/>
  <c r="BG109" i="6"/>
  <c r="BG134" i="6"/>
  <c r="BG125" i="6"/>
  <c r="BG119" i="6"/>
  <c r="BG7" i="7"/>
  <c r="B50" i="7"/>
  <c r="BG127" i="6"/>
  <c r="T64" i="6" a="1"/>
  <c r="T64" i="6" s="1"/>
  <c r="D63" i="6"/>
  <c r="BH63" i="6" s="1" a="1"/>
  <c r="BH63" i="6" s="1"/>
  <c r="U64" i="6" a="1"/>
  <c r="U64" i="6" s="1"/>
  <c r="V64" i="6" a="1"/>
  <c r="V64" i="6" s="1"/>
  <c r="W64" i="6" a="1"/>
  <c r="W64" i="6" s="1"/>
  <c r="X64" i="6" a="1"/>
  <c r="X64" i="6" s="1"/>
  <c r="Y64" i="6" a="1"/>
  <c r="Y64" i="6" s="1"/>
  <c r="Z64" i="6" a="1"/>
  <c r="Z64" i="6" s="1"/>
  <c r="AA64" i="6" a="1"/>
  <c r="AA64" i="6" s="1"/>
  <c r="AB64" i="6" a="1"/>
  <c r="AB64" i="6" s="1"/>
  <c r="AC64" i="6" a="1"/>
  <c r="AC64" i="6" s="1"/>
  <c r="AD64" i="6" a="1"/>
  <c r="AD64" i="6" s="1"/>
  <c r="AE64" i="6" a="1"/>
  <c r="AE64" i="6" s="1"/>
  <c r="AF64" i="6" a="1"/>
  <c r="AF64" i="6" s="1"/>
  <c r="AG64" i="6" a="1"/>
  <c r="AG64" i="6" s="1"/>
  <c r="AH64" i="6" a="1"/>
  <c r="AH64" i="6" s="1"/>
  <c r="AI64" i="6" a="1"/>
  <c r="AI64" i="6" s="1"/>
  <c r="AJ64" i="6" a="1"/>
  <c r="AJ64" i="6" s="1"/>
  <c r="AK64" i="6" a="1"/>
  <c r="AK64" i="6" s="1"/>
  <c r="AL64" i="6" a="1"/>
  <c r="AL64" i="6" s="1"/>
  <c r="AM64" i="6" a="1"/>
  <c r="AM64" i="6" s="1"/>
  <c r="AN64" i="6" a="1"/>
  <c r="AN64" i="6" s="1"/>
  <c r="AO64" i="6" a="1"/>
  <c r="AO64" i="6" s="1"/>
  <c r="AP64" i="6" a="1"/>
  <c r="AP64" i="6" s="1"/>
  <c r="AQ64" i="6" a="1"/>
  <c r="AQ64" i="6" s="1"/>
  <c r="AR64" i="6" a="1"/>
  <c r="AR64" i="6" s="1"/>
  <c r="AS64" i="6" a="1"/>
  <c r="AS64" i="6" s="1"/>
  <c r="AT64" i="6" a="1"/>
  <c r="AT64" i="6" s="1"/>
  <c r="AU64" i="6" a="1"/>
  <c r="AU64" i="6" s="1"/>
  <c r="AV64" i="6" a="1"/>
  <c r="AV64" i="6" s="1"/>
  <c r="AW64" i="6" a="1"/>
  <c r="AW64" i="6" s="1"/>
  <c r="AX64" i="6" a="1"/>
  <c r="AX64" i="6" s="1"/>
  <c r="AY64" i="6" a="1"/>
  <c r="AY64" i="6" s="1"/>
  <c r="AZ64" i="6" a="1"/>
  <c r="AZ64" i="6" s="1"/>
  <c r="BA64" i="6" a="1"/>
  <c r="BA64" i="6" s="1"/>
  <c r="BB64" i="6" a="1"/>
  <c r="BB64" i="6" s="1"/>
  <c r="BC64" i="6" a="1"/>
  <c r="BC64" i="6" s="1"/>
  <c r="BD64" i="6" a="1"/>
  <c r="BD64" i="6" s="1"/>
  <c r="BE64" i="6" a="1"/>
  <c r="BE64" i="6" s="1"/>
  <c r="BF64" i="6" a="1"/>
  <c r="BF64" i="6" s="1"/>
  <c r="BH145" i="6"/>
  <c r="BH146" i="6"/>
  <c r="BH132" i="6"/>
  <c r="BH113" i="6"/>
  <c r="BH96" i="6" a="1"/>
  <c r="BH96" i="6" s="1"/>
  <c r="BH88" i="6" a="1"/>
  <c r="BH88" i="6" s="1"/>
  <c r="BH115" i="6"/>
  <c r="BH90" i="6" a="1"/>
  <c r="BH90" i="6" s="1"/>
  <c r="BH77" i="6" a="1"/>
  <c r="BH77" i="6" s="1"/>
  <c r="BH102" i="6" a="1"/>
  <c r="BH102" i="6" s="1"/>
  <c r="BH85" i="6" a="1"/>
  <c r="BH85" i="6" s="1"/>
  <c r="BH82" i="6" a="1"/>
  <c r="BH82" i="6" s="1"/>
  <c r="BH103" i="6" a="1"/>
  <c r="BH103" i="6" s="1"/>
  <c r="BH97" i="6" a="1"/>
  <c r="BH97" i="6" s="1"/>
  <c r="BH91" i="6" a="1"/>
  <c r="BH91" i="6" s="1"/>
  <c r="BH93" i="6" a="1"/>
  <c r="BH93" i="6" s="1"/>
  <c r="BH98" i="6" a="1"/>
  <c r="BH98" i="6" s="1"/>
  <c r="BH81" i="6" a="1"/>
  <c r="BH81" i="6" s="1"/>
  <c r="BH73" i="6" a="1"/>
  <c r="BH73" i="6" s="1"/>
  <c r="BH65" i="6" a="1"/>
  <c r="BH65" i="6" s="1"/>
  <c r="BH70" i="6" a="1"/>
  <c r="BH70" i="6" s="1"/>
  <c r="BH100" i="6" a="1"/>
  <c r="BH100" i="6" s="1"/>
  <c r="BH75" i="6" a="1"/>
  <c r="BH75" i="6" s="1"/>
  <c r="BH92" i="6" a="1"/>
  <c r="BH92" i="6" s="1"/>
  <c r="BH80" i="6" a="1"/>
  <c r="BH80" i="6" s="1"/>
  <c r="BH69" i="6" a="1"/>
  <c r="BH69" i="6" s="1"/>
  <c r="BH99" i="6" a="1"/>
  <c r="BH99" i="6" s="1"/>
  <c r="BH79" i="6" a="1"/>
  <c r="BH79" i="6" s="1"/>
  <c r="BH95" i="6" a="1"/>
  <c r="BH95" i="6" s="1"/>
  <c r="BH86" i="6" a="1"/>
  <c r="BH86" i="6" s="1"/>
  <c r="BH76" i="6" a="1"/>
  <c r="BH76" i="6" s="1"/>
  <c r="BH72" i="6" a="1"/>
  <c r="BH72" i="6" s="1"/>
  <c r="BH83" i="6" a="1"/>
  <c r="BH83" i="6" s="1"/>
  <c r="BH68" i="6" a="1"/>
  <c r="BH68" i="6" s="1"/>
  <c r="BH67" i="6" a="1"/>
  <c r="BH67" i="6" s="1"/>
  <c r="BH41" i="6"/>
  <c r="BH44" i="6" s="1"/>
  <c r="BH84" i="6" a="1"/>
  <c r="BH84" i="6" s="1"/>
  <c r="BH78" i="6" a="1"/>
  <c r="BH78" i="6" s="1"/>
  <c r="BH89" i="6" a="1"/>
  <c r="BH89" i="6" s="1"/>
  <c r="BH101" i="6" a="1"/>
  <c r="BH101" i="6" s="1"/>
  <c r="BH87" i="6" a="1"/>
  <c r="BH87" i="6" s="1"/>
  <c r="BH94" i="6" a="1"/>
  <c r="BH94" i="6" s="1"/>
  <c r="BH66" i="6" a="1"/>
  <c r="BH66" i="6" s="1"/>
  <c r="BH74" i="6" a="1"/>
  <c r="BH74" i="6" s="1"/>
  <c r="BH71" i="6" a="1"/>
  <c r="BH71" i="6" s="1"/>
  <c r="BH64" i="6" a="1"/>
  <c r="BH64" i="6" s="1"/>
  <c r="BI6" i="6"/>
  <c r="BG120" i="6"/>
  <c r="BI6" i="7"/>
  <c r="BH4" i="7"/>
  <c r="BG117" i="6"/>
  <c r="BF9" i="6"/>
  <c r="BG113" i="6"/>
  <c r="BG114" i="6"/>
  <c r="BG110" i="6"/>
  <c r="BG140" i="6"/>
  <c r="BG135" i="6"/>
  <c r="BG128" i="6"/>
  <c r="BG121" i="6"/>
  <c r="BE154" i="6"/>
  <c r="AK10" i="7"/>
  <c r="AL35" i="7"/>
  <c r="BG138" i="6"/>
  <c r="BG107" i="6"/>
  <c r="BG132" i="6"/>
  <c r="BG118" i="6"/>
  <c r="BG130" i="6"/>
  <c r="BG133" i="6"/>
  <c r="BG129" i="6"/>
  <c r="BG123" i="6"/>
  <c r="BF152" i="6"/>
  <c r="BF142" i="6"/>
  <c r="BG124" i="6"/>
  <c r="BG115" i="6"/>
  <c r="BG122" i="6"/>
  <c r="BG105" i="6"/>
  <c r="BG108" i="6"/>
  <c r="BG136" i="6"/>
  <c r="D53" i="7"/>
  <c r="BH46" i="6"/>
  <c r="BH133" i="6" s="1"/>
  <c r="BI47" i="6"/>
  <c r="BG168" i="6"/>
  <c r="BG167" i="6" s="1"/>
  <c r="BG165" i="6"/>
  <c r="BG164" i="6" s="1"/>
  <c r="BG161" i="6"/>
  <c r="BG159" i="6" s="1"/>
  <c r="BG163" i="6"/>
  <c r="BG53" i="6"/>
  <c r="BG52" i="6" s="1"/>
  <c r="BG7" i="6" a="1"/>
  <c r="BG7" i="6" s="1"/>
  <c r="BG10" i="6"/>
  <c r="BG11" i="6"/>
  <c r="BG8" i="6" s="1"/>
  <c r="BH4" i="6"/>
  <c r="B143" i="6"/>
  <c r="BH124" i="6" l="1"/>
  <c r="BH136" i="6"/>
  <c r="BH109" i="6"/>
  <c r="BH126" i="6"/>
  <c r="BF154" i="6"/>
  <c r="BH104" i="6"/>
  <c r="BH118" i="6"/>
  <c r="BH135" i="6"/>
  <c r="BG166" i="6"/>
  <c r="BH166" i="6" s="1"/>
  <c r="BH137" i="6"/>
  <c r="BG9" i="6"/>
  <c r="BH139" i="6"/>
  <c r="BF146" i="6"/>
  <c r="W146" i="6"/>
  <c r="AE146" i="6"/>
  <c r="AM146" i="6"/>
  <c r="AU146" i="6"/>
  <c r="BC146" i="6"/>
  <c r="Z146" i="6"/>
  <c r="AP146" i="6"/>
  <c r="X146" i="6"/>
  <c r="AF146" i="6"/>
  <c r="AN146" i="6"/>
  <c r="AV146" i="6"/>
  <c r="BD146" i="6"/>
  <c r="D147" i="6"/>
  <c r="BI147" i="6" s="1"/>
  <c r="AY146" i="6"/>
  <c r="AR146" i="6"/>
  <c r="Y146" i="6"/>
  <c r="AG146" i="6"/>
  <c r="AO146" i="6"/>
  <c r="AW146" i="6"/>
  <c r="BE146" i="6"/>
  <c r="AQ146" i="6"/>
  <c r="AX146" i="6"/>
  <c r="AA146" i="6"/>
  <c r="T146" i="6"/>
  <c r="AB146" i="6"/>
  <c r="AJ146" i="6"/>
  <c r="U146" i="6"/>
  <c r="AC146" i="6"/>
  <c r="AK146" i="6"/>
  <c r="AS146" i="6"/>
  <c r="BA146" i="6"/>
  <c r="V146" i="6"/>
  <c r="AD146" i="6"/>
  <c r="AL146" i="6"/>
  <c r="AT146" i="6"/>
  <c r="BB146" i="6"/>
  <c r="BG146" i="6"/>
  <c r="AH146" i="6"/>
  <c r="AI146" i="6"/>
  <c r="AZ146" i="6"/>
  <c r="BG152" i="6"/>
  <c r="BG143" i="6"/>
  <c r="BH143" i="6"/>
  <c r="BG154" i="6"/>
  <c r="BH142" i="6"/>
  <c r="BI146" i="6"/>
  <c r="BI98" i="6" a="1"/>
  <c r="BI98" i="6" s="1"/>
  <c r="BI90" i="6" a="1"/>
  <c r="BI90" i="6" s="1"/>
  <c r="BI103" i="6" a="1"/>
  <c r="BI103" i="6" s="1"/>
  <c r="BI97" i="6" a="1"/>
  <c r="BI97" i="6" s="1"/>
  <c r="BI91" i="6" a="1"/>
  <c r="BI91" i="6" s="1"/>
  <c r="BI85" i="6" a="1"/>
  <c r="BI85" i="6" s="1"/>
  <c r="BI79" i="6" a="1"/>
  <c r="BI79" i="6" s="1"/>
  <c r="BI92" i="6" a="1"/>
  <c r="BI92" i="6" s="1"/>
  <c r="BI86" i="6" a="1"/>
  <c r="BI86" i="6" s="1"/>
  <c r="BI84" i="6" a="1"/>
  <c r="BI84" i="6" s="1"/>
  <c r="BI87" i="6" a="1"/>
  <c r="BI87" i="6" s="1"/>
  <c r="BI81" i="6" a="1"/>
  <c r="BI81" i="6" s="1"/>
  <c r="BI100" i="6" a="1"/>
  <c r="BI100" i="6" s="1"/>
  <c r="BI94" i="6" a="1"/>
  <c r="BI94" i="6" s="1"/>
  <c r="BI93" i="6" a="1"/>
  <c r="BI93" i="6" s="1"/>
  <c r="BI75" i="6" a="1"/>
  <c r="BI75" i="6" s="1"/>
  <c r="BI67" i="6" a="1"/>
  <c r="BI67" i="6" s="1"/>
  <c r="BI95" i="6" a="1"/>
  <c r="BI95" i="6" s="1"/>
  <c r="BI76" i="6" a="1"/>
  <c r="BI76" i="6" s="1"/>
  <c r="BI72" i="6" a="1"/>
  <c r="BI72" i="6" s="1"/>
  <c r="BI82" i="6" a="1"/>
  <c r="BI82" i="6" s="1"/>
  <c r="BI80" i="6" a="1"/>
  <c r="BI80" i="6" s="1"/>
  <c r="BI69" i="6" a="1"/>
  <c r="BI69" i="6" s="1"/>
  <c r="BI99" i="6" a="1"/>
  <c r="BI99" i="6" s="1"/>
  <c r="BI78" i="6" a="1"/>
  <c r="BI78" i="6" s="1"/>
  <c r="BI71" i="6" a="1"/>
  <c r="BI71" i="6" s="1"/>
  <c r="BI101" i="6" a="1"/>
  <c r="BI101" i="6" s="1"/>
  <c r="BI68" i="6" a="1"/>
  <c r="BI68" i="6" s="1"/>
  <c r="BI63" i="6" a="1"/>
  <c r="BI63" i="6" s="1"/>
  <c r="BI83" i="6" a="1"/>
  <c r="BI83" i="6" s="1"/>
  <c r="BI64" i="6" a="1"/>
  <c r="BI64" i="6" s="1"/>
  <c r="BI89" i="6" a="1"/>
  <c r="BI89" i="6" s="1"/>
  <c r="BI102" i="6" a="1"/>
  <c r="BI102" i="6" s="1"/>
  <c r="BI88" i="6" a="1"/>
  <c r="BI88" i="6" s="1"/>
  <c r="BI96" i="6" a="1"/>
  <c r="BI96" i="6" s="1"/>
  <c r="BI70" i="6" a="1"/>
  <c r="BI70" i="6" s="1"/>
  <c r="BI77" i="6" a="1"/>
  <c r="BI77" i="6" s="1"/>
  <c r="BI74" i="6" a="1"/>
  <c r="BI74" i="6" s="1"/>
  <c r="BI73" i="6" a="1"/>
  <c r="BI73" i="6" s="1"/>
  <c r="BI41" i="6"/>
  <c r="BI44" i="6" s="1"/>
  <c r="BJ6" i="6"/>
  <c r="BI65" i="6" a="1"/>
  <c r="BI65" i="6" s="1"/>
  <c r="BI66" i="6" a="1"/>
  <c r="BI66" i="6" s="1"/>
  <c r="BH112" i="6"/>
  <c r="BH120" i="6"/>
  <c r="BH122" i="6"/>
  <c r="BH138" i="6"/>
  <c r="BH127" i="6"/>
  <c r="BG160" i="6"/>
  <c r="BH160" i="6" s="1"/>
  <c r="BH7" i="7"/>
  <c r="B51" i="7"/>
  <c r="BH110" i="6"/>
  <c r="BH141" i="6"/>
  <c r="D54" i="7"/>
  <c r="BH116" i="6"/>
  <c r="BH134" i="6"/>
  <c r="BH108" i="6"/>
  <c r="BH129" i="6"/>
  <c r="BH119" i="6"/>
  <c r="BH123" i="6"/>
  <c r="BG162" i="6"/>
  <c r="BH106" i="6"/>
  <c r="BH121" i="6"/>
  <c r="BH140" i="6"/>
  <c r="BH111" i="6"/>
  <c r="BH125" i="6"/>
  <c r="BH131" i="6"/>
  <c r="T63" i="6" a="1"/>
  <c r="T63" i="6" s="1"/>
  <c r="D62" i="6"/>
  <c r="BI62" i="6" s="1" a="1"/>
  <c r="BI62" i="6" s="1"/>
  <c r="U63" i="6" a="1"/>
  <c r="U63" i="6" s="1"/>
  <c r="V63" i="6" a="1"/>
  <c r="V63" i="6" s="1"/>
  <c r="W63" i="6" a="1"/>
  <c r="W63" i="6" s="1"/>
  <c r="X63" i="6" a="1"/>
  <c r="X63" i="6" s="1"/>
  <c r="Y63" i="6" a="1"/>
  <c r="Y63" i="6" s="1"/>
  <c r="Z63" i="6" a="1"/>
  <c r="Z63" i="6" s="1"/>
  <c r="AA63" i="6" a="1"/>
  <c r="AA63" i="6" s="1"/>
  <c r="AB63" i="6" a="1"/>
  <c r="AB63" i="6" s="1"/>
  <c r="AC63" i="6" a="1"/>
  <c r="AC63" i="6" s="1"/>
  <c r="AD63" i="6" a="1"/>
  <c r="AD63" i="6" s="1"/>
  <c r="AE63" i="6" a="1"/>
  <c r="AE63" i="6" s="1"/>
  <c r="AF63" i="6" a="1"/>
  <c r="AF63" i="6" s="1"/>
  <c r="AG63" i="6" a="1"/>
  <c r="AG63" i="6" s="1"/>
  <c r="AH63" i="6" a="1"/>
  <c r="AH63" i="6" s="1"/>
  <c r="AI63" i="6" a="1"/>
  <c r="AI63" i="6" s="1"/>
  <c r="AJ63" i="6" a="1"/>
  <c r="AJ63" i="6" s="1"/>
  <c r="AK63" i="6" a="1"/>
  <c r="AK63" i="6" s="1"/>
  <c r="AL63" i="6" a="1"/>
  <c r="AL63" i="6" s="1"/>
  <c r="AM63" i="6" a="1"/>
  <c r="AM63" i="6" s="1"/>
  <c r="AN63" i="6" a="1"/>
  <c r="AN63" i="6" s="1"/>
  <c r="AO63" i="6" a="1"/>
  <c r="AO63" i="6" s="1"/>
  <c r="AP63" i="6" a="1"/>
  <c r="AP63" i="6" s="1"/>
  <c r="AQ63" i="6" a="1"/>
  <c r="AQ63" i="6" s="1"/>
  <c r="AR63" i="6" a="1"/>
  <c r="AR63" i="6" s="1"/>
  <c r="AS63" i="6" a="1"/>
  <c r="AS63" i="6" s="1"/>
  <c r="AT63" i="6" a="1"/>
  <c r="AT63" i="6" s="1"/>
  <c r="AU63" i="6" a="1"/>
  <c r="AU63" i="6" s="1"/>
  <c r="AV63" i="6" a="1"/>
  <c r="AV63" i="6" s="1"/>
  <c r="AW63" i="6" a="1"/>
  <c r="AW63" i="6" s="1"/>
  <c r="AX63" i="6" a="1"/>
  <c r="AX63" i="6" s="1"/>
  <c r="AY63" i="6" a="1"/>
  <c r="AY63" i="6" s="1"/>
  <c r="AZ63" i="6" a="1"/>
  <c r="AZ63" i="6" s="1"/>
  <c r="BA63" i="6" a="1"/>
  <c r="BA63" i="6" s="1"/>
  <c r="BB63" i="6" a="1"/>
  <c r="BB63" i="6" s="1"/>
  <c r="BC63" i="6" a="1"/>
  <c r="BC63" i="6" s="1"/>
  <c r="BD63" i="6" a="1"/>
  <c r="BD63" i="6" s="1"/>
  <c r="BE63" i="6" a="1"/>
  <c r="BE63" i="6" s="1"/>
  <c r="BF63" i="6" a="1"/>
  <c r="BF63" i="6" s="1"/>
  <c r="BG63" i="6" a="1"/>
  <c r="BG63" i="6" s="1"/>
  <c r="BH161" i="6"/>
  <c r="BH159" i="6" s="1"/>
  <c r="BH164" i="6"/>
  <c r="BH168" i="6"/>
  <c r="BH167" i="6"/>
  <c r="BH163" i="6"/>
  <c r="BH165" i="6"/>
  <c r="BH162" i="6" s="1"/>
  <c r="BH53" i="6"/>
  <c r="BH52" i="6" s="1"/>
  <c r="BI4" i="6"/>
  <c r="BH7" i="6" a="1"/>
  <c r="BH7" i="6" s="1"/>
  <c r="BH11" i="6"/>
  <c r="BH8" i="6" s="1"/>
  <c r="BH9" i="6" s="1"/>
  <c r="BH10" i="6"/>
  <c r="B144" i="6"/>
  <c r="BI46" i="6"/>
  <c r="BI135" i="6" s="1"/>
  <c r="BJ47" i="6"/>
  <c r="BJ6" i="7"/>
  <c r="BI4" i="7"/>
  <c r="BH105" i="6"/>
  <c r="BH130" i="6"/>
  <c r="AL10" i="7"/>
  <c r="AM35" i="7"/>
  <c r="BH107" i="6"/>
  <c r="BH117" i="6"/>
  <c r="BH114" i="6"/>
  <c r="BH128" i="6"/>
  <c r="BI105" i="6" l="1"/>
  <c r="BI142" i="6"/>
  <c r="BI127" i="6"/>
  <c r="BI110" i="6"/>
  <c r="BI129" i="6"/>
  <c r="BI117" i="6"/>
  <c r="BI118" i="6"/>
  <c r="BI119" i="6"/>
  <c r="BI122" i="6"/>
  <c r="BI141" i="6"/>
  <c r="BI108" i="6"/>
  <c r="BI137" i="6"/>
  <c r="BI134" i="6"/>
  <c r="BI124" i="6"/>
  <c r="BI143" i="6"/>
  <c r="BI125" i="6"/>
  <c r="BI104" i="6"/>
  <c r="BI132" i="6"/>
  <c r="BI113" i="6"/>
  <c r="BI140" i="6"/>
  <c r="BI130" i="6"/>
  <c r="BG147" i="6"/>
  <c r="T147" i="6"/>
  <c r="AB147" i="6"/>
  <c r="AJ147" i="6"/>
  <c r="AR147" i="6"/>
  <c r="AZ147" i="6"/>
  <c r="Y147" i="6"/>
  <c r="U147" i="6"/>
  <c r="AC147" i="6"/>
  <c r="AK147" i="6"/>
  <c r="AS147" i="6"/>
  <c r="BA147" i="6"/>
  <c r="AP147" i="6"/>
  <c r="V147" i="6"/>
  <c r="AD147" i="6"/>
  <c r="AL147" i="6"/>
  <c r="AT147" i="6"/>
  <c r="BB147" i="6"/>
  <c r="BH147" i="6"/>
  <c r="AG147" i="6"/>
  <c r="AH147" i="6"/>
  <c r="BF147" i="6"/>
  <c r="W147" i="6"/>
  <c r="AE147" i="6"/>
  <c r="AM147" i="6"/>
  <c r="AU147" i="6"/>
  <c r="BC147" i="6"/>
  <c r="AW147" i="6"/>
  <c r="AX147" i="6"/>
  <c r="X147" i="6"/>
  <c r="AF147" i="6"/>
  <c r="AN147" i="6"/>
  <c r="AV147" i="6"/>
  <c r="BD147" i="6"/>
  <c r="BE147" i="6"/>
  <c r="D148" i="6"/>
  <c r="AA147" i="6"/>
  <c r="AI147" i="6"/>
  <c r="AQ147" i="6"/>
  <c r="AY147" i="6"/>
  <c r="AO147" i="6"/>
  <c r="Z147" i="6"/>
  <c r="BH152" i="6"/>
  <c r="BH154" i="6" s="1"/>
  <c r="BH144" i="6"/>
  <c r="BI144" i="6"/>
  <c r="AM10" i="7"/>
  <c r="AN35" i="7"/>
  <c r="BK47" i="6"/>
  <c r="BJ46" i="6"/>
  <c r="BJ124" i="6" s="1"/>
  <c r="BJ137" i="6"/>
  <c r="BJ130" i="6"/>
  <c r="BJ147" i="6"/>
  <c r="BJ100" i="6" a="1"/>
  <c r="BJ100" i="6" s="1"/>
  <c r="BJ92" i="6" a="1"/>
  <c r="BJ92" i="6" s="1"/>
  <c r="BJ136" i="6"/>
  <c r="BJ127" i="6"/>
  <c r="BJ98" i="6" a="1"/>
  <c r="BJ98" i="6" s="1"/>
  <c r="BJ81" i="6" a="1"/>
  <c r="BJ81" i="6" s="1"/>
  <c r="BJ99" i="6" a="1"/>
  <c r="BJ99" i="6" s="1"/>
  <c r="BJ93" i="6" a="1"/>
  <c r="BJ93" i="6" s="1"/>
  <c r="BJ87" i="6" a="1"/>
  <c r="BJ87" i="6" s="1"/>
  <c r="BJ94" i="6" a="1"/>
  <c r="BJ94" i="6" s="1"/>
  <c r="BJ88" i="6" a="1"/>
  <c r="BJ88" i="6" s="1"/>
  <c r="BJ83" i="6" a="1"/>
  <c r="BJ83" i="6" s="1"/>
  <c r="BJ101" i="6" a="1"/>
  <c r="BJ101" i="6" s="1"/>
  <c r="BJ95" i="6" a="1"/>
  <c r="BJ95" i="6" s="1"/>
  <c r="BJ85" i="6" a="1"/>
  <c r="BJ85" i="6" s="1"/>
  <c r="BJ82" i="6" a="1"/>
  <c r="BJ82" i="6" s="1"/>
  <c r="BJ80" i="6" a="1"/>
  <c r="BJ80" i="6" s="1"/>
  <c r="BJ76" i="6" a="1"/>
  <c r="BJ76" i="6" s="1"/>
  <c r="BJ69" i="6" a="1"/>
  <c r="BJ69" i="6" s="1"/>
  <c r="BJ102" i="6" a="1"/>
  <c r="BJ102" i="6" s="1"/>
  <c r="BJ90" i="6" a="1"/>
  <c r="BJ90" i="6" s="1"/>
  <c r="BJ77" i="6" a="1"/>
  <c r="BJ77" i="6" s="1"/>
  <c r="BJ74" i="6" a="1"/>
  <c r="BJ74" i="6" s="1"/>
  <c r="BJ66" i="6" a="1"/>
  <c r="BJ66" i="6" s="1"/>
  <c r="BJ108" i="6"/>
  <c r="BJ97" i="6" a="1"/>
  <c r="BJ97" i="6" s="1"/>
  <c r="BJ86" i="6" a="1"/>
  <c r="BJ86" i="6" s="1"/>
  <c r="BJ78" i="6" a="1"/>
  <c r="BJ78" i="6" s="1"/>
  <c r="BJ71" i="6" a="1"/>
  <c r="BJ71" i="6" s="1"/>
  <c r="BJ89" i="6" a="1"/>
  <c r="BJ89" i="6" s="1"/>
  <c r="BJ79" i="6" a="1"/>
  <c r="BJ79" i="6" s="1"/>
  <c r="BJ73" i="6" a="1"/>
  <c r="BJ73" i="6" s="1"/>
  <c r="BJ96" i="6" a="1"/>
  <c r="BJ96" i="6" s="1"/>
  <c r="BJ105" i="6"/>
  <c r="BJ72" i="6" a="1"/>
  <c r="BJ72" i="6" s="1"/>
  <c r="BJ67" i="6" a="1"/>
  <c r="BJ67" i="6" s="1"/>
  <c r="BJ64" i="6" a="1"/>
  <c r="BJ64" i="6" s="1"/>
  <c r="BJ41" i="6"/>
  <c r="BJ44" i="6" s="1"/>
  <c r="BJ84" i="6" a="1"/>
  <c r="BJ84" i="6" s="1"/>
  <c r="BJ70" i="6" a="1"/>
  <c r="BJ70" i="6" s="1"/>
  <c r="BJ65" i="6" a="1"/>
  <c r="BJ65" i="6" s="1"/>
  <c r="BJ91" i="6" a="1"/>
  <c r="BJ91" i="6" s="1"/>
  <c r="BJ62" i="6" a="1"/>
  <c r="BJ62" i="6" s="1"/>
  <c r="BJ103" i="6" a="1"/>
  <c r="BJ103" i="6" s="1"/>
  <c r="BJ68" i="6" a="1"/>
  <c r="BJ68" i="6" s="1"/>
  <c r="BJ63" i="6" a="1"/>
  <c r="BJ63" i="6" s="1"/>
  <c r="BJ75" i="6" a="1"/>
  <c r="BJ75" i="6" s="1"/>
  <c r="BK6" i="6"/>
  <c r="BI107" i="6"/>
  <c r="BI120" i="6"/>
  <c r="BI139" i="6"/>
  <c r="BI111" i="6"/>
  <c r="BI121" i="6"/>
  <c r="BI112" i="6"/>
  <c r="BI138" i="6"/>
  <c r="BI131" i="6"/>
  <c r="BI7" i="7"/>
  <c r="B52" i="7"/>
  <c r="D61" i="6"/>
  <c r="BJ61" i="6" s="1" a="1"/>
  <c r="BJ61" i="6" s="1"/>
  <c r="T62" i="6" a="1"/>
  <c r="T62" i="6" s="1"/>
  <c r="U62" i="6" a="1"/>
  <c r="U62" i="6" s="1"/>
  <c r="V62" i="6" a="1"/>
  <c r="V62" i="6" s="1"/>
  <c r="W62" i="6" a="1"/>
  <c r="W62" i="6" s="1"/>
  <c r="X62" i="6" a="1"/>
  <c r="X62" i="6" s="1"/>
  <c r="Y62" i="6" a="1"/>
  <c r="Y62" i="6" s="1"/>
  <c r="Z62" i="6" a="1"/>
  <c r="Z62" i="6" s="1"/>
  <c r="AA62" i="6" a="1"/>
  <c r="AA62" i="6" s="1"/>
  <c r="AB62" i="6" a="1"/>
  <c r="AB62" i="6" s="1"/>
  <c r="AC62" i="6" a="1"/>
  <c r="AC62" i="6" s="1"/>
  <c r="AD62" i="6" a="1"/>
  <c r="AD62" i="6" s="1"/>
  <c r="AE62" i="6" a="1"/>
  <c r="AE62" i="6" s="1"/>
  <c r="AF62" i="6" a="1"/>
  <c r="AF62" i="6" s="1"/>
  <c r="AG62" i="6" a="1"/>
  <c r="AG62" i="6" s="1"/>
  <c r="AH62" i="6" a="1"/>
  <c r="AH62" i="6" s="1"/>
  <c r="AI62" i="6" a="1"/>
  <c r="AI62" i="6" s="1"/>
  <c r="AJ62" i="6" a="1"/>
  <c r="AJ62" i="6" s="1"/>
  <c r="AK62" i="6" a="1"/>
  <c r="AK62" i="6" s="1"/>
  <c r="AL62" i="6" a="1"/>
  <c r="AL62" i="6" s="1"/>
  <c r="AM62" i="6" a="1"/>
  <c r="AM62" i="6" s="1"/>
  <c r="AN62" i="6" a="1"/>
  <c r="AN62" i="6" s="1"/>
  <c r="AO62" i="6" a="1"/>
  <c r="AO62" i="6" s="1"/>
  <c r="AP62" i="6" a="1"/>
  <c r="AP62" i="6" s="1"/>
  <c r="AQ62" i="6" a="1"/>
  <c r="AQ62" i="6" s="1"/>
  <c r="AR62" i="6" a="1"/>
  <c r="AR62" i="6" s="1"/>
  <c r="AS62" i="6" a="1"/>
  <c r="AS62" i="6" s="1"/>
  <c r="AT62" i="6" a="1"/>
  <c r="AT62" i="6" s="1"/>
  <c r="AU62" i="6" a="1"/>
  <c r="AU62" i="6" s="1"/>
  <c r="AV62" i="6" a="1"/>
  <c r="AV62" i="6" s="1"/>
  <c r="AW62" i="6" a="1"/>
  <c r="AW62" i="6" s="1"/>
  <c r="AX62" i="6" a="1"/>
  <c r="AX62" i="6" s="1"/>
  <c r="AY62" i="6" a="1"/>
  <c r="AY62" i="6" s="1"/>
  <c r="AZ62" i="6" a="1"/>
  <c r="AZ62" i="6" s="1"/>
  <c r="BA62" i="6" a="1"/>
  <c r="BA62" i="6" s="1"/>
  <c r="BB62" i="6" a="1"/>
  <c r="BB62" i="6" s="1"/>
  <c r="BC62" i="6" a="1"/>
  <c r="BC62" i="6" s="1"/>
  <c r="BD62" i="6" a="1"/>
  <c r="BD62" i="6" s="1"/>
  <c r="BE62" i="6" a="1"/>
  <c r="BE62" i="6" s="1"/>
  <c r="BF62" i="6" a="1"/>
  <c r="BF62" i="6" s="1"/>
  <c r="BG62" i="6" a="1"/>
  <c r="BG62" i="6" s="1"/>
  <c r="BH62" i="6" a="1"/>
  <c r="BH62" i="6" s="1"/>
  <c r="BK6" i="7"/>
  <c r="BJ4" i="7"/>
  <c r="BI165" i="6"/>
  <c r="BI164" i="6" s="1"/>
  <c r="BI168" i="6"/>
  <c r="BI166" i="6" s="1"/>
  <c r="BI167" i="6"/>
  <c r="BI161" i="6"/>
  <c r="BI159" i="6" s="1"/>
  <c r="BI53" i="6"/>
  <c r="BI52" i="6" s="1"/>
  <c r="BJ4" i="6"/>
  <c r="BI11" i="6"/>
  <c r="BI8" i="6" s="1"/>
  <c r="BI10" i="6"/>
  <c r="BI7" i="6" a="1"/>
  <c r="BI7" i="6" s="1"/>
  <c r="B145" i="6"/>
  <c r="D55" i="7"/>
  <c r="BI106" i="6"/>
  <c r="BI136" i="6"/>
  <c r="BI128" i="6"/>
  <c r="BI114" i="6"/>
  <c r="BI133" i="6"/>
  <c r="BI109" i="6"/>
  <c r="BI126" i="6"/>
  <c r="BI123" i="6"/>
  <c r="BI115" i="6"/>
  <c r="BI116" i="6"/>
  <c r="BJ115" i="6" l="1"/>
  <c r="BJ133" i="6"/>
  <c r="BJ134" i="6"/>
  <c r="BJ109" i="6"/>
  <c r="BJ104" i="6"/>
  <c r="BJ119" i="6"/>
  <c r="BJ114" i="6"/>
  <c r="BJ143" i="6"/>
  <c r="BJ107" i="6"/>
  <c r="BJ141" i="6"/>
  <c r="BJ116" i="6"/>
  <c r="BI163" i="6"/>
  <c r="BJ106" i="6"/>
  <c r="BJ144" i="6"/>
  <c r="BJ125" i="6"/>
  <c r="BH148" i="6"/>
  <c r="U148" i="6"/>
  <c r="AC148" i="6"/>
  <c r="AK148" i="6"/>
  <c r="AS148" i="6"/>
  <c r="BA148" i="6"/>
  <c r="AZ148" i="6"/>
  <c r="V148" i="6"/>
  <c r="AD148" i="6"/>
  <c r="AL148" i="6"/>
  <c r="AT148" i="6"/>
  <c r="BB148" i="6"/>
  <c r="W148" i="6"/>
  <c r="AE148" i="6"/>
  <c r="AM148" i="6"/>
  <c r="AU148" i="6"/>
  <c r="BC148" i="6"/>
  <c r="AR148" i="6"/>
  <c r="X148" i="6"/>
  <c r="AF148" i="6"/>
  <c r="AN148" i="6"/>
  <c r="AV148" i="6"/>
  <c r="BD148" i="6"/>
  <c r="Y148" i="6"/>
  <c r="AG148" i="6"/>
  <c r="AO148" i="6"/>
  <c r="AW148" i="6"/>
  <c r="BE148" i="6"/>
  <c r="BI148" i="6"/>
  <c r="Z148" i="6"/>
  <c r="AH148" i="6"/>
  <c r="AP148" i="6"/>
  <c r="AX148" i="6"/>
  <c r="BF148" i="6"/>
  <c r="T148" i="6"/>
  <c r="AJ148" i="6"/>
  <c r="D149" i="6"/>
  <c r="AA148" i="6"/>
  <c r="AI148" i="6"/>
  <c r="AQ148" i="6"/>
  <c r="AY148" i="6"/>
  <c r="BG148" i="6"/>
  <c r="AB148" i="6"/>
  <c r="BJ148" i="6"/>
  <c r="BI152" i="6"/>
  <c r="BI154" i="6" s="1"/>
  <c r="BI145" i="6"/>
  <c r="BJ145" i="6"/>
  <c r="BJ168" i="6"/>
  <c r="BJ167" i="6" s="1"/>
  <c r="BJ165" i="6"/>
  <c r="BJ163" i="6" s="1"/>
  <c r="BJ161" i="6"/>
  <c r="BJ159" i="6" s="1"/>
  <c r="BJ53" i="6"/>
  <c r="BJ52" i="6" s="1"/>
  <c r="BJ7" i="6" a="1"/>
  <c r="BJ7" i="6" s="1"/>
  <c r="BK4" i="6"/>
  <c r="BJ11" i="6"/>
  <c r="BJ8" i="6" s="1"/>
  <c r="BJ10" i="6"/>
  <c r="B146" i="6"/>
  <c r="BI160" i="6"/>
  <c r="BJ160" i="6" s="1"/>
  <c r="BJ113" i="6"/>
  <c r="BJ142" i="6"/>
  <c r="BJ129" i="6"/>
  <c r="BK46" i="6"/>
  <c r="BK124" i="6" s="1"/>
  <c r="BL47" i="6"/>
  <c r="AO35" i="7"/>
  <c r="AN10" i="7"/>
  <c r="BJ138" i="6"/>
  <c r="BI162" i="6"/>
  <c r="T61" i="6" a="1"/>
  <c r="T61" i="6" s="1"/>
  <c r="D60" i="6"/>
  <c r="U61" i="6" a="1"/>
  <c r="U61" i="6" s="1"/>
  <c r="V61" i="6" a="1"/>
  <c r="V61" i="6" s="1"/>
  <c r="W61" i="6" a="1"/>
  <c r="W61" i="6" s="1"/>
  <c r="X61" i="6" a="1"/>
  <c r="X61" i="6" s="1"/>
  <c r="Y61" i="6" a="1"/>
  <c r="Y61" i="6" s="1"/>
  <c r="Z61" i="6" a="1"/>
  <c r="Z61" i="6" s="1"/>
  <c r="AA61" i="6" a="1"/>
  <c r="AA61" i="6" s="1"/>
  <c r="AB61" i="6" a="1"/>
  <c r="AB61" i="6" s="1"/>
  <c r="AC61" i="6" a="1"/>
  <c r="AC61" i="6" s="1"/>
  <c r="AD61" i="6" a="1"/>
  <c r="AD61" i="6" s="1"/>
  <c r="AE61" i="6" a="1"/>
  <c r="AE61" i="6" s="1"/>
  <c r="AF61" i="6" a="1"/>
  <c r="AF61" i="6" s="1"/>
  <c r="AG61" i="6" a="1"/>
  <c r="AG61" i="6" s="1"/>
  <c r="AH61" i="6" a="1"/>
  <c r="AH61" i="6" s="1"/>
  <c r="AI61" i="6" a="1"/>
  <c r="AI61" i="6" s="1"/>
  <c r="AJ61" i="6" a="1"/>
  <c r="AJ61" i="6" s="1"/>
  <c r="AK61" i="6" a="1"/>
  <c r="AK61" i="6" s="1"/>
  <c r="AL61" i="6" a="1"/>
  <c r="AL61" i="6" s="1"/>
  <c r="AM61" i="6" a="1"/>
  <c r="AM61" i="6" s="1"/>
  <c r="AN61" i="6" a="1"/>
  <c r="AN61" i="6" s="1"/>
  <c r="AO61" i="6" a="1"/>
  <c r="AO61" i="6" s="1"/>
  <c r="AP61" i="6" a="1"/>
  <c r="AP61" i="6" s="1"/>
  <c r="AQ61" i="6" a="1"/>
  <c r="AQ61" i="6" s="1"/>
  <c r="AR61" i="6" a="1"/>
  <c r="AR61" i="6" s="1"/>
  <c r="AS61" i="6" a="1"/>
  <c r="AS61" i="6" s="1"/>
  <c r="AT61" i="6" a="1"/>
  <c r="AT61" i="6" s="1"/>
  <c r="AU61" i="6" a="1"/>
  <c r="AU61" i="6" s="1"/>
  <c r="AV61" i="6" a="1"/>
  <c r="AV61" i="6" s="1"/>
  <c r="AW61" i="6" a="1"/>
  <c r="AW61" i="6" s="1"/>
  <c r="AX61" i="6" a="1"/>
  <c r="AX61" i="6" s="1"/>
  <c r="AY61" i="6" a="1"/>
  <c r="AY61" i="6" s="1"/>
  <c r="AZ61" i="6" a="1"/>
  <c r="AZ61" i="6" s="1"/>
  <c r="BA61" i="6" a="1"/>
  <c r="BA61" i="6" s="1"/>
  <c r="BB61" i="6" a="1"/>
  <c r="BB61" i="6" s="1"/>
  <c r="BC61" i="6" a="1"/>
  <c r="BC61" i="6" s="1"/>
  <c r="BD61" i="6" a="1"/>
  <c r="BD61" i="6" s="1"/>
  <c r="BE61" i="6" a="1"/>
  <c r="BE61" i="6" s="1"/>
  <c r="BF61" i="6" a="1"/>
  <c r="BF61" i="6" s="1"/>
  <c r="BG61" i="6" a="1"/>
  <c r="BG61" i="6" s="1"/>
  <c r="BH61" i="6" a="1"/>
  <c r="BH61" i="6" s="1"/>
  <c r="BI61" i="6" a="1"/>
  <c r="BI61" i="6" s="1"/>
  <c r="BJ112" i="6"/>
  <c r="BJ110" i="6"/>
  <c r="BJ123" i="6"/>
  <c r="BJ121" i="6"/>
  <c r="BJ126" i="6"/>
  <c r="BJ120" i="6"/>
  <c r="BJ140" i="6"/>
  <c r="BL6" i="7"/>
  <c r="BK4" i="7"/>
  <c r="BJ111" i="6"/>
  <c r="BJ117" i="6"/>
  <c r="BJ128" i="6"/>
  <c r="BJ131" i="6"/>
  <c r="BJ122" i="6"/>
  <c r="D56" i="7"/>
  <c r="BK148" i="6"/>
  <c r="BK142" i="6"/>
  <c r="BK140" i="6"/>
  <c r="BK149" i="6"/>
  <c r="BK118" i="6"/>
  <c r="BK143" i="6"/>
  <c r="BK132" i="6"/>
  <c r="BK131" i="6"/>
  <c r="BK133" i="6"/>
  <c r="BK114" i="6"/>
  <c r="BK135" i="6"/>
  <c r="BK128" i="6"/>
  <c r="BK119" i="6"/>
  <c r="BK130" i="6"/>
  <c r="BK125" i="6"/>
  <c r="BK139" i="6"/>
  <c r="BK102" i="6" a="1"/>
  <c r="BK102" i="6" s="1"/>
  <c r="BK94" i="6" a="1"/>
  <c r="BK94" i="6" s="1"/>
  <c r="BK86" i="6" a="1"/>
  <c r="BK86" i="6" s="1"/>
  <c r="BK138" i="6"/>
  <c r="BK129" i="6"/>
  <c r="BK145" i="6"/>
  <c r="BK88" i="6" a="1"/>
  <c r="BK88" i="6" s="1"/>
  <c r="BK83" i="6" a="1"/>
  <c r="BK83" i="6" s="1"/>
  <c r="BK75" i="6" a="1"/>
  <c r="BK75" i="6" s="1"/>
  <c r="BK134" i="6"/>
  <c r="BK113" i="6"/>
  <c r="BK100" i="6" a="1"/>
  <c r="BK100" i="6" s="1"/>
  <c r="BK101" i="6" a="1"/>
  <c r="BK101" i="6" s="1"/>
  <c r="BK95" i="6" a="1"/>
  <c r="BK95" i="6" s="1"/>
  <c r="BK89" i="6" a="1"/>
  <c r="BK89" i="6" s="1"/>
  <c r="BK107" i="6"/>
  <c r="BK91" i="6" a="1"/>
  <c r="BK91" i="6" s="1"/>
  <c r="BK111" i="6"/>
  <c r="BK103" i="6" a="1"/>
  <c r="BK103" i="6" s="1"/>
  <c r="BK90" i="6" a="1"/>
  <c r="BK90" i="6" s="1"/>
  <c r="BK71" i="6" a="1"/>
  <c r="BK71" i="6" s="1"/>
  <c r="BK63" i="6" a="1"/>
  <c r="BK63" i="6" s="1"/>
  <c r="BK97" i="6" a="1"/>
  <c r="BK97" i="6" s="1"/>
  <c r="BK78" i="6" a="1"/>
  <c r="BK78" i="6" s="1"/>
  <c r="BK68" i="6" a="1"/>
  <c r="BK68" i="6" s="1"/>
  <c r="BK92" i="6" a="1"/>
  <c r="BK92" i="6" s="1"/>
  <c r="BK79" i="6" a="1"/>
  <c r="BK79" i="6" s="1"/>
  <c r="BK73" i="6" a="1"/>
  <c r="BK73" i="6" s="1"/>
  <c r="BK96" i="6" a="1"/>
  <c r="BK96" i="6" s="1"/>
  <c r="BK98" i="6" a="1"/>
  <c r="BK98" i="6" s="1"/>
  <c r="BK80" i="6" a="1"/>
  <c r="BK80" i="6" s="1"/>
  <c r="BK84" i="6" a="1"/>
  <c r="BK84" i="6" s="1"/>
  <c r="BK70" i="6" a="1"/>
  <c r="BK70" i="6" s="1"/>
  <c r="BK66" i="6" a="1"/>
  <c r="BK66" i="6" s="1"/>
  <c r="BK65" i="6" a="1"/>
  <c r="BK65" i="6" s="1"/>
  <c r="BK60" i="6" a="1"/>
  <c r="BK60" i="6" s="1"/>
  <c r="BK99" i="6" a="1"/>
  <c r="BK99" i="6" s="1"/>
  <c r="BK85" i="6" a="1"/>
  <c r="BK85" i="6" s="1"/>
  <c r="BK93" i="6" a="1"/>
  <c r="BK93" i="6" s="1"/>
  <c r="BK77" i="6" a="1"/>
  <c r="BK77" i="6" s="1"/>
  <c r="BK74" i="6" a="1"/>
  <c r="BK74" i="6" s="1"/>
  <c r="BK87" i="6" a="1"/>
  <c r="BK87" i="6" s="1"/>
  <c r="BK81" i="6" a="1"/>
  <c r="BK81" i="6" s="1"/>
  <c r="BK72" i="6" a="1"/>
  <c r="BK72" i="6" s="1"/>
  <c r="BK67" i="6" a="1"/>
  <c r="BK67" i="6" s="1"/>
  <c r="BK64" i="6" a="1"/>
  <c r="BK64" i="6" s="1"/>
  <c r="BL6" i="6"/>
  <c r="BK69" i="6" a="1"/>
  <c r="BK69" i="6" s="1"/>
  <c r="BK41" i="6"/>
  <c r="BK44" i="6" s="1"/>
  <c r="BK104" i="6" s="1"/>
  <c r="BK76" i="6" a="1"/>
  <c r="BK76" i="6" s="1"/>
  <c r="BK82" i="6" a="1"/>
  <c r="BK82" i="6" s="1"/>
  <c r="BK61" i="6" a="1"/>
  <c r="BK61" i="6" s="1"/>
  <c r="BK62" i="6" a="1"/>
  <c r="BK62" i="6" s="1"/>
  <c r="BJ118" i="6"/>
  <c r="BI9" i="6"/>
  <c r="BJ7" i="7"/>
  <c r="B53" i="7"/>
  <c r="BJ139" i="6"/>
  <c r="BJ135" i="6"/>
  <c r="BJ132" i="6"/>
  <c r="BK137" i="6" l="1"/>
  <c r="BK115" i="6"/>
  <c r="BK116" i="6"/>
  <c r="BK144" i="6"/>
  <c r="BK110" i="6"/>
  <c r="BK109" i="6"/>
  <c r="BK123" i="6"/>
  <c r="BK120" i="6"/>
  <c r="BK108" i="6"/>
  <c r="BK106" i="6"/>
  <c r="BK127" i="6"/>
  <c r="BK105" i="6"/>
  <c r="BK112" i="6"/>
  <c r="BK141" i="6"/>
  <c r="BK122" i="6"/>
  <c r="BK136" i="6"/>
  <c r="BK117" i="6"/>
  <c r="BK121" i="6"/>
  <c r="BK126" i="6"/>
  <c r="BJ162" i="6"/>
  <c r="BJ164" i="6"/>
  <c r="Y149" i="6"/>
  <c r="AG149" i="6"/>
  <c r="AW149" i="6"/>
  <c r="AH149" i="6"/>
  <c r="AX149" i="6"/>
  <c r="AQ149" i="6"/>
  <c r="AB149" i="6"/>
  <c r="AZ149" i="6"/>
  <c r="BB149" i="6"/>
  <c r="BJ149" i="6"/>
  <c r="Z149" i="6"/>
  <c r="AP149" i="6"/>
  <c r="BF149" i="6"/>
  <c r="BH149" i="6"/>
  <c r="T149" i="6"/>
  <c r="AI149" i="6"/>
  <c r="BG149" i="6"/>
  <c r="AJ149" i="6"/>
  <c r="AC149" i="6"/>
  <c r="BC149" i="6"/>
  <c r="AM149" i="6"/>
  <c r="AS149" i="6"/>
  <c r="AD149" i="6"/>
  <c r="AL149" i="6"/>
  <c r="AT149" i="6"/>
  <c r="AE149" i="6"/>
  <c r="V149" i="6"/>
  <c r="W149" i="6"/>
  <c r="X149" i="6"/>
  <c r="AF149" i="6"/>
  <c r="AN149" i="6"/>
  <c r="AV149" i="6"/>
  <c r="BD149" i="6"/>
  <c r="BI149" i="6"/>
  <c r="AO149" i="6"/>
  <c r="BE149" i="6"/>
  <c r="AA149" i="6"/>
  <c r="AY149" i="6"/>
  <c r="D150" i="6"/>
  <c r="AR149" i="6"/>
  <c r="U149" i="6"/>
  <c r="AK149" i="6"/>
  <c r="BA149" i="6"/>
  <c r="AU149" i="6"/>
  <c r="BJ152" i="6"/>
  <c r="BJ154" i="6" s="1"/>
  <c r="BJ146" i="6"/>
  <c r="BK146" i="6"/>
  <c r="BK7" i="7"/>
  <c r="B54" i="7"/>
  <c r="T60" i="6" a="1"/>
  <c r="T60" i="6" s="1"/>
  <c r="D59" i="6"/>
  <c r="U60" i="6" a="1"/>
  <c r="U60" i="6" s="1"/>
  <c r="V60" i="6" a="1"/>
  <c r="V60" i="6" s="1"/>
  <c r="W60" i="6" a="1"/>
  <c r="W60" i="6" s="1"/>
  <c r="X60" i="6" a="1"/>
  <c r="X60" i="6" s="1"/>
  <c r="Y60" i="6" a="1"/>
  <c r="Y60" i="6" s="1"/>
  <c r="Z60" i="6" a="1"/>
  <c r="Z60" i="6" s="1"/>
  <c r="AA60" i="6" a="1"/>
  <c r="AA60" i="6" s="1"/>
  <c r="AB60" i="6" a="1"/>
  <c r="AB60" i="6" s="1"/>
  <c r="AC60" i="6" a="1"/>
  <c r="AC60" i="6" s="1"/>
  <c r="AD60" i="6" a="1"/>
  <c r="AD60" i="6" s="1"/>
  <c r="AE60" i="6" a="1"/>
  <c r="AE60" i="6" s="1"/>
  <c r="AF60" i="6" a="1"/>
  <c r="AF60" i="6" s="1"/>
  <c r="AG60" i="6" a="1"/>
  <c r="AG60" i="6" s="1"/>
  <c r="AH60" i="6" a="1"/>
  <c r="AH60" i="6" s="1"/>
  <c r="AI60" i="6" a="1"/>
  <c r="AI60" i="6" s="1"/>
  <c r="AJ60" i="6" a="1"/>
  <c r="AJ60" i="6" s="1"/>
  <c r="AK60" i="6" a="1"/>
  <c r="AK60" i="6" s="1"/>
  <c r="AL60" i="6" a="1"/>
  <c r="AL60" i="6" s="1"/>
  <c r="AM60" i="6" a="1"/>
  <c r="AM60" i="6" s="1"/>
  <c r="AN60" i="6" a="1"/>
  <c r="AN60" i="6" s="1"/>
  <c r="AO60" i="6" a="1"/>
  <c r="AO60" i="6" s="1"/>
  <c r="AP60" i="6" a="1"/>
  <c r="AP60" i="6" s="1"/>
  <c r="AQ60" i="6" a="1"/>
  <c r="AQ60" i="6" s="1"/>
  <c r="AR60" i="6" a="1"/>
  <c r="AR60" i="6" s="1"/>
  <c r="AS60" i="6" a="1"/>
  <c r="AS60" i="6" s="1"/>
  <c r="AT60" i="6" a="1"/>
  <c r="AT60" i="6" s="1"/>
  <c r="AU60" i="6" a="1"/>
  <c r="AU60" i="6" s="1"/>
  <c r="AV60" i="6" a="1"/>
  <c r="AV60" i="6" s="1"/>
  <c r="AW60" i="6" a="1"/>
  <c r="AW60" i="6" s="1"/>
  <c r="AX60" i="6" a="1"/>
  <c r="AX60" i="6" s="1"/>
  <c r="AY60" i="6" a="1"/>
  <c r="AY60" i="6" s="1"/>
  <c r="AZ60" i="6" a="1"/>
  <c r="AZ60" i="6" s="1"/>
  <c r="BA60" i="6" a="1"/>
  <c r="BA60" i="6" s="1"/>
  <c r="BB60" i="6" a="1"/>
  <c r="BB60" i="6" s="1"/>
  <c r="BC60" i="6" a="1"/>
  <c r="BC60" i="6" s="1"/>
  <c r="BD60" i="6" a="1"/>
  <c r="BD60" i="6" s="1"/>
  <c r="BE60" i="6" a="1"/>
  <c r="BE60" i="6" s="1"/>
  <c r="BF60" i="6" a="1"/>
  <c r="BF60" i="6" s="1"/>
  <c r="BG60" i="6" a="1"/>
  <c r="BG60" i="6" s="1"/>
  <c r="BH60" i="6" a="1"/>
  <c r="BH60" i="6" s="1"/>
  <c r="BI60" i="6" a="1"/>
  <c r="BI60" i="6" s="1"/>
  <c r="BJ60" i="6" a="1"/>
  <c r="BJ60" i="6" s="1"/>
  <c r="BL46" i="6"/>
  <c r="BL132" i="6" s="1"/>
  <c r="BM47" i="6"/>
  <c r="BJ166" i="6"/>
  <c r="D57" i="7"/>
  <c r="BM6" i="7"/>
  <c r="BL4" i="7"/>
  <c r="AP35" i="7"/>
  <c r="AO10" i="7"/>
  <c r="BJ9" i="6"/>
  <c r="BL138" i="6"/>
  <c r="BL134" i="6"/>
  <c r="BL145" i="6"/>
  <c r="BL125" i="6"/>
  <c r="BL149" i="6"/>
  <c r="BL96" i="6" a="1"/>
  <c r="BL96" i="6" s="1"/>
  <c r="BL88" i="6" a="1"/>
  <c r="BL88" i="6" s="1"/>
  <c r="BL113" i="6"/>
  <c r="BL101" i="6" a="1"/>
  <c r="BL101" i="6" s="1"/>
  <c r="BL95" i="6" a="1"/>
  <c r="BL95" i="6" s="1"/>
  <c r="BL89" i="6" a="1"/>
  <c r="BL89" i="6" s="1"/>
  <c r="BL77" i="6" a="1"/>
  <c r="BL77" i="6" s="1"/>
  <c r="BL106" i="6"/>
  <c r="BL90" i="6" a="1"/>
  <c r="BL90" i="6" s="1"/>
  <c r="BL82" i="6" a="1"/>
  <c r="BL82" i="6" s="1"/>
  <c r="BL102" i="6" a="1"/>
  <c r="BL102" i="6" s="1"/>
  <c r="BL85" i="6" a="1"/>
  <c r="BL85" i="6" s="1"/>
  <c r="BL123" i="6"/>
  <c r="BL98" i="6" a="1"/>
  <c r="BL98" i="6" s="1"/>
  <c r="BL92" i="6" a="1"/>
  <c r="BL92" i="6" s="1"/>
  <c r="BL97" i="6" a="1"/>
  <c r="BL97" i="6" s="1"/>
  <c r="BL83" i="6" a="1"/>
  <c r="BL83" i="6" s="1"/>
  <c r="BL79" i="6" a="1"/>
  <c r="BL79" i="6" s="1"/>
  <c r="BL73" i="6" a="1"/>
  <c r="BL73" i="6" s="1"/>
  <c r="BL65" i="6" a="1"/>
  <c r="BL65" i="6" s="1"/>
  <c r="BL87" i="6" a="1"/>
  <c r="BL87" i="6" s="1"/>
  <c r="BL84" i="6" a="1"/>
  <c r="BL84" i="6" s="1"/>
  <c r="BL70" i="6" a="1"/>
  <c r="BL70" i="6" s="1"/>
  <c r="BL99" i="6" a="1"/>
  <c r="BL99" i="6" s="1"/>
  <c r="BL91" i="6" a="1"/>
  <c r="BL91" i="6" s="1"/>
  <c r="BL76" i="6" a="1"/>
  <c r="BL76" i="6" s="1"/>
  <c r="BL69" i="6" a="1"/>
  <c r="BL69" i="6" s="1"/>
  <c r="BL103" i="6" a="1"/>
  <c r="BL103" i="6" s="1"/>
  <c r="BL100" i="6" a="1"/>
  <c r="BL100" i="6" s="1"/>
  <c r="BL86" i="6" a="1"/>
  <c r="BL86" i="6" s="1"/>
  <c r="BL78" i="6" a="1"/>
  <c r="BL78" i="6" s="1"/>
  <c r="BL60" i="6" a="1"/>
  <c r="BL60" i="6" s="1"/>
  <c r="BL75" i="6" a="1"/>
  <c r="BL75" i="6" s="1"/>
  <c r="BL62" i="6" a="1"/>
  <c r="BL62" i="6" s="1"/>
  <c r="BL93" i="6" a="1"/>
  <c r="BL93" i="6" s="1"/>
  <c r="BL74" i="6" a="1"/>
  <c r="BL74" i="6" s="1"/>
  <c r="BL67" i="6" a="1"/>
  <c r="BL67" i="6" s="1"/>
  <c r="BL64" i="6" a="1"/>
  <c r="BL64" i="6" s="1"/>
  <c r="BL94" i="6" a="1"/>
  <c r="BL94" i="6" s="1"/>
  <c r="BL81" i="6" a="1"/>
  <c r="BL81" i="6" s="1"/>
  <c r="BL72" i="6" a="1"/>
  <c r="BL72" i="6" s="1"/>
  <c r="BM6" i="6"/>
  <c r="BL71" i="6" a="1"/>
  <c r="BL71" i="6" s="1"/>
  <c r="BL41" i="6"/>
  <c r="BL44" i="6" s="1"/>
  <c r="BL63" i="6" a="1"/>
  <c r="BL63" i="6" s="1"/>
  <c r="BL68" i="6" a="1"/>
  <c r="BL68" i="6" s="1"/>
  <c r="BL61" i="6" a="1"/>
  <c r="BL61" i="6" s="1"/>
  <c r="BL80" i="6" a="1"/>
  <c r="BL80" i="6" s="1"/>
  <c r="BL66" i="6" a="1"/>
  <c r="BL66" i="6" s="1"/>
  <c r="BK161" i="6"/>
  <c r="BK159" i="6" s="1"/>
  <c r="BK168" i="6"/>
  <c r="BK167" i="6"/>
  <c r="BK165" i="6"/>
  <c r="BK162" i="6" s="1"/>
  <c r="BK10" i="6"/>
  <c r="BL4" i="6"/>
  <c r="BK11" i="6"/>
  <c r="BK8" i="6" s="1"/>
  <c r="BK9" i="6" s="1"/>
  <c r="BK53" i="6"/>
  <c r="BK52" i="6" s="1"/>
  <c r="BK7" i="6" a="1"/>
  <c r="BK7" i="6" s="1"/>
  <c r="B147" i="6"/>
  <c r="BK164" i="6" l="1"/>
  <c r="BL116" i="6"/>
  <c r="BL129" i="6"/>
  <c r="BL137" i="6"/>
  <c r="BL133" i="6"/>
  <c r="BL136" i="6"/>
  <c r="BL119" i="6"/>
  <c r="BL104" i="6"/>
  <c r="BL108" i="6"/>
  <c r="BL122" i="6"/>
  <c r="BL115" i="6"/>
  <c r="BL105" i="6"/>
  <c r="BL121" i="6"/>
  <c r="BK163" i="6"/>
  <c r="BL110" i="6"/>
  <c r="BL107" i="6"/>
  <c r="BL127" i="6"/>
  <c r="BL128" i="6"/>
  <c r="BL144" i="6"/>
  <c r="BL141" i="6"/>
  <c r="BL131" i="6"/>
  <c r="BL124" i="6"/>
  <c r="BL142" i="6"/>
  <c r="BL109" i="6"/>
  <c r="BL117" i="6"/>
  <c r="BL135" i="6"/>
  <c r="BL130" i="6"/>
  <c r="BL146" i="6"/>
  <c r="BL126" i="6"/>
  <c r="BL118" i="6"/>
  <c r="BL140" i="6"/>
  <c r="BL114" i="6"/>
  <c r="BL143" i="6"/>
  <c r="BL111" i="6"/>
  <c r="BL112" i="6"/>
  <c r="BL120" i="6"/>
  <c r="BL139" i="6"/>
  <c r="X150" i="6"/>
  <c r="AF150" i="6"/>
  <c r="AN150" i="6"/>
  <c r="AV150" i="6"/>
  <c r="BD150" i="6"/>
  <c r="Y150" i="6"/>
  <c r="AG150" i="6"/>
  <c r="AO150" i="6"/>
  <c r="AW150" i="6"/>
  <c r="BE150" i="6"/>
  <c r="Z150" i="6"/>
  <c r="AH150" i="6"/>
  <c r="AP150" i="6"/>
  <c r="AX150" i="6"/>
  <c r="BF150" i="6"/>
  <c r="BK150" i="6"/>
  <c r="D151" i="6"/>
  <c r="BM151" i="6" s="1"/>
  <c r="AA150" i="6"/>
  <c r="AI150" i="6"/>
  <c r="AQ150" i="6"/>
  <c r="AY150" i="6"/>
  <c r="BG150" i="6"/>
  <c r="BJ150" i="6"/>
  <c r="AD150" i="6"/>
  <c r="AT150" i="6"/>
  <c r="T150" i="6"/>
  <c r="AB150" i="6"/>
  <c r="AJ150" i="6"/>
  <c r="AR150" i="6"/>
  <c r="AZ150" i="6"/>
  <c r="BH150" i="6"/>
  <c r="V150" i="6"/>
  <c r="AL150" i="6"/>
  <c r="BB150" i="6"/>
  <c r="U150" i="6"/>
  <c r="AC150" i="6"/>
  <c r="AK150" i="6"/>
  <c r="AS150" i="6"/>
  <c r="BA150" i="6"/>
  <c r="BI150" i="6"/>
  <c r="W150" i="6"/>
  <c r="AE150" i="6"/>
  <c r="AM150" i="6"/>
  <c r="AU150" i="6"/>
  <c r="BC150" i="6"/>
  <c r="BL150" i="6"/>
  <c r="BL161" i="6"/>
  <c r="BL159" i="6" s="1"/>
  <c r="BL168" i="6"/>
  <c r="BL167" i="6"/>
  <c r="BL165" i="6"/>
  <c r="BL162" i="6" s="1"/>
  <c r="BM4" i="6"/>
  <c r="BL11" i="6"/>
  <c r="BL8" i="6" s="1"/>
  <c r="BL10" i="6"/>
  <c r="BL53" i="6"/>
  <c r="BL52" i="6" s="1"/>
  <c r="BL7" i="6" a="1"/>
  <c r="BL7" i="6" s="1"/>
  <c r="B148" i="6"/>
  <c r="BM46" i="6"/>
  <c r="BM134" i="6" s="1"/>
  <c r="BN47" i="6"/>
  <c r="D58" i="7"/>
  <c r="BK152" i="6"/>
  <c r="BK147" i="6"/>
  <c r="BK160" i="6"/>
  <c r="BL160" i="6" s="1"/>
  <c r="BL147" i="6"/>
  <c r="AQ35" i="7"/>
  <c r="AP10" i="7"/>
  <c r="D58" i="6"/>
  <c r="BM58" i="6" s="1" a="1"/>
  <c r="BM58" i="6" s="1"/>
  <c r="T59" i="6" a="1"/>
  <c r="T59" i="6" s="1"/>
  <c r="U59" i="6" a="1"/>
  <c r="U59" i="6" s="1"/>
  <c r="V59" i="6" a="1"/>
  <c r="V59" i="6" s="1"/>
  <c r="W59" i="6" a="1"/>
  <c r="W59" i="6" s="1"/>
  <c r="X59" i="6" a="1"/>
  <c r="X59" i="6" s="1"/>
  <c r="Y59" i="6" a="1"/>
  <c r="Y59" i="6" s="1"/>
  <c r="Z59" i="6" a="1"/>
  <c r="Z59" i="6" s="1"/>
  <c r="AA59" i="6" a="1"/>
  <c r="AA59" i="6" s="1"/>
  <c r="AB59" i="6" a="1"/>
  <c r="AB59" i="6" s="1"/>
  <c r="AC59" i="6" a="1"/>
  <c r="AC59" i="6" s="1"/>
  <c r="AD59" i="6" a="1"/>
  <c r="AD59" i="6" s="1"/>
  <c r="AE59" i="6" a="1"/>
  <c r="AE59" i="6" s="1"/>
  <c r="AF59" i="6" a="1"/>
  <c r="AF59" i="6" s="1"/>
  <c r="AG59" i="6" a="1"/>
  <c r="AG59" i="6" s="1"/>
  <c r="AH59" i="6" a="1"/>
  <c r="AH59" i="6" s="1"/>
  <c r="AI59" i="6" a="1"/>
  <c r="AI59" i="6" s="1"/>
  <c r="AJ59" i="6" a="1"/>
  <c r="AJ59" i="6" s="1"/>
  <c r="AK59" i="6" a="1"/>
  <c r="AK59" i="6" s="1"/>
  <c r="AL59" i="6" a="1"/>
  <c r="AL59" i="6" s="1"/>
  <c r="AM59" i="6" a="1"/>
  <c r="AM59" i="6" s="1"/>
  <c r="AN59" i="6" a="1"/>
  <c r="AN59" i="6" s="1"/>
  <c r="AO59" i="6" a="1"/>
  <c r="AO59" i="6" s="1"/>
  <c r="AP59" i="6" a="1"/>
  <c r="AP59" i="6" s="1"/>
  <c r="AQ59" i="6" a="1"/>
  <c r="AQ59" i="6" s="1"/>
  <c r="AR59" i="6" a="1"/>
  <c r="AR59" i="6" s="1"/>
  <c r="AS59" i="6" a="1"/>
  <c r="AS59" i="6" s="1"/>
  <c r="AT59" i="6" a="1"/>
  <c r="AT59" i="6" s="1"/>
  <c r="AU59" i="6" a="1"/>
  <c r="AU59" i="6" s="1"/>
  <c r="AV59" i="6" a="1"/>
  <c r="AV59" i="6" s="1"/>
  <c r="AW59" i="6" a="1"/>
  <c r="AW59" i="6" s="1"/>
  <c r="AX59" i="6" a="1"/>
  <c r="AX59" i="6" s="1"/>
  <c r="AY59" i="6" a="1"/>
  <c r="AY59" i="6" s="1"/>
  <c r="AZ59" i="6" a="1"/>
  <c r="AZ59" i="6" s="1"/>
  <c r="BA59" i="6" a="1"/>
  <c r="BA59" i="6" s="1"/>
  <c r="BB59" i="6" a="1"/>
  <c r="BB59" i="6" s="1"/>
  <c r="BC59" i="6" a="1"/>
  <c r="BC59" i="6" s="1"/>
  <c r="BD59" i="6" a="1"/>
  <c r="BD59" i="6" s="1"/>
  <c r="BE59" i="6" a="1"/>
  <c r="BE59" i="6" s="1"/>
  <c r="BF59" i="6" a="1"/>
  <c r="BF59" i="6" s="1"/>
  <c r="BG59" i="6" a="1"/>
  <c r="BG59" i="6" s="1"/>
  <c r="BH59" i="6" a="1"/>
  <c r="BH59" i="6" s="1"/>
  <c r="BI59" i="6" a="1"/>
  <c r="BI59" i="6" s="1"/>
  <c r="BJ59" i="6" a="1"/>
  <c r="BJ59" i="6" s="1"/>
  <c r="BK59" i="6" a="1"/>
  <c r="BK59" i="6" s="1"/>
  <c r="BK154" i="6"/>
  <c r="BL59" i="6" a="1"/>
  <c r="BL59" i="6" s="1"/>
  <c r="BM138" i="6"/>
  <c r="BM150" i="6"/>
  <c r="BM122" i="6"/>
  <c r="BM98" i="6" a="1"/>
  <c r="BM98" i="6" s="1"/>
  <c r="BM90" i="6" a="1"/>
  <c r="BM90" i="6" s="1"/>
  <c r="BM102" i="6" a="1"/>
  <c r="BM102" i="6" s="1"/>
  <c r="BM96" i="6" a="1"/>
  <c r="BM96" i="6" s="1"/>
  <c r="BM79" i="6" a="1"/>
  <c r="BM79" i="6" s="1"/>
  <c r="BM107" i="6"/>
  <c r="BM103" i="6" a="1"/>
  <c r="BM103" i="6" s="1"/>
  <c r="BM97" i="6" a="1"/>
  <c r="BM97" i="6" s="1"/>
  <c r="BM91" i="6" a="1"/>
  <c r="BM91" i="6" s="1"/>
  <c r="BM85" i="6" a="1"/>
  <c r="BM85" i="6" s="1"/>
  <c r="BM84" i="6" a="1"/>
  <c r="BM84" i="6" s="1"/>
  <c r="BM92" i="6" a="1"/>
  <c r="BM92" i="6" s="1"/>
  <c r="BM86" i="6" a="1"/>
  <c r="BM86" i="6" s="1"/>
  <c r="BM81" i="6" a="1"/>
  <c r="BM81" i="6" s="1"/>
  <c r="BM99" i="6" a="1"/>
  <c r="BM99" i="6" s="1"/>
  <c r="BM93" i="6" a="1"/>
  <c r="BM93" i="6" s="1"/>
  <c r="BM67" i="6" a="1"/>
  <c r="BM67" i="6" s="1"/>
  <c r="BM94" i="6" a="1"/>
  <c r="BM94" i="6" s="1"/>
  <c r="BM75" i="6" a="1"/>
  <c r="BM75" i="6" s="1"/>
  <c r="BM72" i="6" a="1"/>
  <c r="BM72" i="6" s="1"/>
  <c r="BM89" i="6" a="1"/>
  <c r="BM89" i="6" s="1"/>
  <c r="BM88" i="6" a="1"/>
  <c r="BM88" i="6" s="1"/>
  <c r="BM76" i="6" a="1"/>
  <c r="BM76" i="6" s="1"/>
  <c r="BM69" i="6" a="1"/>
  <c r="BM69" i="6" s="1"/>
  <c r="BM80" i="6" a="1"/>
  <c r="BM80" i="6" s="1"/>
  <c r="BM77" i="6" a="1"/>
  <c r="BM77" i="6" s="1"/>
  <c r="BM71" i="6" a="1"/>
  <c r="BM71" i="6" s="1"/>
  <c r="BM100" i="6" a="1"/>
  <c r="BM100" i="6" s="1"/>
  <c r="BM70" i="6" a="1"/>
  <c r="BM70" i="6" s="1"/>
  <c r="BM65" i="6" a="1"/>
  <c r="BM65" i="6" s="1"/>
  <c r="BM62" i="6" a="1"/>
  <c r="BM62" i="6" s="1"/>
  <c r="BM74" i="6" a="1"/>
  <c r="BM74" i="6" s="1"/>
  <c r="BM63" i="6" a="1"/>
  <c r="BM63" i="6" s="1"/>
  <c r="BM59" i="6" a="1"/>
  <c r="BM59" i="6" s="1"/>
  <c r="BM64" i="6" a="1"/>
  <c r="BM64" i="6" s="1"/>
  <c r="BM87" i="6" a="1"/>
  <c r="BM87" i="6" s="1"/>
  <c r="BM101" i="6" a="1"/>
  <c r="BM101" i="6" s="1"/>
  <c r="BM82" i="6" a="1"/>
  <c r="BM82" i="6" s="1"/>
  <c r="BM78" i="6" a="1"/>
  <c r="BM78" i="6" s="1"/>
  <c r="BN6" i="6"/>
  <c r="BM41" i="6"/>
  <c r="BM44" i="6" s="1"/>
  <c r="BM83" i="6" a="1"/>
  <c r="BM83" i="6" s="1"/>
  <c r="BM68" i="6" a="1"/>
  <c r="BM68" i="6" s="1"/>
  <c r="BM61" i="6" a="1"/>
  <c r="BM61" i="6" s="1"/>
  <c r="BM66" i="6" a="1"/>
  <c r="BM66" i="6" s="1"/>
  <c r="BM95" i="6" a="1"/>
  <c r="BM95" i="6" s="1"/>
  <c r="BM60" i="6" a="1"/>
  <c r="BM60" i="6" s="1"/>
  <c r="BM73" i="6" a="1"/>
  <c r="BM73" i="6" s="1"/>
  <c r="BL7" i="7"/>
  <c r="B55" i="7"/>
  <c r="BK166" i="6"/>
  <c r="BM4" i="7"/>
  <c r="BN6" i="7"/>
  <c r="BM104" i="6" l="1"/>
  <c r="BM119" i="6"/>
  <c r="BM105" i="6"/>
  <c r="BM137" i="6"/>
  <c r="BM136" i="6"/>
  <c r="BM110" i="6"/>
  <c r="BM121" i="6"/>
  <c r="BM145" i="6"/>
  <c r="BL9" i="6"/>
  <c r="BM139" i="6"/>
  <c r="BM129" i="6"/>
  <c r="BM147" i="6"/>
  <c r="BK151" i="6"/>
  <c r="Z151" i="6"/>
  <c r="AH151" i="6"/>
  <c r="AP151" i="6"/>
  <c r="AX151" i="6"/>
  <c r="BF151" i="6"/>
  <c r="BE151" i="6"/>
  <c r="AA151" i="6"/>
  <c r="AI151" i="6"/>
  <c r="AQ151" i="6"/>
  <c r="AY151" i="6"/>
  <c r="BG151" i="6"/>
  <c r="AN151" i="6"/>
  <c r="T151" i="6"/>
  <c r="AB151" i="6"/>
  <c r="AJ151" i="6"/>
  <c r="AR151" i="6"/>
  <c r="AZ151" i="6"/>
  <c r="BH151" i="6"/>
  <c r="BL151" i="6"/>
  <c r="X151" i="6"/>
  <c r="Y151" i="6"/>
  <c r="U151" i="6"/>
  <c r="AC151" i="6"/>
  <c r="AK151" i="6"/>
  <c r="AS151" i="6"/>
  <c r="BA151" i="6"/>
  <c r="BI151" i="6"/>
  <c r="AF151" i="6"/>
  <c r="AG151" i="6"/>
  <c r="V151" i="6"/>
  <c r="AD151" i="6"/>
  <c r="AL151" i="6"/>
  <c r="AT151" i="6"/>
  <c r="BB151" i="6"/>
  <c r="BJ151" i="6"/>
  <c r="AV151" i="6"/>
  <c r="AW151" i="6"/>
  <c r="W151" i="6"/>
  <c r="AE151" i="6"/>
  <c r="AM151" i="6"/>
  <c r="AU151" i="6"/>
  <c r="BC151" i="6"/>
  <c r="BD151" i="6"/>
  <c r="AO151" i="6"/>
  <c r="BM168" i="6"/>
  <c r="BM167" i="6" s="1"/>
  <c r="BM165" i="6"/>
  <c r="BM162" i="6" s="1"/>
  <c r="BM161" i="6"/>
  <c r="BM159" i="6" s="1"/>
  <c r="BM11" i="6"/>
  <c r="BM8" i="6" s="1"/>
  <c r="BM9" i="6" s="1"/>
  <c r="BM10" i="6"/>
  <c r="BM53" i="6"/>
  <c r="BM7" i="6" a="1"/>
  <c r="BM7" i="6" s="1"/>
  <c r="BN4" i="6"/>
  <c r="BM52" i="6"/>
  <c r="B149" i="6"/>
  <c r="BM112" i="6"/>
  <c r="BM123" i="6"/>
  <c r="BM108" i="6"/>
  <c r="BM124" i="6"/>
  <c r="BM109" i="6"/>
  <c r="BM141" i="6"/>
  <c r="BM126" i="6"/>
  <c r="BM142" i="6"/>
  <c r="BL164" i="6"/>
  <c r="BM164" i="6" s="1"/>
  <c r="BM118" i="6"/>
  <c r="BM140" i="6"/>
  <c r="BL152" i="6"/>
  <c r="BL154" i="6" s="1"/>
  <c r="BL148" i="6"/>
  <c r="BN4" i="7"/>
  <c r="BO6" i="7"/>
  <c r="BM114" i="6"/>
  <c r="BM111" i="6"/>
  <c r="BM128" i="6"/>
  <c r="BM144" i="6"/>
  <c r="BL163" i="6"/>
  <c r="BN46" i="6"/>
  <c r="BN121" i="6" s="1"/>
  <c r="BO47" i="6"/>
  <c r="BO46" i="6" s="1"/>
  <c r="BM116" i="6"/>
  <c r="BM135" i="6"/>
  <c r="BN151" i="6"/>
  <c r="BN146" i="6"/>
  <c r="BN110" i="6"/>
  <c r="BN100" i="6" a="1"/>
  <c r="BN100" i="6" s="1"/>
  <c r="BN92" i="6" a="1"/>
  <c r="BN92" i="6" s="1"/>
  <c r="BN103" i="6" a="1"/>
  <c r="BN103" i="6" s="1"/>
  <c r="BN86" i="6" a="1"/>
  <c r="BN86" i="6" s="1"/>
  <c r="BN81" i="6" a="1"/>
  <c r="BN81" i="6" s="1"/>
  <c r="BN98" i="6" a="1"/>
  <c r="BN98" i="6" s="1"/>
  <c r="BN99" i="6" a="1"/>
  <c r="BN99" i="6" s="1"/>
  <c r="BN93" i="6" a="1"/>
  <c r="BN93" i="6" s="1"/>
  <c r="BN87" i="6" a="1"/>
  <c r="BN87" i="6" s="1"/>
  <c r="BN83" i="6" a="1"/>
  <c r="BN83" i="6" s="1"/>
  <c r="BN89" i="6" a="1"/>
  <c r="BN89" i="6" s="1"/>
  <c r="BN94" i="6" a="1"/>
  <c r="BN94" i="6" s="1"/>
  <c r="BN88" i="6" a="1"/>
  <c r="BN88" i="6" s="1"/>
  <c r="BN84" i="6" a="1"/>
  <c r="BN84" i="6" s="1"/>
  <c r="BN69" i="6" a="1"/>
  <c r="BN69" i="6" s="1"/>
  <c r="BN101" i="6" a="1"/>
  <c r="BN101" i="6" s="1"/>
  <c r="BN76" i="6" a="1"/>
  <c r="BN76" i="6" s="1"/>
  <c r="BN74" i="6" a="1"/>
  <c r="BN74" i="6" s="1"/>
  <c r="BN66" i="6" a="1"/>
  <c r="BN66" i="6" s="1"/>
  <c r="BN96" i="6" a="1"/>
  <c r="BN96" i="6" s="1"/>
  <c r="BN80" i="6" a="1"/>
  <c r="BN80" i="6" s="1"/>
  <c r="BN77" i="6" a="1"/>
  <c r="BN77" i="6" s="1"/>
  <c r="BN71" i="6" a="1"/>
  <c r="BN71" i="6" s="1"/>
  <c r="BN85" i="6" a="1"/>
  <c r="BN85" i="6" s="1"/>
  <c r="BN73" i="6" a="1"/>
  <c r="BN73" i="6" s="1"/>
  <c r="BN102" i="6" a="1"/>
  <c r="BN102" i="6" s="1"/>
  <c r="BN97" i="6" a="1"/>
  <c r="BN97" i="6" s="1"/>
  <c r="BN75" i="6" a="1"/>
  <c r="BN75" i="6" s="1"/>
  <c r="BN68" i="6" a="1"/>
  <c r="BN68" i="6" s="1"/>
  <c r="BN64" i="6" a="1"/>
  <c r="BN64" i="6" s="1"/>
  <c r="BN61" i="6" a="1"/>
  <c r="BN61" i="6" s="1"/>
  <c r="BN79" i="6" a="1"/>
  <c r="BN79" i="6" s="1"/>
  <c r="BN67" i="6" a="1"/>
  <c r="BN67" i="6" s="1"/>
  <c r="BN58" i="6" a="1"/>
  <c r="BN58" i="6" s="1"/>
  <c r="BN90" i="6" a="1"/>
  <c r="BN90" i="6" s="1"/>
  <c r="BN72" i="6" a="1"/>
  <c r="BN72" i="6" s="1"/>
  <c r="BN60" i="6" a="1"/>
  <c r="BN60" i="6" s="1"/>
  <c r="BN91" i="6" a="1"/>
  <c r="BN91" i="6" s="1"/>
  <c r="BN82" i="6" a="1"/>
  <c r="BN82" i="6" s="1"/>
  <c r="BN78" i="6" a="1"/>
  <c r="BN78" i="6" s="1"/>
  <c r="BN95" i="6" a="1"/>
  <c r="BN95" i="6" s="1"/>
  <c r="BN41" i="6"/>
  <c r="BN44" i="6" s="1"/>
  <c r="BN70" i="6" a="1"/>
  <c r="BN70" i="6" s="1"/>
  <c r="BN65" i="6" a="1"/>
  <c r="BN65" i="6" s="1"/>
  <c r="BN63" i="6" a="1"/>
  <c r="BN63" i="6" s="1"/>
  <c r="BN62" i="6" a="1"/>
  <c r="BN62" i="6" s="1"/>
  <c r="BN59" i="6" a="1"/>
  <c r="BN59" i="6" s="1"/>
  <c r="BO6" i="6"/>
  <c r="BM127" i="6"/>
  <c r="BM106" i="6"/>
  <c r="BM113" i="6"/>
  <c r="BM133" i="6"/>
  <c r="BM130" i="6"/>
  <c r="BM146" i="6"/>
  <c r="D59" i="7"/>
  <c r="AR35" i="7"/>
  <c r="AQ10" i="7"/>
  <c r="BM7" i="7"/>
  <c r="B56" i="7"/>
  <c r="BM131" i="6"/>
  <c r="BM120" i="6"/>
  <c r="BM115" i="6"/>
  <c r="BM132" i="6"/>
  <c r="BM148" i="6"/>
  <c r="D57" i="6"/>
  <c r="BN57" i="6" s="1" a="1"/>
  <c r="BN57" i="6" s="1"/>
  <c r="T58" i="6" a="1"/>
  <c r="T58" i="6" s="1"/>
  <c r="U58" i="6" a="1"/>
  <c r="U58" i="6" s="1"/>
  <c r="V58" i="6" a="1"/>
  <c r="V58" i="6" s="1"/>
  <c r="W58" i="6" a="1"/>
  <c r="W58" i="6" s="1"/>
  <c r="X58" i="6" a="1"/>
  <c r="X58" i="6" s="1"/>
  <c r="Y58" i="6" a="1"/>
  <c r="Y58" i="6" s="1"/>
  <c r="Z58" i="6" a="1"/>
  <c r="Z58" i="6" s="1"/>
  <c r="AA58" i="6" a="1"/>
  <c r="AA58" i="6" s="1"/>
  <c r="AB58" i="6" a="1"/>
  <c r="AB58" i="6" s="1"/>
  <c r="AC58" i="6" a="1"/>
  <c r="AC58" i="6" s="1"/>
  <c r="AD58" i="6" a="1"/>
  <c r="AD58" i="6" s="1"/>
  <c r="AE58" i="6" a="1"/>
  <c r="AE58" i="6" s="1"/>
  <c r="AF58" i="6" a="1"/>
  <c r="AF58" i="6" s="1"/>
  <c r="AG58" i="6" a="1"/>
  <c r="AG58" i="6" s="1"/>
  <c r="AH58" i="6" a="1"/>
  <c r="AH58" i="6" s="1"/>
  <c r="AI58" i="6" a="1"/>
  <c r="AI58" i="6" s="1"/>
  <c r="AJ58" i="6" a="1"/>
  <c r="AJ58" i="6" s="1"/>
  <c r="AK58" i="6" a="1"/>
  <c r="AK58" i="6" s="1"/>
  <c r="AL58" i="6" a="1"/>
  <c r="AL58" i="6" s="1"/>
  <c r="AM58" i="6" a="1"/>
  <c r="AM58" i="6" s="1"/>
  <c r="AN58" i="6" a="1"/>
  <c r="AN58" i="6" s="1"/>
  <c r="AO58" i="6" a="1"/>
  <c r="AO58" i="6" s="1"/>
  <c r="AP58" i="6" a="1"/>
  <c r="AP58" i="6" s="1"/>
  <c r="AQ58" i="6" a="1"/>
  <c r="AQ58" i="6" s="1"/>
  <c r="AR58" i="6" a="1"/>
  <c r="AR58" i="6" s="1"/>
  <c r="AS58" i="6" a="1"/>
  <c r="AS58" i="6" s="1"/>
  <c r="AT58" i="6" a="1"/>
  <c r="AT58" i="6" s="1"/>
  <c r="AU58" i="6" a="1"/>
  <c r="AU58" i="6" s="1"/>
  <c r="AV58" i="6" a="1"/>
  <c r="AV58" i="6" s="1"/>
  <c r="AW58" i="6" a="1"/>
  <c r="AW58" i="6" s="1"/>
  <c r="AX58" i="6" a="1"/>
  <c r="AX58" i="6" s="1"/>
  <c r="AY58" i="6" a="1"/>
  <c r="AY58" i="6" s="1"/>
  <c r="AZ58" i="6" a="1"/>
  <c r="AZ58" i="6" s="1"/>
  <c r="BA58" i="6" a="1"/>
  <c r="BA58" i="6" s="1"/>
  <c r="BB58" i="6" a="1"/>
  <c r="BB58" i="6" s="1"/>
  <c r="BC58" i="6" a="1"/>
  <c r="BC58" i="6" s="1"/>
  <c r="BD58" i="6" a="1"/>
  <c r="BD58" i="6" s="1"/>
  <c r="BE58" i="6" a="1"/>
  <c r="BE58" i="6" s="1"/>
  <c r="BF58" i="6" a="1"/>
  <c r="BF58" i="6" s="1"/>
  <c r="BG58" i="6" a="1"/>
  <c r="BG58" i="6" s="1"/>
  <c r="BH58" i="6" a="1"/>
  <c r="BH58" i="6" s="1"/>
  <c r="BI58" i="6" a="1"/>
  <c r="BI58" i="6" s="1"/>
  <c r="BJ58" i="6" a="1"/>
  <c r="BJ58" i="6" s="1"/>
  <c r="BK58" i="6" a="1"/>
  <c r="BK58" i="6" s="1"/>
  <c r="BL58" i="6" a="1"/>
  <c r="BL58" i="6" s="1"/>
  <c r="BM125" i="6"/>
  <c r="BM117" i="6"/>
  <c r="BM143" i="6"/>
  <c r="BL166" i="6"/>
  <c r="BM166" i="6" s="1"/>
  <c r="BN123" i="6" l="1"/>
  <c r="BN140" i="6"/>
  <c r="BN112" i="6"/>
  <c r="BN108" i="6"/>
  <c r="BN125" i="6"/>
  <c r="BN133" i="6"/>
  <c r="BN120" i="6"/>
  <c r="BN111" i="6"/>
  <c r="BN128" i="6"/>
  <c r="BN114" i="6"/>
  <c r="BN109" i="6"/>
  <c r="BN143" i="6"/>
  <c r="BN116" i="6"/>
  <c r="BN135" i="6"/>
  <c r="BN105" i="6"/>
  <c r="BN115" i="6"/>
  <c r="BN106" i="6"/>
  <c r="BN104" i="6"/>
  <c r="BN131" i="6"/>
  <c r="BN122" i="6"/>
  <c r="BN138" i="6"/>
  <c r="BN130" i="6"/>
  <c r="BN139" i="6"/>
  <c r="BN149" i="6"/>
  <c r="BN113" i="6"/>
  <c r="BN107" i="6"/>
  <c r="BN147" i="6"/>
  <c r="BN148" i="6"/>
  <c r="BN144" i="6"/>
  <c r="BN142" i="6"/>
  <c r="I46" i="6"/>
  <c r="BM160" i="6"/>
  <c r="BN129" i="6"/>
  <c r="BN141" i="6"/>
  <c r="BM163" i="6"/>
  <c r="BN136" i="6"/>
  <c r="BN132" i="6"/>
  <c r="BO4" i="7"/>
  <c r="D6" i="7"/>
  <c r="AR10" i="7"/>
  <c r="I10" i="7" s="1"/>
  <c r="T79" i="6" a="1"/>
  <c r="T79" i="6" s="1"/>
  <c r="I35" i="7"/>
  <c r="L62" i="7"/>
  <c r="BO62" i="7" s="1"/>
  <c r="BO149" i="6"/>
  <c r="BO147" i="6"/>
  <c r="I147" i="6" s="1"/>
  <c r="BO145" i="6"/>
  <c r="BO143" i="6"/>
  <c r="I143" i="6" s="1"/>
  <c r="BO141" i="6"/>
  <c r="I141" i="6" s="1"/>
  <c r="BO139" i="6"/>
  <c r="BO123" i="6"/>
  <c r="I123" i="6" s="1"/>
  <c r="BO121" i="6"/>
  <c r="I121" i="6" s="1"/>
  <c r="BO119" i="6"/>
  <c r="BO117" i="6"/>
  <c r="BO146" i="6"/>
  <c r="I146" i="6" s="1"/>
  <c r="BO142" i="6"/>
  <c r="I142" i="6" s="1"/>
  <c r="BO135" i="6"/>
  <c r="I135" i="6" s="1"/>
  <c r="BO134" i="6"/>
  <c r="BO127" i="6"/>
  <c r="BO140" i="6"/>
  <c r="I140" i="6" s="1"/>
  <c r="BO124" i="6"/>
  <c r="BO137" i="6"/>
  <c r="BO128" i="6"/>
  <c r="I128" i="6" s="1"/>
  <c r="BO125" i="6"/>
  <c r="I125" i="6" s="1"/>
  <c r="BO118" i="6"/>
  <c r="BO113" i="6"/>
  <c r="I113" i="6" s="1"/>
  <c r="BO144" i="6"/>
  <c r="BO130" i="6"/>
  <c r="BO116" i="6"/>
  <c r="BO103" i="6" a="1"/>
  <c r="BO103" i="6" s="1"/>
  <c r="I103" i="6" s="1"/>
  <c r="BO126" i="6"/>
  <c r="BO132" i="6"/>
  <c r="I132" i="6" s="1"/>
  <c r="BO148" i="6"/>
  <c r="I148" i="6" s="1"/>
  <c r="BO138" i="6"/>
  <c r="BO112" i="6"/>
  <c r="I112" i="6" s="1"/>
  <c r="BO111" i="6"/>
  <c r="BO110" i="6"/>
  <c r="I110" i="6" s="1"/>
  <c r="BO109" i="6"/>
  <c r="I109" i="6" s="1"/>
  <c r="BO102" i="6" a="1"/>
  <c r="BO102" i="6" s="1"/>
  <c r="I102" i="6" s="1"/>
  <c r="BO94" i="6" a="1"/>
  <c r="BO94" i="6" s="1"/>
  <c r="I94" i="6" s="1"/>
  <c r="BO86" i="6" a="1"/>
  <c r="BO86" i="6" s="1"/>
  <c r="I86" i="6" s="1"/>
  <c r="BO133" i="6"/>
  <c r="BO136" i="6"/>
  <c r="BO131" i="6"/>
  <c r="I131" i="6" s="1"/>
  <c r="BO106" i="6"/>
  <c r="I106" i="6" s="1"/>
  <c r="BO99" i="6" a="1"/>
  <c r="BO99" i="6" s="1"/>
  <c r="I99" i="6" s="1"/>
  <c r="BO93" i="6" a="1"/>
  <c r="BO93" i="6" s="1"/>
  <c r="I93" i="6" s="1"/>
  <c r="BO87" i="6" a="1"/>
  <c r="BO87" i="6" s="1"/>
  <c r="I87" i="6" s="1"/>
  <c r="BO83" i="6" a="1"/>
  <c r="BO83" i="6" s="1"/>
  <c r="I83" i="6" s="1"/>
  <c r="BO75" i="6" a="1"/>
  <c r="BO75" i="6" s="1"/>
  <c r="I75" i="6" s="1"/>
  <c r="BO88" i="6" a="1"/>
  <c r="BO88" i="6" s="1"/>
  <c r="I88" i="6" s="1"/>
  <c r="BO122" i="6"/>
  <c r="I122" i="6" s="1"/>
  <c r="BO114" i="6"/>
  <c r="I114" i="6" s="1"/>
  <c r="BO100" i="6" a="1"/>
  <c r="BO100" i="6" s="1"/>
  <c r="I100" i="6" s="1"/>
  <c r="BO108" i="6"/>
  <c r="I108" i="6" s="1"/>
  <c r="BO120" i="6"/>
  <c r="I120" i="6" s="1"/>
  <c r="BO96" i="6" a="1"/>
  <c r="BO96" i="6" s="1"/>
  <c r="I96" i="6" s="1"/>
  <c r="BO90" i="6" a="1"/>
  <c r="BO90" i="6" s="1"/>
  <c r="I90" i="6" s="1"/>
  <c r="BO115" i="6"/>
  <c r="BO101" i="6" a="1"/>
  <c r="BO101" i="6" s="1"/>
  <c r="I101" i="6" s="1"/>
  <c r="BO89" i="6" a="1"/>
  <c r="BO89" i="6" s="1"/>
  <c r="I89" i="6" s="1"/>
  <c r="BO81" i="6" a="1"/>
  <c r="BO81" i="6" s="1"/>
  <c r="I81" i="6" s="1"/>
  <c r="BO77" i="6" a="1"/>
  <c r="BO77" i="6" s="1"/>
  <c r="I77" i="6" s="1"/>
  <c r="BO71" i="6" a="1"/>
  <c r="BO71" i="6" s="1"/>
  <c r="I71" i="6" s="1"/>
  <c r="BO63" i="6" a="1"/>
  <c r="BO63" i="6" s="1"/>
  <c r="I63" i="6" s="1"/>
  <c r="BO91" i="6" a="1"/>
  <c r="BO91" i="6" s="1"/>
  <c r="I91" i="6" s="1"/>
  <c r="BO82" i="6" a="1"/>
  <c r="BO82" i="6" s="1"/>
  <c r="I82" i="6" s="1"/>
  <c r="BO80" i="6" a="1"/>
  <c r="BO80" i="6" s="1"/>
  <c r="I80" i="6" s="1"/>
  <c r="BO68" i="6" a="1"/>
  <c r="BO68" i="6" s="1"/>
  <c r="I68" i="6" s="1"/>
  <c r="BO85" i="6" a="1"/>
  <c r="BO85" i="6" s="1"/>
  <c r="I85" i="6" s="1"/>
  <c r="BO78" i="6" a="1"/>
  <c r="BO78" i="6" s="1"/>
  <c r="I78" i="6" s="1"/>
  <c r="BO73" i="6" a="1"/>
  <c r="BO73" i="6" s="1"/>
  <c r="I73" i="6" s="1"/>
  <c r="BO95" i="6" a="1"/>
  <c r="BO95" i="6" s="1"/>
  <c r="I95" i="6" s="1"/>
  <c r="BO129" i="6"/>
  <c r="I129" i="6" s="1"/>
  <c r="BO105" i="6"/>
  <c r="BO107" i="6"/>
  <c r="I107" i="6" s="1"/>
  <c r="BO97" i="6" a="1"/>
  <c r="BO97" i="6" s="1"/>
  <c r="I97" i="6" s="1"/>
  <c r="BO92" i="6" a="1"/>
  <c r="BO92" i="6" s="1"/>
  <c r="I92" i="6" s="1"/>
  <c r="BO74" i="6" a="1"/>
  <c r="BO74" i="6" s="1"/>
  <c r="I74" i="6" s="1"/>
  <c r="BO67" i="6" a="1"/>
  <c r="BO67" i="6" s="1"/>
  <c r="I67" i="6" s="1"/>
  <c r="BO58" i="6" a="1"/>
  <c r="BO58" i="6" s="1"/>
  <c r="I58" i="6" s="1"/>
  <c r="BO79" i="6" a="1"/>
  <c r="BO79" i="6" s="1"/>
  <c r="BO72" i="6" a="1"/>
  <c r="BO72" i="6" s="1"/>
  <c r="I72" i="6" s="1"/>
  <c r="BO60" i="6" a="1"/>
  <c r="BO60" i="6" s="1"/>
  <c r="I60" i="6" s="1"/>
  <c r="BO44" i="6"/>
  <c r="I44" i="6" s="1"/>
  <c r="BO76" i="6" a="1"/>
  <c r="BO76" i="6" s="1"/>
  <c r="I76" i="6" s="1"/>
  <c r="BO65" i="6" a="1"/>
  <c r="BO65" i="6" s="1"/>
  <c r="I65" i="6" s="1"/>
  <c r="BO62" i="6" a="1"/>
  <c r="BO62" i="6" s="1"/>
  <c r="I62" i="6" s="1"/>
  <c r="BO98" i="6" a="1"/>
  <c r="BO98" i="6" s="1"/>
  <c r="I98" i="6" s="1"/>
  <c r="BO70" i="6" a="1"/>
  <c r="BO70" i="6" s="1"/>
  <c r="I70" i="6" s="1"/>
  <c r="BO69" i="6" a="1"/>
  <c r="BO69" i="6" s="1"/>
  <c r="I69" i="6" s="1"/>
  <c r="BO61" i="6" a="1"/>
  <c r="BO61" i="6" s="1"/>
  <c r="I61" i="6" s="1"/>
  <c r="BO66" i="6" a="1"/>
  <c r="BO66" i="6" s="1"/>
  <c r="I66" i="6" s="1"/>
  <c r="BO59" i="6" a="1"/>
  <c r="BO59" i="6" s="1"/>
  <c r="I59" i="6" s="1"/>
  <c r="BO84" i="6" a="1"/>
  <c r="BO84" i="6" s="1"/>
  <c r="I84" i="6" s="1"/>
  <c r="BO64" i="6" a="1"/>
  <c r="BO64" i="6" s="1"/>
  <c r="I64" i="6" s="1"/>
  <c r="BO57" i="6" a="1"/>
  <c r="BO57" i="6" s="1"/>
  <c r="D6" i="6"/>
  <c r="BO41" i="6"/>
  <c r="I41" i="6" s="1"/>
  <c r="BN137" i="6"/>
  <c r="BN117" i="6"/>
  <c r="BN168" i="6"/>
  <c r="BN166" i="6"/>
  <c r="BN167" i="6"/>
  <c r="BN165" i="6"/>
  <c r="BN163" i="6" s="1"/>
  <c r="BN161" i="6"/>
  <c r="BN159" i="6" s="1"/>
  <c r="BN160" i="6"/>
  <c r="BN53" i="6"/>
  <c r="BN52" i="6" s="1"/>
  <c r="BN11" i="6"/>
  <c r="BN8" i="6" s="1"/>
  <c r="BN10" i="6"/>
  <c r="BN7" i="6" a="1"/>
  <c r="BN7" i="6" s="1"/>
  <c r="BO4" i="6"/>
  <c r="B150" i="6"/>
  <c r="BM152" i="6"/>
  <c r="BM149" i="6"/>
  <c r="BN118" i="6"/>
  <c r="BN127" i="6"/>
  <c r="BN119" i="6"/>
  <c r="BM154" i="6"/>
  <c r="T57" i="6" a="1"/>
  <c r="T57" i="6" s="1"/>
  <c r="D56" i="6"/>
  <c r="U57" i="6" a="1"/>
  <c r="U57" i="6" s="1"/>
  <c r="V57" i="6" a="1"/>
  <c r="V57" i="6" s="1"/>
  <c r="W57" i="6" a="1"/>
  <c r="W57" i="6" s="1"/>
  <c r="X57" i="6" a="1"/>
  <c r="X57" i="6" s="1"/>
  <c r="Y57" i="6" a="1"/>
  <c r="Y57" i="6" s="1"/>
  <c r="Z57" i="6" a="1"/>
  <c r="Z57" i="6" s="1"/>
  <c r="AA57" i="6" a="1"/>
  <c r="AA57" i="6" s="1"/>
  <c r="AB57" i="6" a="1"/>
  <c r="AB57" i="6" s="1"/>
  <c r="AC57" i="6" a="1"/>
  <c r="AC57" i="6" s="1"/>
  <c r="AD57" i="6" a="1"/>
  <c r="AD57" i="6" s="1"/>
  <c r="AE57" i="6" a="1"/>
  <c r="AE57" i="6" s="1"/>
  <c r="AF57" i="6" a="1"/>
  <c r="AF57" i="6" s="1"/>
  <c r="AG57" i="6" a="1"/>
  <c r="AG57" i="6" s="1"/>
  <c r="AH57" i="6" a="1"/>
  <c r="AH57" i="6" s="1"/>
  <c r="AI57" i="6" a="1"/>
  <c r="AI57" i="6" s="1"/>
  <c r="AJ57" i="6" a="1"/>
  <c r="AJ57" i="6" s="1"/>
  <c r="AK57" i="6" a="1"/>
  <c r="AK57" i="6" s="1"/>
  <c r="AL57" i="6" a="1"/>
  <c r="AL57" i="6" s="1"/>
  <c r="AM57" i="6" a="1"/>
  <c r="AM57" i="6" s="1"/>
  <c r="AN57" i="6" a="1"/>
  <c r="AN57" i="6" s="1"/>
  <c r="AO57" i="6" a="1"/>
  <c r="AO57" i="6" s="1"/>
  <c r="AP57" i="6" a="1"/>
  <c r="AP57" i="6" s="1"/>
  <c r="AQ57" i="6" a="1"/>
  <c r="AQ57" i="6" s="1"/>
  <c r="AR57" i="6" a="1"/>
  <c r="AR57" i="6" s="1"/>
  <c r="AS57" i="6" a="1"/>
  <c r="AS57" i="6" s="1"/>
  <c r="AT57" i="6" a="1"/>
  <c r="AT57" i="6" s="1"/>
  <c r="AU57" i="6" a="1"/>
  <c r="AU57" i="6" s="1"/>
  <c r="AV57" i="6" a="1"/>
  <c r="AV57" i="6" s="1"/>
  <c r="AW57" i="6" a="1"/>
  <c r="AW57" i="6" s="1"/>
  <c r="AX57" i="6" a="1"/>
  <c r="AX57" i="6" s="1"/>
  <c r="AY57" i="6" a="1"/>
  <c r="AY57" i="6" s="1"/>
  <c r="AZ57" i="6" a="1"/>
  <c r="AZ57" i="6" s="1"/>
  <c r="BA57" i="6" a="1"/>
  <c r="BA57" i="6" s="1"/>
  <c r="BB57" i="6" a="1"/>
  <c r="BB57" i="6" s="1"/>
  <c r="BC57" i="6" a="1"/>
  <c r="BC57" i="6" s="1"/>
  <c r="BD57" i="6" a="1"/>
  <c r="BD57" i="6" s="1"/>
  <c r="BE57" i="6" a="1"/>
  <c r="BE57" i="6" s="1"/>
  <c r="BF57" i="6" a="1"/>
  <c r="BF57" i="6" s="1"/>
  <c r="BG57" i="6" a="1"/>
  <c r="BG57" i="6" s="1"/>
  <c r="BH57" i="6" a="1"/>
  <c r="BH57" i="6" s="1"/>
  <c r="BI57" i="6" a="1"/>
  <c r="BI57" i="6" s="1"/>
  <c r="BJ57" i="6" a="1"/>
  <c r="BJ57" i="6" s="1"/>
  <c r="BK57" i="6" a="1"/>
  <c r="BK57" i="6" s="1"/>
  <c r="BL57" i="6" a="1"/>
  <c r="BL57" i="6" s="1"/>
  <c r="BM57" i="6" a="1"/>
  <c r="BM57" i="6" s="1"/>
  <c r="BN7" i="7"/>
  <c r="B57" i="7"/>
  <c r="BN145" i="6"/>
  <c r="BN126" i="6"/>
  <c r="BN124" i="6"/>
  <c r="BN134" i="6"/>
  <c r="I116" i="6" l="1"/>
  <c r="I111" i="6"/>
  <c r="I130" i="6"/>
  <c r="I105" i="6"/>
  <c r="I115" i="6"/>
  <c r="I144" i="6"/>
  <c r="I133" i="6"/>
  <c r="I138" i="6"/>
  <c r="I139" i="6"/>
  <c r="I136" i="6"/>
  <c r="I79" i="6"/>
  <c r="I134" i="6"/>
  <c r="BN152" i="6"/>
  <c r="BN154" i="6" s="1"/>
  <c r="BN150" i="6"/>
  <c r="BO150" i="6"/>
  <c r="I127" i="6"/>
  <c r="T56" i="6" a="1"/>
  <c r="T56" i="6" s="1"/>
  <c r="U56" i="6" a="1"/>
  <c r="U56" i="6" s="1"/>
  <c r="V56" i="6" a="1"/>
  <c r="V56" i="6" s="1"/>
  <c r="W56" i="6" a="1"/>
  <c r="W56" i="6" s="1"/>
  <c r="X56" i="6" a="1"/>
  <c r="X56" i="6" s="1"/>
  <c r="Y56" i="6" a="1"/>
  <c r="Y56" i="6" s="1"/>
  <c r="Z56" i="6" a="1"/>
  <c r="Z56" i="6" s="1"/>
  <c r="AA56" i="6" a="1"/>
  <c r="AA56" i="6" s="1"/>
  <c r="AB56" i="6" a="1"/>
  <c r="AB56" i="6" s="1"/>
  <c r="AC56" i="6" a="1"/>
  <c r="AC56" i="6" s="1"/>
  <c r="AD56" i="6" a="1"/>
  <c r="AD56" i="6" s="1"/>
  <c r="AE56" i="6" a="1"/>
  <c r="AE56" i="6" s="1"/>
  <c r="AF56" i="6" a="1"/>
  <c r="AF56" i="6" s="1"/>
  <c r="AG56" i="6" a="1"/>
  <c r="AG56" i="6" s="1"/>
  <c r="AH56" i="6" a="1"/>
  <c r="AH56" i="6" s="1"/>
  <c r="AI56" i="6" a="1"/>
  <c r="AI56" i="6" s="1"/>
  <c r="AJ56" i="6" a="1"/>
  <c r="AJ56" i="6" s="1"/>
  <c r="AK56" i="6" a="1"/>
  <c r="AK56" i="6" s="1"/>
  <c r="AL56" i="6" a="1"/>
  <c r="AL56" i="6" s="1"/>
  <c r="AM56" i="6" a="1"/>
  <c r="AM56" i="6" s="1"/>
  <c r="AN56" i="6" a="1"/>
  <c r="AN56" i="6" s="1"/>
  <c r="AO56" i="6" a="1"/>
  <c r="AO56" i="6" s="1"/>
  <c r="AP56" i="6" a="1"/>
  <c r="AP56" i="6" s="1"/>
  <c r="AQ56" i="6" a="1"/>
  <c r="AQ56" i="6" s="1"/>
  <c r="AR56" i="6" a="1"/>
  <c r="AR56" i="6" s="1"/>
  <c r="AS56" i="6" a="1"/>
  <c r="AS56" i="6" s="1"/>
  <c r="AT56" i="6" a="1"/>
  <c r="AT56" i="6" s="1"/>
  <c r="AU56" i="6" a="1"/>
  <c r="AU56" i="6" s="1"/>
  <c r="AV56" i="6" a="1"/>
  <c r="AV56" i="6" s="1"/>
  <c r="AW56" i="6" a="1"/>
  <c r="AW56" i="6" s="1"/>
  <c r="AX56" i="6" a="1"/>
  <c r="AX56" i="6" s="1"/>
  <c r="AY56" i="6" a="1"/>
  <c r="AY56" i="6" s="1"/>
  <c r="AZ56" i="6" a="1"/>
  <c r="AZ56" i="6" s="1"/>
  <c r="BA56" i="6" a="1"/>
  <c r="BA56" i="6" s="1"/>
  <c r="BB56" i="6" a="1"/>
  <c r="BB56" i="6" s="1"/>
  <c r="BC56" i="6" a="1"/>
  <c r="BC56" i="6" s="1"/>
  <c r="BD56" i="6" a="1"/>
  <c r="BD56" i="6" s="1"/>
  <c r="BE56" i="6" a="1"/>
  <c r="BE56" i="6" s="1"/>
  <c r="BF56" i="6" a="1"/>
  <c r="BF56" i="6" s="1"/>
  <c r="BG56" i="6" a="1"/>
  <c r="BG56" i="6" s="1"/>
  <c r="BH56" i="6" a="1"/>
  <c r="BH56" i="6" s="1"/>
  <c r="BI56" i="6" a="1"/>
  <c r="BI56" i="6" s="1"/>
  <c r="BJ56" i="6" a="1"/>
  <c r="BJ56" i="6" s="1"/>
  <c r="BK56" i="6" a="1"/>
  <c r="BK56" i="6" s="1"/>
  <c r="BL56" i="6" a="1"/>
  <c r="BL56" i="6" s="1"/>
  <c r="BM56" i="6" a="1"/>
  <c r="BM56" i="6" s="1"/>
  <c r="BN56" i="6" a="1"/>
  <c r="BN56" i="6" s="1"/>
  <c r="I57" i="6"/>
  <c r="BO104" i="6"/>
  <c r="I104" i="6" s="1"/>
  <c r="I126" i="6"/>
  <c r="BN9" i="6"/>
  <c r="BK192" i="6"/>
  <c r="BK191" i="6" s="1"/>
  <c r="BC192" i="6"/>
  <c r="BC191" i="6" s="1"/>
  <c r="AU192" i="6"/>
  <c r="AU191" i="6" s="1"/>
  <c r="AM192" i="6"/>
  <c r="AM191" i="6" s="1"/>
  <c r="AE192" i="6"/>
  <c r="AE191" i="6" s="1"/>
  <c r="W192" i="6"/>
  <c r="W191" i="6" s="1"/>
  <c r="BJ192" i="6"/>
  <c r="BJ191" i="6" s="1"/>
  <c r="BB192" i="6"/>
  <c r="BB191" i="6" s="1"/>
  <c r="AT192" i="6"/>
  <c r="AT191" i="6" s="1"/>
  <c r="AL192" i="6"/>
  <c r="AL191" i="6" s="1"/>
  <c r="AD192" i="6"/>
  <c r="AD191" i="6" s="1"/>
  <c r="V192" i="6"/>
  <c r="V191" i="6" s="1"/>
  <c r="BH192" i="6"/>
  <c r="BH191" i="6" s="1"/>
  <c r="AX192" i="6"/>
  <c r="AX191" i="6" s="1"/>
  <c r="AN192" i="6"/>
  <c r="AN191" i="6" s="1"/>
  <c r="AB192" i="6"/>
  <c r="AB191" i="6" s="1"/>
  <c r="BG192" i="6"/>
  <c r="BG191" i="6" s="1"/>
  <c r="AW192" i="6"/>
  <c r="AW191" i="6" s="1"/>
  <c r="AK192" i="6"/>
  <c r="AK191" i="6" s="1"/>
  <c r="AA192" i="6"/>
  <c r="AA191" i="6" s="1"/>
  <c r="BF192" i="6"/>
  <c r="BF191" i="6" s="1"/>
  <c r="AV192" i="6"/>
  <c r="AV191" i="6" s="1"/>
  <c r="AJ192" i="6"/>
  <c r="AJ191" i="6" s="1"/>
  <c r="Z192" i="6"/>
  <c r="Z191" i="6" s="1"/>
  <c r="BN192" i="6"/>
  <c r="BN191" i="6" s="1"/>
  <c r="AY192" i="6"/>
  <c r="AY191" i="6" s="1"/>
  <c r="AG192" i="6"/>
  <c r="AG191" i="6" s="1"/>
  <c r="BM192" i="6"/>
  <c r="BM191" i="6" s="1"/>
  <c r="AS192" i="6"/>
  <c r="AS191" i="6" s="1"/>
  <c r="AF192" i="6"/>
  <c r="AF191" i="6" s="1"/>
  <c r="BL192" i="6"/>
  <c r="BL191" i="6" s="1"/>
  <c r="AR192" i="6"/>
  <c r="AR191" i="6" s="1"/>
  <c r="AC192" i="6"/>
  <c r="AC191" i="6" s="1"/>
  <c r="BE192" i="6"/>
  <c r="BE191" i="6" s="1"/>
  <c r="AP192" i="6"/>
  <c r="AP191" i="6" s="1"/>
  <c r="X192" i="6"/>
  <c r="X191" i="6" s="1"/>
  <c r="AZ192" i="6"/>
  <c r="AZ191" i="6" s="1"/>
  <c r="AQ192" i="6"/>
  <c r="AQ191" i="6" s="1"/>
  <c r="AO192" i="6"/>
  <c r="AO191" i="6" s="1"/>
  <c r="BO192" i="6"/>
  <c r="BO191" i="6" s="1"/>
  <c r="AH192" i="6"/>
  <c r="AH191" i="6" s="1"/>
  <c r="U192" i="6"/>
  <c r="U191" i="6" s="1"/>
  <c r="T192" i="6"/>
  <c r="BI192" i="6"/>
  <c r="BI191" i="6" s="1"/>
  <c r="BD192" i="6"/>
  <c r="BD191" i="6" s="1"/>
  <c r="Y192" i="6"/>
  <c r="Y191" i="6" s="1"/>
  <c r="BA192" i="6"/>
  <c r="BA191" i="6" s="1"/>
  <c r="AI192" i="6"/>
  <c r="AI191" i="6" s="1"/>
  <c r="BH45" i="6"/>
  <c r="BH55" i="6" s="1"/>
  <c r="AZ45" i="6"/>
  <c r="AZ55" i="6" s="1"/>
  <c r="AR45" i="6"/>
  <c r="AR55" i="6" s="1"/>
  <c r="AJ45" i="6"/>
  <c r="AJ55" i="6" s="1"/>
  <c r="AJ54" i="6" s="1"/>
  <c r="AB45" i="6"/>
  <c r="AB55" i="6" s="1"/>
  <c r="T45" i="6"/>
  <c r="BO45" i="6"/>
  <c r="BO55" i="6" s="1"/>
  <c r="BG45" i="6"/>
  <c r="BG55" i="6" s="1"/>
  <c r="AY45" i="6"/>
  <c r="AY55" i="6" s="1"/>
  <c r="AQ45" i="6"/>
  <c r="AQ55" i="6" s="1"/>
  <c r="AI45" i="6"/>
  <c r="AI55" i="6" s="1"/>
  <c r="AA45" i="6"/>
  <c r="AA55" i="6" s="1"/>
  <c r="BN45" i="6"/>
  <c r="BN55" i="6" s="1"/>
  <c r="BF45" i="6"/>
  <c r="BF55" i="6" s="1"/>
  <c r="AX45" i="6"/>
  <c r="AX55" i="6" s="1"/>
  <c r="AP45" i="6"/>
  <c r="AP55" i="6" s="1"/>
  <c r="AH45" i="6"/>
  <c r="AH55" i="6" s="1"/>
  <c r="Z45" i="6"/>
  <c r="Z55" i="6" s="1"/>
  <c r="BL45" i="6"/>
  <c r="BL55" i="6" s="1"/>
  <c r="BL54" i="6" s="1"/>
  <c r="BD45" i="6"/>
  <c r="BD55" i="6" s="1"/>
  <c r="BD54" i="6" s="1"/>
  <c r="AV45" i="6"/>
  <c r="AV55" i="6" s="1"/>
  <c r="AV54" i="6" s="1"/>
  <c r="AN45" i="6"/>
  <c r="AN55" i="6" s="1"/>
  <c r="AF45" i="6"/>
  <c r="AF55" i="6" s="1"/>
  <c r="X45" i="6"/>
  <c r="X55" i="6" s="1"/>
  <c r="BM45" i="6"/>
  <c r="BM55" i="6" s="1"/>
  <c r="AW45" i="6"/>
  <c r="AW55" i="6" s="1"/>
  <c r="AG45" i="6"/>
  <c r="AG55" i="6" s="1"/>
  <c r="AG54" i="6" s="1"/>
  <c r="BK45" i="6"/>
  <c r="BK55" i="6" s="1"/>
  <c r="BK54" i="6" s="1"/>
  <c r="AU45" i="6"/>
  <c r="AU55" i="6" s="1"/>
  <c r="AU54" i="6" s="1"/>
  <c r="AE45" i="6"/>
  <c r="AE55" i="6" s="1"/>
  <c r="AE54" i="6" s="1"/>
  <c r="BI45" i="6"/>
  <c r="BI55" i="6" s="1"/>
  <c r="AC45" i="6"/>
  <c r="AC55" i="6" s="1"/>
  <c r="BJ45" i="6"/>
  <c r="BJ55" i="6" s="1"/>
  <c r="BJ54" i="6" s="1"/>
  <c r="AT45" i="6"/>
  <c r="AT55" i="6" s="1"/>
  <c r="AT54" i="6" s="1"/>
  <c r="AD45" i="6"/>
  <c r="AD55" i="6" s="1"/>
  <c r="AD54" i="6" s="1"/>
  <c r="AS45" i="6"/>
  <c r="AS55" i="6" s="1"/>
  <c r="AS54" i="6" s="1"/>
  <c r="BE45" i="6"/>
  <c r="BE55" i="6" s="1"/>
  <c r="AO45" i="6"/>
  <c r="AO55" i="6" s="1"/>
  <c r="Y45" i="6"/>
  <c r="Y55" i="6" s="1"/>
  <c r="BC45" i="6"/>
  <c r="BC55" i="6" s="1"/>
  <c r="BC54" i="6" s="1"/>
  <c r="AM45" i="6"/>
  <c r="AM55" i="6" s="1"/>
  <c r="AM54" i="6" s="1"/>
  <c r="W45" i="6"/>
  <c r="W55" i="6" s="1"/>
  <c r="W54" i="6" s="1"/>
  <c r="BB45" i="6"/>
  <c r="BB55" i="6" s="1"/>
  <c r="BB54" i="6" s="1"/>
  <c r="AL45" i="6"/>
  <c r="AL55" i="6" s="1"/>
  <c r="AL54" i="6" s="1"/>
  <c r="V45" i="6"/>
  <c r="V55" i="6" s="1"/>
  <c r="V54" i="6" s="1"/>
  <c r="BA45" i="6"/>
  <c r="BA55" i="6" s="1"/>
  <c r="AK45" i="6"/>
  <c r="AK55" i="6" s="1"/>
  <c r="U45" i="6"/>
  <c r="U55" i="6" s="1"/>
  <c r="BO56" i="6" a="1"/>
  <c r="BO56" i="6" s="1"/>
  <c r="I137" i="6"/>
  <c r="I145" i="6"/>
  <c r="I118" i="6"/>
  <c r="BO7" i="7"/>
  <c r="B59" i="7" s="1"/>
  <c r="B58" i="7"/>
  <c r="BO168" i="6"/>
  <c r="I168" i="6" s="1"/>
  <c r="BO161" i="6"/>
  <c r="I161" i="6" s="1"/>
  <c r="BO165" i="6"/>
  <c r="I165" i="6" s="1"/>
  <c r="BO159" i="6"/>
  <c r="I159" i="6" s="1"/>
  <c r="BO53" i="6"/>
  <c r="I53" i="6" s="1"/>
  <c r="BO11" i="6"/>
  <c r="BO8" i="6" s="1"/>
  <c r="BO7" i="6" a="1"/>
  <c r="BO7" i="6" s="1"/>
  <c r="BO10" i="6"/>
  <c r="B151" i="6"/>
  <c r="BN164" i="6"/>
  <c r="BO164" i="6" s="1"/>
  <c r="I164" i="6" s="1"/>
  <c r="I124" i="6"/>
  <c r="I117" i="6"/>
  <c r="BN162" i="6"/>
  <c r="I119" i="6"/>
  <c r="I149" i="6"/>
  <c r="T62" i="7"/>
  <c r="U62" i="7"/>
  <c r="V62" i="7"/>
  <c r="W62" i="7"/>
  <c r="X62" i="7"/>
  <c r="Y62" i="7"/>
  <c r="Z62" i="7"/>
  <c r="AA62" i="7"/>
  <c r="AB62" i="7"/>
  <c r="AC62" i="7"/>
  <c r="AD62" i="7"/>
  <c r="AE62" i="7"/>
  <c r="AF62" i="7"/>
  <c r="AG62" i="7"/>
  <c r="AH62" i="7"/>
  <c r="AI62" i="7"/>
  <c r="AJ62" i="7"/>
  <c r="AK62" i="7"/>
  <c r="AL62" i="7"/>
  <c r="AM62" i="7"/>
  <c r="AN62" i="7"/>
  <c r="AO62" i="7"/>
  <c r="AP62" i="7"/>
  <c r="AQ62" i="7"/>
  <c r="AR62" i="7"/>
  <c r="AS62" i="7"/>
  <c r="AT62" i="7"/>
  <c r="AU62" i="7"/>
  <c r="AV62" i="7"/>
  <c r="AW62" i="7"/>
  <c r="AX62" i="7"/>
  <c r="AY62" i="7"/>
  <c r="AZ62" i="7"/>
  <c r="BA62" i="7"/>
  <c r="BB62" i="7"/>
  <c r="BC62" i="7"/>
  <c r="BD62" i="7"/>
  <c r="BE62" i="7"/>
  <c r="BF62" i="7"/>
  <c r="BG62" i="7"/>
  <c r="BH62" i="7"/>
  <c r="BI62" i="7"/>
  <c r="BJ62" i="7"/>
  <c r="BK62" i="7"/>
  <c r="BL62" i="7"/>
  <c r="BM62" i="7"/>
  <c r="BN62" i="7"/>
  <c r="AA54" i="6" l="1"/>
  <c r="AN54" i="6"/>
  <c r="BO163" i="6"/>
  <c r="I163" i="6" s="1"/>
  <c r="BO9" i="6"/>
  <c r="BO166" i="6"/>
  <c r="X54" i="6"/>
  <c r="X172" i="6" s="1"/>
  <c r="BO162" i="6"/>
  <c r="I162" i="6" s="1"/>
  <c r="BO52" i="6"/>
  <c r="BO151" i="6" s="1"/>
  <c r="I151" i="6" s="1"/>
  <c r="AF54" i="6"/>
  <c r="AR54" i="6"/>
  <c r="BM54" i="6"/>
  <c r="BM156" i="6" s="1"/>
  <c r="AH54" i="6"/>
  <c r="AH177" i="6" s="1"/>
  <c r="AY54" i="6"/>
  <c r="AY156" i="6" s="1"/>
  <c r="BH54" i="6"/>
  <c r="BH172" i="6" s="1"/>
  <c r="AI54" i="6"/>
  <c r="AI156" i="6" s="1"/>
  <c r="BG54" i="6"/>
  <c r="BG172" i="6" s="1"/>
  <c r="AQ54" i="6"/>
  <c r="AQ172" i="6" s="1"/>
  <c r="AP64" i="7"/>
  <c r="AP63" i="7"/>
  <c r="AL177" i="6"/>
  <c r="AL153" i="6"/>
  <c r="AL172" i="6"/>
  <c r="AL51" i="6"/>
  <c r="AL156" i="6"/>
  <c r="AW64" i="7"/>
  <c r="AW63" i="7"/>
  <c r="AG63" i="7"/>
  <c r="AG64" i="7"/>
  <c r="Y64" i="7"/>
  <c r="Y63" i="7"/>
  <c r="BO152" i="6"/>
  <c r="I52" i="6"/>
  <c r="BB177" i="6"/>
  <c r="BB172" i="6"/>
  <c r="BB153" i="6"/>
  <c r="BB51" i="6"/>
  <c r="BB156" i="6"/>
  <c r="AD153" i="6"/>
  <c r="AD177" i="6"/>
  <c r="AD172" i="6"/>
  <c r="AD51" i="6"/>
  <c r="AD156" i="6"/>
  <c r="AG172" i="6"/>
  <c r="AG177" i="6"/>
  <c r="AG153" i="6"/>
  <c r="AG51" i="6"/>
  <c r="AG156" i="6"/>
  <c r="BL177" i="6"/>
  <c r="BL153" i="6"/>
  <c r="BL172" i="6"/>
  <c r="BL51" i="6"/>
  <c r="BL156" i="6"/>
  <c r="AR172" i="6"/>
  <c r="AR177" i="6"/>
  <c r="AR153" i="6"/>
  <c r="AR51" i="6"/>
  <c r="AR156" i="6"/>
  <c r="I192" i="6"/>
  <c r="T191" i="6"/>
  <c r="I191" i="6" s="1"/>
  <c r="I56" i="6"/>
  <c r="BL63" i="7"/>
  <c r="BL64" i="7"/>
  <c r="BD63" i="7"/>
  <c r="BD64" i="7"/>
  <c r="AV63" i="7"/>
  <c r="AV64" i="7"/>
  <c r="AN63" i="7"/>
  <c r="AN64" i="7"/>
  <c r="AF63" i="7"/>
  <c r="AF64" i="7"/>
  <c r="X64" i="7"/>
  <c r="X63" i="7"/>
  <c r="W177" i="6"/>
  <c r="W172" i="6"/>
  <c r="W153" i="6"/>
  <c r="W51" i="6"/>
  <c r="W156" i="6"/>
  <c r="AT172" i="6"/>
  <c r="AT177" i="6"/>
  <c r="AT153" i="6"/>
  <c r="AT51" i="6"/>
  <c r="AT156" i="6"/>
  <c r="AW54" i="6"/>
  <c r="Z54" i="6"/>
  <c r="AZ54" i="6"/>
  <c r="BN64" i="7"/>
  <c r="BN63" i="7"/>
  <c r="AE63" i="7"/>
  <c r="AE64" i="7"/>
  <c r="I150" i="6"/>
  <c r="AX64" i="7"/>
  <c r="AX63" i="7"/>
  <c r="AA177" i="6"/>
  <c r="AA172" i="6"/>
  <c r="AA153" i="6"/>
  <c r="AA51" i="6"/>
  <c r="AA156" i="6"/>
  <c r="AT64" i="7"/>
  <c r="AT63" i="7"/>
  <c r="Z64" i="7"/>
  <c r="Z63" i="7"/>
  <c r="BE64" i="7"/>
  <c r="BE63" i="7"/>
  <c r="BC63" i="7"/>
  <c r="BC64" i="7"/>
  <c r="W63" i="7"/>
  <c r="W64" i="7"/>
  <c r="I166" i="6"/>
  <c r="AM177" i="6"/>
  <c r="AM153" i="6"/>
  <c r="AM172" i="6"/>
  <c r="AM51" i="6"/>
  <c r="AM156" i="6"/>
  <c r="BJ177" i="6"/>
  <c r="BJ153" i="6"/>
  <c r="BJ172" i="6"/>
  <c r="BJ51" i="6"/>
  <c r="BJ156" i="6"/>
  <c r="BM177" i="6"/>
  <c r="BM172" i="6"/>
  <c r="BM153" i="6"/>
  <c r="BM51" i="6"/>
  <c r="AH172" i="6"/>
  <c r="AH153" i="6"/>
  <c r="AH51" i="6"/>
  <c r="AH156" i="6"/>
  <c r="AY172" i="6"/>
  <c r="AL64" i="7"/>
  <c r="AL63" i="7"/>
  <c r="BI63" i="7"/>
  <c r="BI64" i="7"/>
  <c r="BA63" i="7"/>
  <c r="BA64" i="7"/>
  <c r="AS63" i="7"/>
  <c r="AS64" i="7"/>
  <c r="AK63" i="7"/>
  <c r="AK64" i="7"/>
  <c r="AC63" i="7"/>
  <c r="AC64" i="7"/>
  <c r="U63" i="7"/>
  <c r="U64" i="7"/>
  <c r="BO160" i="6"/>
  <c r="I160" i="6" s="1"/>
  <c r="BO154" i="6"/>
  <c r="I154" i="6" s="1"/>
  <c r="AK54" i="6"/>
  <c r="Y54" i="6"/>
  <c r="BI54" i="6"/>
  <c r="AF177" i="6"/>
  <c r="AF172" i="6"/>
  <c r="AF153" i="6"/>
  <c r="AF51" i="6"/>
  <c r="AF156" i="6"/>
  <c r="AX54" i="6"/>
  <c r="AH64" i="7"/>
  <c r="AH63" i="7"/>
  <c r="AS177" i="6"/>
  <c r="AS172" i="6"/>
  <c r="AS153" i="6"/>
  <c r="AS51" i="6"/>
  <c r="AS156" i="6"/>
  <c r="BK177" i="6"/>
  <c r="BK172" i="6"/>
  <c r="BK153" i="6"/>
  <c r="BK51" i="6"/>
  <c r="BK156" i="6"/>
  <c r="BD177" i="6"/>
  <c r="BD153" i="6"/>
  <c r="BD172" i="6"/>
  <c r="BD51" i="6"/>
  <c r="BD156" i="6"/>
  <c r="AJ172" i="6"/>
  <c r="AJ177" i="6"/>
  <c r="AJ153" i="6"/>
  <c r="AJ51" i="6"/>
  <c r="AJ156" i="6"/>
  <c r="AO64" i="7"/>
  <c r="AO63" i="7"/>
  <c r="AU63" i="7"/>
  <c r="AU64" i="7"/>
  <c r="BJ63" i="7"/>
  <c r="BJ64" i="7"/>
  <c r="AD63" i="7"/>
  <c r="AD64" i="7"/>
  <c r="BH64" i="7"/>
  <c r="BH63" i="7"/>
  <c r="AZ64" i="7"/>
  <c r="AZ63" i="7"/>
  <c r="AR64" i="7"/>
  <c r="AR63" i="7"/>
  <c r="AJ64" i="7"/>
  <c r="AJ63" i="7"/>
  <c r="AB64" i="7"/>
  <c r="AB63" i="7"/>
  <c r="T64" i="7"/>
  <c r="T63" i="7"/>
  <c r="I62" i="7"/>
  <c r="BA54" i="6"/>
  <c r="AO54" i="6"/>
  <c r="AE177" i="6"/>
  <c r="AE172" i="6"/>
  <c r="AE153" i="6"/>
  <c r="AE51" i="6"/>
  <c r="AE156" i="6"/>
  <c r="AN153" i="6"/>
  <c r="AN172" i="6"/>
  <c r="AN177" i="6"/>
  <c r="AN51" i="6"/>
  <c r="AN156" i="6"/>
  <c r="BF54" i="6"/>
  <c r="T55" i="6"/>
  <c r="I45" i="6"/>
  <c r="BO63" i="7"/>
  <c r="BF64" i="7"/>
  <c r="BF63" i="7"/>
  <c r="BM63" i="7"/>
  <c r="BM64" i="7"/>
  <c r="BK64" i="7"/>
  <c r="BK63" i="7"/>
  <c r="AM63" i="7"/>
  <c r="AM64" i="7"/>
  <c r="BB64" i="7"/>
  <c r="BB63" i="7"/>
  <c r="V63" i="7"/>
  <c r="V64" i="7"/>
  <c r="BO167" i="6"/>
  <c r="I167" i="6" s="1"/>
  <c r="U54" i="6"/>
  <c r="BC177" i="6"/>
  <c r="BC153" i="6"/>
  <c r="BC172" i="6"/>
  <c r="BC51" i="6"/>
  <c r="BC156" i="6"/>
  <c r="AC54" i="6"/>
  <c r="AP54" i="6"/>
  <c r="BG64" i="7"/>
  <c r="BG63" i="7"/>
  <c r="AY64" i="7"/>
  <c r="AY63" i="7"/>
  <c r="AQ64" i="7"/>
  <c r="AQ63" i="7"/>
  <c r="AI64" i="7"/>
  <c r="AI63" i="7"/>
  <c r="AA64" i="7"/>
  <c r="AA63" i="7"/>
  <c r="V177" i="6"/>
  <c r="V172" i="6"/>
  <c r="V153" i="6"/>
  <c r="V51" i="6"/>
  <c r="V156" i="6"/>
  <c r="BE54" i="6"/>
  <c r="AU177" i="6"/>
  <c r="AU172" i="6"/>
  <c r="AU153" i="6"/>
  <c r="AU51" i="6"/>
  <c r="AU156" i="6"/>
  <c r="AV153" i="6"/>
  <c r="AV177" i="6"/>
  <c r="AV172" i="6"/>
  <c r="AV51" i="6"/>
  <c r="AV156" i="6"/>
  <c r="BN54" i="6"/>
  <c r="AB54" i="6"/>
  <c r="BO64" i="7"/>
  <c r="X153" i="6" l="1"/>
  <c r="X51" i="6"/>
  <c r="X156" i="6"/>
  <c r="X177" i="6"/>
  <c r="AY153" i="6"/>
  <c r="AY179" i="6" s="1"/>
  <c r="AY187" i="6" s="1"/>
  <c r="AY177" i="6"/>
  <c r="BH156" i="6"/>
  <c r="AQ177" i="6"/>
  <c r="AQ156" i="6"/>
  <c r="AI153" i="6"/>
  <c r="AI179" i="6" s="1"/>
  <c r="AI187" i="6" s="1"/>
  <c r="BG177" i="6"/>
  <c r="AY51" i="6"/>
  <c r="BH51" i="6"/>
  <c r="AI177" i="6"/>
  <c r="BH153" i="6"/>
  <c r="BH179" i="6" s="1"/>
  <c r="BH187" i="6" s="1"/>
  <c r="AQ51" i="6"/>
  <c r="BH177" i="6"/>
  <c r="BG153" i="6"/>
  <c r="BG171" i="6" s="1"/>
  <c r="AQ153" i="6"/>
  <c r="AQ171" i="6" s="1"/>
  <c r="AI172" i="6"/>
  <c r="BG156" i="6"/>
  <c r="BG51" i="6"/>
  <c r="AI51" i="6"/>
  <c r="BO54" i="6"/>
  <c r="BO153" i="6" s="1"/>
  <c r="BO179" i="6" s="1"/>
  <c r="BO187" i="6" s="1"/>
  <c r="BL179" i="6"/>
  <c r="BL187" i="6" s="1"/>
  <c r="BL171" i="6"/>
  <c r="Y65" i="7"/>
  <c r="Y42" i="6"/>
  <c r="V179" i="6"/>
  <c r="V187" i="6" s="1"/>
  <c r="V171" i="6"/>
  <c r="AU171" i="6"/>
  <c r="AU179" i="6"/>
  <c r="AU187" i="6" s="1"/>
  <c r="AY65" i="7"/>
  <c r="AY42" i="6"/>
  <c r="AC177" i="6"/>
  <c r="AC172" i="6"/>
  <c r="AC153" i="6"/>
  <c r="AC51" i="6"/>
  <c r="AC156" i="6"/>
  <c r="BK65" i="7"/>
  <c r="BK42" i="6"/>
  <c r="BF172" i="6"/>
  <c r="BF153" i="6"/>
  <c r="BF177" i="6"/>
  <c r="BF51" i="6"/>
  <c r="BF156" i="6"/>
  <c r="I63" i="7"/>
  <c r="AU65" i="7"/>
  <c r="AU42" i="6"/>
  <c r="BI172" i="6"/>
  <c r="BI177" i="6"/>
  <c r="BI153" i="6"/>
  <c r="BI51" i="6"/>
  <c r="BI156" i="6"/>
  <c r="BJ179" i="6"/>
  <c r="BJ187" i="6" s="1"/>
  <c r="BJ171" i="6"/>
  <c r="AN65" i="7"/>
  <c r="AN42" i="6"/>
  <c r="AG179" i="6"/>
  <c r="AG187" i="6" s="1"/>
  <c r="AG171" i="6"/>
  <c r="AD179" i="6"/>
  <c r="AD187" i="6" s="1"/>
  <c r="AD171" i="6"/>
  <c r="V65" i="7"/>
  <c r="V42" i="6"/>
  <c r="BM65" i="7"/>
  <c r="BM42" i="6"/>
  <c r="I64" i="7"/>
  <c r="T65" i="7"/>
  <c r="T42" i="6"/>
  <c r="AZ65" i="7"/>
  <c r="AZ42" i="6"/>
  <c r="AS171" i="6"/>
  <c r="AS179" i="6"/>
  <c r="AS187" i="6" s="1"/>
  <c r="AX177" i="6"/>
  <c r="AX172" i="6"/>
  <c r="AX153" i="6"/>
  <c r="AX51" i="6"/>
  <c r="AX156" i="6"/>
  <c r="Y177" i="6"/>
  <c r="Y172" i="6"/>
  <c r="Y153" i="6"/>
  <c r="Y51" i="6"/>
  <c r="Y156" i="6"/>
  <c r="AK65" i="7"/>
  <c r="AK42" i="6"/>
  <c r="BM179" i="6"/>
  <c r="BM187" i="6" s="1"/>
  <c r="BM171" i="6"/>
  <c r="Z65" i="7"/>
  <c r="Z42" i="6"/>
  <c r="W171" i="6"/>
  <c r="W179" i="6"/>
  <c r="W187" i="6" s="1"/>
  <c r="I152" i="6"/>
  <c r="AP172" i="6"/>
  <c r="AP177" i="6"/>
  <c r="AP153" i="6"/>
  <c r="AP51" i="6"/>
  <c r="AP156" i="6"/>
  <c r="BE177" i="6"/>
  <c r="BE172" i="6"/>
  <c r="BE153" i="6"/>
  <c r="BE51" i="6"/>
  <c r="BE156" i="6"/>
  <c r="AA65" i="7"/>
  <c r="AA42" i="6"/>
  <c r="BG65" i="7"/>
  <c r="BG42" i="6"/>
  <c r="AE179" i="6"/>
  <c r="AE187" i="6" s="1"/>
  <c r="AE171" i="6"/>
  <c r="AK177" i="6"/>
  <c r="AK153" i="6"/>
  <c r="AK172" i="6"/>
  <c r="AK51" i="6"/>
  <c r="AK156" i="6"/>
  <c r="AL65" i="7"/>
  <c r="AL42" i="6"/>
  <c r="W65" i="7"/>
  <c r="W42" i="6"/>
  <c r="AV65" i="7"/>
  <c r="AV42" i="6"/>
  <c r="AD65" i="7"/>
  <c r="AD42" i="6"/>
  <c r="AH179" i="6"/>
  <c r="AH187" i="6" s="1"/>
  <c r="AH171" i="6"/>
  <c r="BC65" i="7"/>
  <c r="BC42" i="6"/>
  <c r="BD65" i="7"/>
  <c r="BD42" i="6"/>
  <c r="BB171" i="6"/>
  <c r="BB179" i="6"/>
  <c r="BB187" i="6" s="1"/>
  <c r="AG65" i="7"/>
  <c r="AG42" i="6"/>
  <c r="AL179" i="6"/>
  <c r="AL187" i="6" s="1"/>
  <c r="AL171" i="6"/>
  <c r="BN177" i="6"/>
  <c r="BN153" i="6"/>
  <c r="BN172" i="6"/>
  <c r="BN51" i="6"/>
  <c r="X179" i="6"/>
  <c r="X187" i="6" s="1"/>
  <c r="X171" i="6"/>
  <c r="BC179" i="6"/>
  <c r="BC187" i="6" s="1"/>
  <c r="BC171" i="6"/>
  <c r="AM65" i="7"/>
  <c r="AM42" i="6"/>
  <c r="AO177" i="6"/>
  <c r="AO172" i="6"/>
  <c r="AO153" i="6"/>
  <c r="AO51" i="6"/>
  <c r="AO156" i="6"/>
  <c r="AJ65" i="7"/>
  <c r="AJ42" i="6"/>
  <c r="AH65" i="7"/>
  <c r="AH42" i="6"/>
  <c r="AF171" i="6"/>
  <c r="AF179" i="6"/>
  <c r="AF187" i="6" s="1"/>
  <c r="U65" i="7"/>
  <c r="U42" i="6"/>
  <c r="BA65" i="7"/>
  <c r="BA42" i="6"/>
  <c r="X65" i="7"/>
  <c r="X42" i="6"/>
  <c r="BO65" i="7"/>
  <c r="BO42" i="6"/>
  <c r="BH65" i="7"/>
  <c r="BH42" i="6"/>
  <c r="AT65" i="7"/>
  <c r="AT42" i="6"/>
  <c r="AE65" i="7"/>
  <c r="AE42" i="6"/>
  <c r="AT171" i="6"/>
  <c r="AT179" i="6"/>
  <c r="AT187" i="6" s="1"/>
  <c r="AB172" i="6"/>
  <c r="AB153" i="6"/>
  <c r="AB177" i="6"/>
  <c r="AB51" i="6"/>
  <c r="AB156" i="6"/>
  <c r="AI65" i="7"/>
  <c r="AI42" i="6"/>
  <c r="BB65" i="7"/>
  <c r="BB42" i="6"/>
  <c r="BF65" i="7"/>
  <c r="BF42" i="6"/>
  <c r="AQ65" i="7"/>
  <c r="AQ42" i="6"/>
  <c r="AN171" i="6"/>
  <c r="AN179" i="6"/>
  <c r="AN187" i="6" s="1"/>
  <c r="BA177" i="6"/>
  <c r="BA153" i="6"/>
  <c r="BA172" i="6"/>
  <c r="BA51" i="6"/>
  <c r="BA156" i="6"/>
  <c r="BJ65" i="7"/>
  <c r="BJ42" i="6"/>
  <c r="BD179" i="6"/>
  <c r="BD187" i="6" s="1"/>
  <c r="BD171" i="6"/>
  <c r="BN156" i="6"/>
  <c r="AY171" i="6"/>
  <c r="AM179" i="6"/>
  <c r="AM187" i="6" s="1"/>
  <c r="AM171" i="6"/>
  <c r="BN65" i="7"/>
  <c r="BN42" i="6"/>
  <c r="Z172" i="6"/>
  <c r="Z153" i="6"/>
  <c r="Z177" i="6"/>
  <c r="Z51" i="6"/>
  <c r="Z156" i="6"/>
  <c r="AF65" i="7"/>
  <c r="AF42" i="6"/>
  <c r="BL65" i="7"/>
  <c r="BL42" i="6"/>
  <c r="AR179" i="6"/>
  <c r="AR187" i="6" s="1"/>
  <c r="AR171" i="6"/>
  <c r="AV179" i="6"/>
  <c r="AV187" i="6" s="1"/>
  <c r="AV171" i="6"/>
  <c r="AB65" i="7"/>
  <c r="AB42" i="6"/>
  <c r="AO65" i="7"/>
  <c r="AO42" i="6"/>
  <c r="BK171" i="6"/>
  <c r="BK179" i="6"/>
  <c r="BK187" i="6" s="1"/>
  <c r="AS65" i="7"/>
  <c r="AS42" i="6"/>
  <c r="AX65" i="7"/>
  <c r="AX42" i="6"/>
  <c r="U177" i="6"/>
  <c r="U172" i="6"/>
  <c r="U153" i="6"/>
  <c r="U51" i="6"/>
  <c r="U156" i="6"/>
  <c r="I55" i="6"/>
  <c r="T54" i="6"/>
  <c r="AR65" i="7"/>
  <c r="AR42" i="6"/>
  <c r="AJ179" i="6"/>
  <c r="AJ187" i="6" s="1"/>
  <c r="AJ171" i="6"/>
  <c r="AC65" i="7"/>
  <c r="AC42" i="6"/>
  <c r="BI65" i="7"/>
  <c r="BI42" i="6"/>
  <c r="BE65" i="7"/>
  <c r="BE42" i="6"/>
  <c r="AA171" i="6"/>
  <c r="AA179" i="6"/>
  <c r="AA187" i="6" s="1"/>
  <c r="AZ172" i="6"/>
  <c r="AZ177" i="6"/>
  <c r="AZ153" i="6"/>
  <c r="AZ51" i="6"/>
  <c r="AZ156" i="6"/>
  <c r="AW172" i="6"/>
  <c r="AW153" i="6"/>
  <c r="AW177" i="6"/>
  <c r="AW51" i="6"/>
  <c r="AW156" i="6"/>
  <c r="AW65" i="7"/>
  <c r="AW42" i="6"/>
  <c r="AP65" i="7"/>
  <c r="AP42" i="6"/>
  <c r="AQ179" i="6" l="1"/>
  <c r="AQ187" i="6" s="1"/>
  <c r="BG179" i="6"/>
  <c r="BG187" i="6" s="1"/>
  <c r="AI171" i="6"/>
  <c r="BH171" i="6"/>
  <c r="BH176" i="6" s="1"/>
  <c r="BO156" i="6"/>
  <c r="BO172" i="6"/>
  <c r="BO51" i="6"/>
  <c r="BO177" i="6"/>
  <c r="AY183" i="6"/>
  <c r="AY174" i="6"/>
  <c r="AY173" i="6"/>
  <c r="AY175" i="6"/>
  <c r="AY176" i="6"/>
  <c r="AT176" i="6"/>
  <c r="AT174" i="6"/>
  <c r="AT183" i="6"/>
  <c r="AT175" i="6"/>
  <c r="AT173" i="6"/>
  <c r="AO179" i="6"/>
  <c r="AO187" i="6" s="1"/>
  <c r="AO171" i="6"/>
  <c r="AA183" i="6"/>
  <c r="AA173" i="6"/>
  <c r="AA174" i="6"/>
  <c r="AA176" i="6"/>
  <c r="AA175" i="6"/>
  <c r="U179" i="6"/>
  <c r="U187" i="6" s="1"/>
  <c r="U171" i="6"/>
  <c r="BG183" i="6"/>
  <c r="BG175" i="6"/>
  <c r="BG174" i="6"/>
  <c r="BG173" i="6"/>
  <c r="BG176" i="6"/>
  <c r="X183" i="6"/>
  <c r="X176" i="6"/>
  <c r="X175" i="6"/>
  <c r="X174" i="6"/>
  <c r="X173" i="6"/>
  <c r="AS173" i="6"/>
  <c r="AS175" i="6"/>
  <c r="AS174" i="6"/>
  <c r="AS176" i="6"/>
  <c r="AS183" i="6"/>
  <c r="BJ174" i="6"/>
  <c r="BJ183" i="6"/>
  <c r="BJ173" i="6"/>
  <c r="BJ176" i="6"/>
  <c r="BJ175" i="6"/>
  <c r="AK171" i="6"/>
  <c r="AK179" i="6"/>
  <c r="AK187" i="6" s="1"/>
  <c r="AU183" i="6"/>
  <c r="AU175" i="6"/>
  <c r="AU174" i="6"/>
  <c r="AU173" i="6"/>
  <c r="AU176" i="6"/>
  <c r="BH183" i="6"/>
  <c r="BH175" i="6"/>
  <c r="AD174" i="6"/>
  <c r="AD175" i="6"/>
  <c r="AD173" i="6"/>
  <c r="AD183" i="6"/>
  <c r="AD176" i="6"/>
  <c r="V174" i="6"/>
  <c r="V175" i="6"/>
  <c r="V183" i="6"/>
  <c r="V176" i="6"/>
  <c r="V173" i="6"/>
  <c r="T172" i="6"/>
  <c r="T177" i="6"/>
  <c r="T153" i="6"/>
  <c r="I54" i="6"/>
  <c r="T51" i="6"/>
  <c r="T48" i="6"/>
  <c r="U48" i="6" s="1"/>
  <c r="V48" i="6" s="1"/>
  <c r="W48" i="6" s="1"/>
  <c r="X48" i="6" s="1"/>
  <c r="Y48" i="6" s="1"/>
  <c r="Z48" i="6" s="1"/>
  <c r="AA48" i="6" s="1"/>
  <c r="AB48" i="6" s="1"/>
  <c r="AC48" i="6" s="1"/>
  <c r="AD48" i="6" s="1"/>
  <c r="AE48" i="6" s="1"/>
  <c r="AF48" i="6" s="1"/>
  <c r="AG48" i="6" s="1"/>
  <c r="AH48" i="6" s="1"/>
  <c r="AI48" i="6" s="1"/>
  <c r="AJ48" i="6" s="1"/>
  <c r="AK48" i="6" s="1"/>
  <c r="AL48" i="6" s="1"/>
  <c r="AM48" i="6" s="1"/>
  <c r="AN48" i="6" s="1"/>
  <c r="AO48" i="6" s="1"/>
  <c r="AP48" i="6" s="1"/>
  <c r="AQ48" i="6" s="1"/>
  <c r="AR48" i="6" s="1"/>
  <c r="AS48" i="6" s="1"/>
  <c r="AT48" i="6" s="1"/>
  <c r="AU48" i="6" s="1"/>
  <c r="AV48" i="6" s="1"/>
  <c r="AW48" i="6" s="1"/>
  <c r="AX48" i="6" s="1"/>
  <c r="AY48" i="6" s="1"/>
  <c r="AZ48" i="6" s="1"/>
  <c r="BA48" i="6" s="1"/>
  <c r="BB48" i="6" s="1"/>
  <c r="BC48" i="6" s="1"/>
  <c r="BD48" i="6" s="1"/>
  <c r="BE48" i="6" s="1"/>
  <c r="BF48" i="6" s="1"/>
  <c r="BG48" i="6" s="1"/>
  <c r="BH48" i="6" s="1"/>
  <c r="BI48" i="6" s="1"/>
  <c r="BJ48" i="6" s="1"/>
  <c r="BK48" i="6" s="1"/>
  <c r="BL48" i="6" s="1"/>
  <c r="BM48" i="6" s="1"/>
  <c r="BN48" i="6" s="1"/>
  <c r="BO48" i="6" s="1"/>
  <c r="T156" i="6"/>
  <c r="AQ183" i="6"/>
  <c r="AQ176" i="6"/>
  <c r="AQ173" i="6"/>
  <c r="AQ175" i="6"/>
  <c r="AQ174" i="6"/>
  <c r="Z179" i="6"/>
  <c r="Z187" i="6" s="1"/>
  <c r="Z171" i="6"/>
  <c r="AH176" i="6"/>
  <c r="AH183" i="6"/>
  <c r="AH175" i="6"/>
  <c r="AH174" i="6"/>
  <c r="AH173" i="6"/>
  <c r="AE175" i="6"/>
  <c r="AE174" i="6"/>
  <c r="AE183" i="6"/>
  <c r="AE176" i="6"/>
  <c r="AE173" i="6"/>
  <c r="I42" i="6"/>
  <c r="AC171" i="6"/>
  <c r="AC179" i="6"/>
  <c r="AC187" i="6" s="1"/>
  <c r="BA179" i="6"/>
  <c r="BA187" i="6" s="1"/>
  <c r="BA171" i="6"/>
  <c r="AX179" i="6"/>
  <c r="AX187" i="6" s="1"/>
  <c r="AX171" i="6"/>
  <c r="BF179" i="6"/>
  <c r="BF187" i="6" s="1"/>
  <c r="BF171" i="6"/>
  <c r="BI179" i="6"/>
  <c r="BI187" i="6" s="1"/>
  <c r="BI171" i="6"/>
  <c r="AR183" i="6"/>
  <c r="AR176" i="6"/>
  <c r="AR173" i="6"/>
  <c r="AR175" i="6"/>
  <c r="AR174" i="6"/>
  <c r="AF176" i="6"/>
  <c r="AF183" i="6"/>
  <c r="AF175" i="6"/>
  <c r="AF174" i="6"/>
  <c r="AF173" i="6"/>
  <c r="AZ179" i="6"/>
  <c r="AZ187" i="6" s="1"/>
  <c r="AZ171" i="6"/>
  <c r="BB174" i="6"/>
  <c r="BB176" i="6"/>
  <c r="BB173" i="6"/>
  <c r="BB183" i="6"/>
  <c r="BB175" i="6"/>
  <c r="BE179" i="6"/>
  <c r="BE187" i="6" s="1"/>
  <c r="BE171" i="6"/>
  <c r="AG175" i="6"/>
  <c r="AG173" i="6"/>
  <c r="AG176" i="6"/>
  <c r="AG183" i="6"/>
  <c r="AG174" i="6"/>
  <c r="AI183" i="6"/>
  <c r="AI173" i="6"/>
  <c r="AI175" i="6"/>
  <c r="AI174" i="6"/>
  <c r="AI176" i="6"/>
  <c r="AB179" i="6"/>
  <c r="AB187" i="6" s="1"/>
  <c r="AB171" i="6"/>
  <c r="BC176" i="6"/>
  <c r="BC173" i="6"/>
  <c r="BC175" i="6"/>
  <c r="BC174" i="6"/>
  <c r="BC183" i="6"/>
  <c r="BO171" i="6"/>
  <c r="Y171" i="6"/>
  <c r="Y179" i="6"/>
  <c r="Y187" i="6" s="1"/>
  <c r="BL176" i="6"/>
  <c r="BL174" i="6"/>
  <c r="BL173" i="6"/>
  <c r="BL183" i="6"/>
  <c r="BL175" i="6"/>
  <c r="W183" i="6"/>
  <c r="W176" i="6"/>
  <c r="W175" i="6"/>
  <c r="W174" i="6"/>
  <c r="W173" i="6"/>
  <c r="BK173" i="6"/>
  <c r="BK176" i="6"/>
  <c r="BK174" i="6"/>
  <c r="BK183" i="6"/>
  <c r="BK175" i="6"/>
  <c r="AP179" i="6"/>
  <c r="AP187" i="6" s="1"/>
  <c r="AP171" i="6"/>
  <c r="BD176" i="6"/>
  <c r="BD175" i="6"/>
  <c r="BD174" i="6"/>
  <c r="BD183" i="6"/>
  <c r="BD173" i="6"/>
  <c r="I65" i="7"/>
  <c r="BN179" i="6"/>
  <c r="BN187" i="6" s="1"/>
  <c r="BN171" i="6"/>
  <c r="AW179" i="6"/>
  <c r="AW187" i="6" s="1"/>
  <c r="AW171" i="6"/>
  <c r="AJ183" i="6"/>
  <c r="AJ173" i="6"/>
  <c r="AJ174" i="6"/>
  <c r="AJ176" i="6"/>
  <c r="AJ175" i="6"/>
  <c r="AV183" i="6"/>
  <c r="AV175" i="6"/>
  <c r="AV174" i="6"/>
  <c r="AV173" i="6"/>
  <c r="AV176" i="6"/>
  <c r="AM183" i="6"/>
  <c r="AM175" i="6"/>
  <c r="AM174" i="6"/>
  <c r="AM176" i="6"/>
  <c r="AM173" i="6"/>
  <c r="AN175" i="6"/>
  <c r="AN174" i="6"/>
  <c r="AN176" i="6"/>
  <c r="AN173" i="6"/>
  <c r="AN183" i="6"/>
  <c r="AL174" i="6"/>
  <c r="AL183" i="6"/>
  <c r="AL176" i="6"/>
  <c r="AL173" i="6"/>
  <c r="AL175" i="6"/>
  <c r="BM175" i="6"/>
  <c r="BM173" i="6"/>
  <c r="BM176" i="6"/>
  <c r="BM183" i="6"/>
  <c r="BM174" i="6"/>
  <c r="BH174" i="6" l="1"/>
  <c r="BH173" i="6"/>
  <c r="I172" i="6"/>
  <c r="I156" i="6"/>
  <c r="I51" i="6"/>
  <c r="I177" i="6"/>
  <c r="BN176" i="6"/>
  <c r="BN174" i="6"/>
  <c r="BN173" i="6"/>
  <c r="BN183" i="6"/>
  <c r="BN175" i="6"/>
  <c r="AP176" i="6"/>
  <c r="AP173" i="6"/>
  <c r="AP183" i="6"/>
  <c r="AP175" i="6"/>
  <c r="AP174" i="6"/>
  <c r="W178" i="6"/>
  <c r="W180" i="6" s="1"/>
  <c r="W184" i="6"/>
  <c r="W185" i="6" s="1"/>
  <c r="W188" i="6" s="1"/>
  <c r="AG184" i="6"/>
  <c r="AG185" i="6" s="1"/>
  <c r="AG188" i="6" s="1"/>
  <c r="AG178" i="6"/>
  <c r="AG180" i="6" s="1"/>
  <c r="BI183" i="6"/>
  <c r="BI174" i="6"/>
  <c r="BI173" i="6"/>
  <c r="BI176" i="6"/>
  <c r="BI175" i="6"/>
  <c r="AH196" i="6"/>
  <c r="AH195" i="6"/>
  <c r="AH197" i="6"/>
  <c r="AH198" i="6"/>
  <c r="T155" i="6"/>
  <c r="I153" i="6"/>
  <c r="T179" i="6"/>
  <c r="T171" i="6"/>
  <c r="AK176" i="6"/>
  <c r="AK183" i="6"/>
  <c r="AK174" i="6"/>
  <c r="AK173" i="6"/>
  <c r="AK175" i="6"/>
  <c r="AS178" i="6"/>
  <c r="AS180" i="6" s="1"/>
  <c r="AS184" i="6"/>
  <c r="AS185" i="6" s="1"/>
  <c r="AS188" i="6" s="1"/>
  <c r="AL178" i="6"/>
  <c r="AL180" i="6" s="1"/>
  <c r="AL184" i="6"/>
  <c r="AL185" i="6" s="1"/>
  <c r="AL188" i="6" s="1"/>
  <c r="AM184" i="6"/>
  <c r="AM185" i="6" s="1"/>
  <c r="AM188" i="6" s="1"/>
  <c r="AM178" i="6"/>
  <c r="AM180" i="6" s="1"/>
  <c r="AB183" i="6"/>
  <c r="AB176" i="6"/>
  <c r="AB173" i="6"/>
  <c r="AB175" i="6"/>
  <c r="AB174" i="6"/>
  <c r="BB198" i="6"/>
  <c r="BB195" i="6"/>
  <c r="BB196" i="6"/>
  <c r="BB197" i="6"/>
  <c r="AC183" i="6"/>
  <c r="AC174" i="6"/>
  <c r="AC176" i="6"/>
  <c r="AC173" i="6"/>
  <c r="AC175" i="6"/>
  <c r="AH184" i="6"/>
  <c r="AH185" i="6" s="1"/>
  <c r="AH188" i="6" s="1"/>
  <c r="AH178" i="6"/>
  <c r="AH180" i="6" s="1"/>
  <c r="AQ196" i="6"/>
  <c r="AQ198" i="6"/>
  <c r="AQ197" i="6"/>
  <c r="AQ195" i="6"/>
  <c r="BG196" i="6"/>
  <c r="BG197" i="6"/>
  <c r="BG198" i="6"/>
  <c r="BG195" i="6"/>
  <c r="AA178" i="6"/>
  <c r="AA180" i="6" s="1"/>
  <c r="AA184" i="6"/>
  <c r="AA185" i="6" s="1"/>
  <c r="AA188" i="6" s="1"/>
  <c r="AT184" i="6"/>
  <c r="AT185" i="6" s="1"/>
  <c r="AT188" i="6" s="1"/>
  <c r="AT178" i="6"/>
  <c r="AT180" i="6" s="1"/>
  <c r="BM184" i="6"/>
  <c r="BM185" i="6" s="1"/>
  <c r="BM188" i="6" s="1"/>
  <c r="BM178" i="6"/>
  <c r="BM180" i="6" s="1"/>
  <c r="BF176" i="6"/>
  <c r="BF174" i="6"/>
  <c r="BF183" i="6"/>
  <c r="BF175" i="6"/>
  <c r="BF173" i="6"/>
  <c r="AN197" i="6"/>
  <c r="AN198" i="6"/>
  <c r="AN195" i="6"/>
  <c r="AN196" i="6"/>
  <c r="AU198" i="6"/>
  <c r="AU197" i="6"/>
  <c r="AU196" i="6"/>
  <c r="AU195" i="6"/>
  <c r="BK184" i="6"/>
  <c r="BK185" i="6" s="1"/>
  <c r="BK188" i="6" s="1"/>
  <c r="BK178" i="6"/>
  <c r="BK180" i="6" s="1"/>
  <c r="AU178" i="6"/>
  <c r="AU180" i="6" s="1"/>
  <c r="AU184" i="6"/>
  <c r="AU185" i="6" s="1"/>
  <c r="AU188" i="6" s="1"/>
  <c r="BJ184" i="6"/>
  <c r="BJ185" i="6" s="1"/>
  <c r="BJ188" i="6" s="1"/>
  <c r="BJ178" i="6"/>
  <c r="BJ180" i="6" s="1"/>
  <c r="U174" i="6"/>
  <c r="U175" i="6"/>
  <c r="U183" i="6"/>
  <c r="U176" i="6"/>
  <c r="U173" i="6"/>
  <c r="AY196" i="6"/>
  <c r="AY198" i="6"/>
  <c r="AY195" i="6"/>
  <c r="AY197" i="6"/>
  <c r="Y175" i="6"/>
  <c r="Y173" i="6"/>
  <c r="Y174" i="6"/>
  <c r="Y183" i="6"/>
  <c r="Y176" i="6"/>
  <c r="AA196" i="6"/>
  <c r="AA197" i="6"/>
  <c r="AA198" i="6"/>
  <c r="AA195" i="6"/>
  <c r="BD197" i="6"/>
  <c r="BD195" i="6"/>
  <c r="BD196" i="6"/>
  <c r="BD198" i="6"/>
  <c r="BO183" i="6"/>
  <c r="BO174" i="6"/>
  <c r="BO175" i="6"/>
  <c r="BO173" i="6"/>
  <c r="BO176" i="6"/>
  <c r="BB178" i="6"/>
  <c r="BB180" i="6" s="1"/>
  <c r="BB184" i="6"/>
  <c r="BB185" i="6" s="1"/>
  <c r="BB188" i="6" s="1"/>
  <c r="X197" i="6"/>
  <c r="X198" i="6"/>
  <c r="X196" i="6"/>
  <c r="X195" i="6"/>
  <c r="AO175" i="6"/>
  <c r="AO173" i="6"/>
  <c r="AO176" i="6"/>
  <c r="AO174" i="6"/>
  <c r="AO183" i="6"/>
  <c r="AV197" i="6"/>
  <c r="AV198" i="6"/>
  <c r="AV196" i="6"/>
  <c r="AV195" i="6"/>
  <c r="AR195" i="6"/>
  <c r="AR196" i="6"/>
  <c r="AR198" i="6"/>
  <c r="AR197" i="6"/>
  <c r="AV184" i="6"/>
  <c r="AV185" i="6" s="1"/>
  <c r="AV188" i="6" s="1"/>
  <c r="AV178" i="6"/>
  <c r="AV180" i="6" s="1"/>
  <c r="AW183" i="6"/>
  <c r="AW175" i="6"/>
  <c r="AW173" i="6"/>
  <c r="AW174" i="6"/>
  <c r="AW176" i="6"/>
  <c r="BK198" i="6"/>
  <c r="BK195" i="6"/>
  <c r="BK196" i="6"/>
  <c r="BK197" i="6"/>
  <c r="BL197" i="6"/>
  <c r="BL195" i="6"/>
  <c r="BL196" i="6"/>
  <c r="BL198" i="6"/>
  <c r="AI196" i="6"/>
  <c r="AI197" i="6"/>
  <c r="AI198" i="6"/>
  <c r="AI195" i="6"/>
  <c r="AF197" i="6"/>
  <c r="AF195" i="6"/>
  <c r="AF196" i="6"/>
  <c r="AF198" i="6"/>
  <c r="BA176" i="6"/>
  <c r="BA173" i="6"/>
  <c r="BA183" i="6"/>
  <c r="BA175" i="6"/>
  <c r="BA174" i="6"/>
  <c r="AE184" i="6"/>
  <c r="AE185" i="6" s="1"/>
  <c r="AE188" i="6" s="1"/>
  <c r="AE178" i="6"/>
  <c r="AE180" i="6" s="1"/>
  <c r="BH178" i="6"/>
  <c r="BH180" i="6" s="1"/>
  <c r="BH184" i="6"/>
  <c r="BH185" i="6" s="1"/>
  <c r="BH188" i="6" s="1"/>
  <c r="AT198" i="6"/>
  <c r="AT197" i="6"/>
  <c r="AT196" i="6"/>
  <c r="AT195" i="6"/>
  <c r="AY178" i="6"/>
  <c r="AY180" i="6" s="1"/>
  <c r="AY184" i="6"/>
  <c r="AY185" i="6" s="1"/>
  <c r="AY188" i="6" s="1"/>
  <c r="AD198" i="6"/>
  <c r="AD195" i="6"/>
  <c r="AD196" i="6"/>
  <c r="AD197" i="6"/>
  <c r="AS195" i="6"/>
  <c r="AS196" i="6"/>
  <c r="AS197" i="6"/>
  <c r="AS198" i="6"/>
  <c r="BG178" i="6"/>
  <c r="BG180" i="6" s="1"/>
  <c r="BG184" i="6"/>
  <c r="BG185" i="6" s="1"/>
  <c r="BG188" i="6" s="1"/>
  <c r="BM197" i="6"/>
  <c r="BM196" i="6"/>
  <c r="BM198" i="6"/>
  <c r="BM195" i="6"/>
  <c r="AJ178" i="6"/>
  <c r="AJ180" i="6" s="1"/>
  <c r="AJ184" i="6"/>
  <c r="AJ185" i="6" s="1"/>
  <c r="AJ188" i="6" s="1"/>
  <c r="AG197" i="6"/>
  <c r="AG196" i="6"/>
  <c r="AG198" i="6"/>
  <c r="AG195" i="6"/>
  <c r="AR178" i="6"/>
  <c r="AR180" i="6" s="1"/>
  <c r="AR184" i="6"/>
  <c r="AR185" i="6" s="1"/>
  <c r="AR188" i="6" s="1"/>
  <c r="AE198" i="6"/>
  <c r="AE195" i="6"/>
  <c r="AE196" i="6"/>
  <c r="AE197" i="6"/>
  <c r="V198" i="6"/>
  <c r="V195" i="6"/>
  <c r="V196" i="6"/>
  <c r="V197" i="6"/>
  <c r="BJ198" i="6"/>
  <c r="BJ195" i="6"/>
  <c r="BJ196" i="6"/>
  <c r="BJ197" i="6"/>
  <c r="AJ195" i="6"/>
  <c r="AJ197" i="6"/>
  <c r="AJ198" i="6"/>
  <c r="AJ196" i="6"/>
  <c r="AI178" i="6"/>
  <c r="AI180" i="6" s="1"/>
  <c r="AI184" i="6"/>
  <c r="AI185" i="6" s="1"/>
  <c r="AI188" i="6" s="1"/>
  <c r="AZ183" i="6"/>
  <c r="AZ174" i="6"/>
  <c r="AZ173" i="6"/>
  <c r="AZ176" i="6"/>
  <c r="AZ175" i="6"/>
  <c r="AX176" i="6"/>
  <c r="AX175" i="6"/>
  <c r="AX183" i="6"/>
  <c r="AX174" i="6"/>
  <c r="AX173" i="6"/>
  <c r="AD184" i="6"/>
  <c r="AD185" i="6" s="1"/>
  <c r="AD188" i="6" s="1"/>
  <c r="AD178" i="6"/>
  <c r="AD180" i="6" s="1"/>
  <c r="X178" i="6"/>
  <c r="X180" i="6" s="1"/>
  <c r="X184" i="6"/>
  <c r="X185" i="6" s="1"/>
  <c r="X188" i="6" s="1"/>
  <c r="AN184" i="6"/>
  <c r="AN185" i="6" s="1"/>
  <c r="AN188" i="6" s="1"/>
  <c r="AN178" i="6"/>
  <c r="AN180" i="6" s="1"/>
  <c r="BD178" i="6"/>
  <c r="BD180" i="6" s="1"/>
  <c r="BD184" i="6"/>
  <c r="BD185" i="6" s="1"/>
  <c r="BD188" i="6" s="1"/>
  <c r="BC178" i="6"/>
  <c r="BC180" i="6" s="1"/>
  <c r="BC184" i="6"/>
  <c r="BC185" i="6" s="1"/>
  <c r="BC188" i="6" s="1"/>
  <c r="BE175" i="6"/>
  <c r="BE173" i="6"/>
  <c r="BE174" i="6"/>
  <c r="BE183" i="6"/>
  <c r="BE176" i="6"/>
  <c r="Z173" i="6"/>
  <c r="Z174" i="6"/>
  <c r="Z176" i="6"/>
  <c r="Z183" i="6"/>
  <c r="Z175" i="6"/>
  <c r="AL198" i="6"/>
  <c r="AL196" i="6"/>
  <c r="AL195" i="6"/>
  <c r="AL197" i="6"/>
  <c r="AM198" i="6"/>
  <c r="AM196" i="6"/>
  <c r="AM195" i="6"/>
  <c r="AM197" i="6"/>
  <c r="W198" i="6"/>
  <c r="W196" i="6"/>
  <c r="W197" i="6"/>
  <c r="W195" i="6"/>
  <c r="BL178" i="6"/>
  <c r="BL180" i="6" s="1"/>
  <c r="BL184" i="6"/>
  <c r="BL185" i="6" s="1"/>
  <c r="BL188" i="6" s="1"/>
  <c r="BC198" i="6"/>
  <c r="BC196" i="6"/>
  <c r="BC197" i="6"/>
  <c r="BC195" i="6"/>
  <c r="AF184" i="6"/>
  <c r="AF185" i="6" s="1"/>
  <c r="AF188" i="6" s="1"/>
  <c r="AF178" i="6"/>
  <c r="AF180" i="6" s="1"/>
  <c r="AQ178" i="6"/>
  <c r="AQ180" i="6" s="1"/>
  <c r="AQ184" i="6"/>
  <c r="AQ185" i="6" s="1"/>
  <c r="AQ188" i="6" s="1"/>
  <c r="V184" i="6"/>
  <c r="V185" i="6" s="1"/>
  <c r="V188" i="6" s="1"/>
  <c r="V178" i="6"/>
  <c r="V180" i="6" s="1"/>
  <c r="BH195" i="6"/>
  <c r="BH198" i="6"/>
  <c r="BH197" i="6"/>
  <c r="BH196" i="6"/>
  <c r="AZ178" i="6" l="1"/>
  <c r="AZ184" i="6"/>
  <c r="AX184" i="6"/>
  <c r="AX178" i="6"/>
  <c r="AX180" i="6" s="1"/>
  <c r="AX185" i="6"/>
  <c r="AX188" i="6" s="1"/>
  <c r="U184" i="6"/>
  <c r="U185" i="6" s="1"/>
  <c r="U188" i="6" s="1"/>
  <c r="U178" i="6"/>
  <c r="U180" i="6" s="1"/>
  <c r="BF196" i="6"/>
  <c r="BF197" i="6"/>
  <c r="BF195" i="6"/>
  <c r="BF198" i="6"/>
  <c r="T187" i="6"/>
  <c r="I187" i="6" s="1"/>
  <c r="I179" i="6"/>
  <c r="Y185" i="6"/>
  <c r="Y188" i="6" s="1"/>
  <c r="BN196" i="6"/>
  <c r="BN198" i="6"/>
  <c r="BN197" i="6"/>
  <c r="BN195" i="6"/>
  <c r="Z196" i="6"/>
  <c r="Z197" i="6"/>
  <c r="Z198" i="6"/>
  <c r="Z195" i="6"/>
  <c r="AW184" i="6"/>
  <c r="AW185" i="6" s="1"/>
  <c r="AW188" i="6" s="1"/>
  <c r="AW178" i="6"/>
  <c r="AW180" i="6" s="1"/>
  <c r="BE184" i="6"/>
  <c r="BE185" i="6" s="1"/>
  <c r="BE188" i="6" s="1"/>
  <c r="BE178" i="6"/>
  <c r="BE180" i="6" s="1"/>
  <c r="BO196" i="6"/>
  <c r="I196" i="6" s="1"/>
  <c r="BO197" i="6"/>
  <c r="BO195" i="6"/>
  <c r="BO198" i="6"/>
  <c r="AO184" i="6"/>
  <c r="AO185" i="6" s="1"/>
  <c r="AO188" i="6" s="1"/>
  <c r="AO178" i="6"/>
  <c r="AO180" i="6" s="1"/>
  <c r="Y184" i="6"/>
  <c r="Y178" i="6"/>
  <c r="Y180" i="6" s="1"/>
  <c r="AC195" i="6"/>
  <c r="AC198" i="6"/>
  <c r="AC196" i="6"/>
  <c r="AC197" i="6"/>
  <c r="U155" i="6"/>
  <c r="V155" i="6" s="1"/>
  <c r="W155" i="6" s="1"/>
  <c r="X155" i="6" s="1"/>
  <c r="Y155" i="6" s="1"/>
  <c r="Z155" i="6" s="1"/>
  <c r="AA155" i="6" s="1"/>
  <c r="AB155" i="6" s="1"/>
  <c r="AC155" i="6" s="1"/>
  <c r="AD155" i="6" s="1"/>
  <c r="AE155" i="6" s="1"/>
  <c r="AF155" i="6" s="1"/>
  <c r="AG155" i="6" s="1"/>
  <c r="AH155" i="6" s="1"/>
  <c r="AI155" i="6" s="1"/>
  <c r="AJ155" i="6" s="1"/>
  <c r="AK155" i="6" s="1"/>
  <c r="AL155" i="6" s="1"/>
  <c r="AM155" i="6" s="1"/>
  <c r="AN155" i="6" s="1"/>
  <c r="AO155" i="6" s="1"/>
  <c r="AP155" i="6" s="1"/>
  <c r="AQ155" i="6" s="1"/>
  <c r="AR155" i="6" s="1"/>
  <c r="AS155" i="6" s="1"/>
  <c r="AT155" i="6" s="1"/>
  <c r="AU155" i="6" s="1"/>
  <c r="AV155" i="6" s="1"/>
  <c r="AW155" i="6" s="1"/>
  <c r="AX155" i="6" s="1"/>
  <c r="AY155" i="6" s="1"/>
  <c r="AZ155" i="6" s="1"/>
  <c r="BA155" i="6" s="1"/>
  <c r="BB155" i="6" s="1"/>
  <c r="BC155" i="6" s="1"/>
  <c r="BD155" i="6" s="1"/>
  <c r="BE155" i="6" s="1"/>
  <c r="BF155" i="6" s="1"/>
  <c r="BG155" i="6" s="1"/>
  <c r="BH155" i="6" s="1"/>
  <c r="BI155" i="6" s="1"/>
  <c r="BJ155" i="6" s="1"/>
  <c r="BK155" i="6" s="1"/>
  <c r="BL155" i="6" s="1"/>
  <c r="BM155" i="6" s="1"/>
  <c r="BN155" i="6" s="1"/>
  <c r="BO155" i="6" s="1"/>
  <c r="BI195" i="6"/>
  <c r="BI198" i="6"/>
  <c r="BI196" i="6"/>
  <c r="BI197" i="6"/>
  <c r="AP184" i="6"/>
  <c r="AP185" i="6" s="1"/>
  <c r="AP188" i="6" s="1"/>
  <c r="AP178" i="6"/>
  <c r="AP180" i="6" s="1"/>
  <c r="BN184" i="6"/>
  <c r="BN185" i="6" s="1"/>
  <c r="BN188" i="6" s="1"/>
  <c r="BN178" i="6"/>
  <c r="BN180" i="6" s="1"/>
  <c r="AX196" i="6"/>
  <c r="AX198" i="6"/>
  <c r="AX195" i="6"/>
  <c r="AX197" i="6"/>
  <c r="AB178" i="6"/>
  <c r="AB180" i="6" s="1"/>
  <c r="AB184" i="6"/>
  <c r="AB185" i="6" s="1"/>
  <c r="AB188" i="6" s="1"/>
  <c r="AP196" i="6"/>
  <c r="AP195" i="6"/>
  <c r="AP198" i="6"/>
  <c r="AP197" i="6"/>
  <c r="AB195" i="6"/>
  <c r="AB198" i="6"/>
  <c r="AB196" i="6"/>
  <c r="AB197" i="6"/>
  <c r="T183" i="6"/>
  <c r="T176" i="6"/>
  <c r="I176" i="6" s="1"/>
  <c r="T174" i="6"/>
  <c r="T175" i="6"/>
  <c r="I175" i="6" s="1"/>
  <c r="I171" i="6"/>
  <c r="T173" i="6"/>
  <c r="BA195" i="6"/>
  <c r="BA196" i="6"/>
  <c r="BA197" i="6"/>
  <c r="BA198" i="6"/>
  <c r="BE197" i="6"/>
  <c r="BE198" i="6"/>
  <c r="BE196" i="6"/>
  <c r="BE195" i="6"/>
  <c r="BO178" i="6"/>
  <c r="BO180" i="6" s="1"/>
  <c r="BO184" i="6"/>
  <c r="BO185" i="6" s="1"/>
  <c r="BO188" i="6" s="1"/>
  <c r="Y197" i="6"/>
  <c r="Y195" i="6"/>
  <c r="Y198" i="6"/>
  <c r="Y196" i="6"/>
  <c r="BF184" i="6"/>
  <c r="BF185" i="6" s="1"/>
  <c r="BF188" i="6" s="1"/>
  <c r="BF178" i="6"/>
  <c r="BF180" i="6" s="1"/>
  <c r="AK195" i="6"/>
  <c r="AK197" i="6"/>
  <c r="AK198" i="6"/>
  <c r="AK196" i="6"/>
  <c r="BI184" i="6"/>
  <c r="BI185" i="6" s="1"/>
  <c r="BI188" i="6" s="1"/>
  <c r="BI178" i="6"/>
  <c r="BI180" i="6" s="1"/>
  <c r="BA178" i="6"/>
  <c r="BA180" i="6" s="1"/>
  <c r="BA184" i="6"/>
  <c r="BA185" i="6" s="1"/>
  <c r="BA188" i="6" s="1"/>
  <c r="AZ185" i="6"/>
  <c r="AZ188" i="6" s="1"/>
  <c r="AW197" i="6"/>
  <c r="AW198" i="6"/>
  <c r="AW196" i="6"/>
  <c r="AW195" i="6"/>
  <c r="Z184" i="6"/>
  <c r="Z185" i="6" s="1"/>
  <c r="Z188" i="6" s="1"/>
  <c r="Z178" i="6"/>
  <c r="Z180" i="6" s="1"/>
  <c r="AZ195" i="6"/>
  <c r="AZ197" i="6"/>
  <c r="AZ196" i="6"/>
  <c r="AZ198" i="6"/>
  <c r="AZ180" i="6"/>
  <c r="AO197" i="6"/>
  <c r="AO198" i="6"/>
  <c r="AO195" i="6"/>
  <c r="AO196" i="6"/>
  <c r="U195" i="6"/>
  <c r="U196" i="6"/>
  <c r="U197" i="6"/>
  <c r="U198" i="6"/>
  <c r="AC184" i="6"/>
  <c r="AC185" i="6" s="1"/>
  <c r="AC188" i="6" s="1"/>
  <c r="AC178" i="6"/>
  <c r="AC180" i="6" s="1"/>
  <c r="AK178" i="6"/>
  <c r="AK180" i="6" s="1"/>
  <c r="AK184" i="6"/>
  <c r="AK185" i="6" s="1"/>
  <c r="AK188" i="6" s="1"/>
  <c r="I183" i="6" l="1"/>
  <c r="T195" i="6"/>
  <c r="I195" i="6" s="1"/>
  <c r="I173" i="6"/>
  <c r="T180" i="6"/>
  <c r="I180" i="6" s="1"/>
  <c r="T197" i="6"/>
  <c r="I197" i="6" s="1"/>
  <c r="T196" i="6"/>
  <c r="T198" i="6"/>
  <c r="I198" i="6" s="1"/>
  <c r="I155" i="6"/>
  <c r="T178" i="6"/>
  <c r="I178" i="6" s="1"/>
  <c r="T184" i="6"/>
  <c r="I184" i="6" s="1"/>
  <c r="I174" i="6"/>
  <c r="T185" i="6" l="1"/>
  <c r="I185" i="6" l="1"/>
  <c r="T188" i="6"/>
  <c r="I188" i="6" s="1"/>
</calcChain>
</file>

<file path=xl/sharedStrings.xml><?xml version="1.0" encoding="utf-8"?>
<sst xmlns="http://schemas.openxmlformats.org/spreadsheetml/2006/main" count="886" uniqueCount="302">
  <si>
    <t>Ecommerce Forecasting Tool, by Foresight</t>
  </si>
  <si>
    <t>A basic tool to help you model the revenues and costs of an Ecommerce business.</t>
  </si>
  <si>
    <t>Copyright &amp; Contact</t>
  </si>
  <si>
    <t xml:space="preserve">This was created by Taylor Davidson (@tdavidson) of Foresight.
© 2024, Unstructured Ventures, LLC.
Questions, contact taylor@foresight.is or @tdavidson
</t>
  </si>
  <si>
    <t>License</t>
  </si>
  <si>
    <r>
      <rPr>
        <sz val="10"/>
        <color rgb="FF000000"/>
        <rFont val="Arial"/>
      </rPr>
      <t xml:space="preserve">tl:dr; You can modify, edit, use, and share within your company (and with third-parties as needed to operate your business). You may not redistribute, resell, give away to others. </t>
    </r>
    <r>
      <rPr>
        <u/>
        <sz val="10"/>
        <color rgb="FF1155CC"/>
        <rFont val="Arial"/>
      </rPr>
      <t xml:space="preserve">Full license.
</t>
    </r>
  </si>
  <si>
    <t>Goal</t>
  </si>
  <si>
    <t xml:space="preserve">Goal of this model is to create an easy way for anyone to model the basic revenue operations of an ecommerce business. The model uses external market data where applicable and estimates when necessary. You should adjust all metrics and inputs to fit your business.
</t>
  </si>
  <si>
    <t>Copy to Google Sheets or Download to Excel</t>
  </si>
  <si>
    <r>
      <rPr>
        <sz val="10"/>
        <rFont val="Arial"/>
      </rPr>
      <t xml:space="preserve">File &gt; Make a Copy to copy it to your own Google Drive, or File &gt; Download to download this to use in Excel or other spreadsheet programs. </t>
    </r>
    <r>
      <rPr>
        <u/>
        <sz val="10"/>
        <color rgb="FF1155CC"/>
        <rFont val="Arial"/>
      </rPr>
      <t xml:space="preserve">See License for warranties and liabilities.
</t>
    </r>
  </si>
  <si>
    <t>Support</t>
  </si>
  <si>
    <r>
      <rPr>
        <sz val="10"/>
        <rFont val="Arial"/>
      </rPr>
      <t xml:space="preserve">Questions, happy to assist, contact anytime. More details on how I provide support: </t>
    </r>
    <r>
      <rPr>
        <u/>
        <sz val="10"/>
        <color rgb="FF1155CC"/>
        <rFont val="Arial"/>
      </rPr>
      <t xml:space="preserve">https://foresight.is/learn/support
</t>
    </r>
  </si>
  <si>
    <t>Missing a feature you need?</t>
  </si>
  <si>
    <r>
      <rPr>
        <sz val="10"/>
        <rFont val="Arial"/>
      </rPr>
      <t xml:space="preserve">Check out </t>
    </r>
    <r>
      <rPr>
        <u/>
        <sz val="10"/>
        <color rgb="FF1155CC"/>
        <rFont val="Arial"/>
      </rPr>
      <t>Alternatives to Foresight</t>
    </r>
    <r>
      <rPr>
        <sz val="10"/>
        <rFont val="Arial"/>
      </rPr>
      <t xml:space="preserve"> for more modeling tools, and check out Foresight's </t>
    </r>
    <r>
      <rPr>
        <u/>
        <sz val="10"/>
        <color rgb="FF1155CC"/>
        <rFont val="Arial"/>
      </rPr>
      <t>Standard Financial Model</t>
    </r>
    <r>
      <rPr>
        <sz val="10"/>
        <rFont val="Arial"/>
      </rPr>
      <t xml:space="preserve"> for a more comprehensive model with extensive prebuilt options for different revenue models, MRR and ARR, historical financials, budget variances, and more.
</t>
    </r>
  </si>
  <si>
    <t>Quickstart</t>
  </si>
  <si>
    <t>1) Any number in blue with grey shaded background is an input (i.e. an assumption or data point that can be changed), anything in black is the result of a formula. Change blue at will, change anything in black with caution.
2) All cells and formulas are unlocked - as in all Foresight models - so that you can make edits as needed and completely understand what is going on.
3) All assumptions are illustrative ONLY, do not assume they are market data or standard.
4) As with all templates, feel free to create your own model from scratch, using this as a guide. 
5) The model is constructed to fit a wide variety of businesses, and therefore, some sections may or may not be relevant to yours. I have grouped together sections on all sheets so that you can review different sections and see all the possibilities, but also easily hide the sections not relevant for you. Simply click on the "+" button on the left-hand side to unhide a section, and click on the "-" button to hide it.</t>
  </si>
  <si>
    <t>Outline</t>
  </si>
  <si>
    <t>README</t>
  </si>
  <si>
    <t>Contact into, overview on model. Safe to delete or hide.</t>
  </si>
  <si>
    <t xml:space="preserve">   Formatting and Colors Overview</t>
  </si>
  <si>
    <r>
      <rPr>
        <sz val="10"/>
        <rFont val="Arial"/>
      </rPr>
      <t xml:space="preserve">Details on what the colors and formatting in the model mean. </t>
    </r>
    <r>
      <rPr>
        <u/>
        <sz val="10"/>
        <color rgb="FF1155CC"/>
        <rFont val="Arial"/>
      </rPr>
      <t>https://foresight.is/learn/colors-and-formatting</t>
    </r>
  </si>
  <si>
    <r>
      <rPr>
        <sz val="10"/>
        <rFont val="Arial"/>
      </rPr>
      <t xml:space="preserve">Terms of use of the model. Safe to delete or hide. </t>
    </r>
    <r>
      <rPr>
        <u/>
        <sz val="10"/>
        <color rgb="FF1155CC"/>
        <rFont val="Arial"/>
      </rPr>
      <t>https://foresight.is/license</t>
    </r>
  </si>
  <si>
    <t>Get Started</t>
  </si>
  <si>
    <t>Assumptions used in the model</t>
  </si>
  <si>
    <t>Forecast</t>
  </si>
  <si>
    <t>Calculations for the model, with a couple detailed optional assumptions.</t>
  </si>
  <si>
    <t>Historicals</t>
  </si>
  <si>
    <t>Optional, but valuable if you have historical cohorts to analyze for retention, repeat orders, etc.</t>
  </si>
  <si>
    <t>Key Reports</t>
  </si>
  <si>
    <t>Key charts, using data from the Forecast sheet</t>
  </si>
  <si>
    <t>Model Comparison</t>
  </si>
  <si>
    <t>Informational sheet with links to other models available to use. Safe to delete or hide.</t>
  </si>
  <si>
    <t>Glossary</t>
  </si>
  <si>
    <t>Informational sheet on common financial terms used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</si>
  <si>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</si>
  <si>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</si>
  <si>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</si>
  <si>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</si>
  <si>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</si>
  <si>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</si>
  <si>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</si>
  <si>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</si>
  <si>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</si>
  <si>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</si>
  <si>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</si>
  <si>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</si>
  <si>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</si>
  <si>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</si>
  <si>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</si>
  <si>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</si>
  <si>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</si>
  <si>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</si>
  <si>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</si>
  <si>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</si>
  <si>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</si>
  <si>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</si>
  <si>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</si>
  <si>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Disclaimer</t>
  </si>
  <si>
    <t>Investments in the Company, if offered, will only be offered to a selected number of accredited investors, and only on the basis of a private offering memorandum for the Company. There are significant risks that are not presented and disclosed in this Investor Presentation.  These risks could have a significant negative impact on the performance of the Company.</t>
  </si>
  <si>
    <t>This Investor Presentation contains forward-looking statements regarding our business plans and prospects and financial conditions, all statements, other than statements of historical fact, in this Investor Presentation, and the attached exhibits, including, among other things, statements regarding our competitive strengths, business strategy, financial projections and plans and objectives of management are forward-looking statements. Although we believe that the expectations reflected in such forward-looking statements are reasonable, there can be no assurance that such expectations will prove to be correct.  Forward-looking statements are inherently subject to risks and uncertainties, many of which cannot be predicted with accuracy and some of which might not even be anticipated.  Future events and actual results, financial or otherwise, could differ materially from those set forth in, or contemplated by, the forward-looking statements in this Investor Presentation, and, as such, the forward-looking statements contained herein should not be relied upon when making your investment decision.  We undertake no obligation to update or revise any forward-looking statements.</t>
  </si>
  <si>
    <t>The financial projections in this Investor Presentation present, to the best of management’s knowledge and belief, the Company’s expected financial position, results of operations, and cash flows for the forecast period.  Accordingly, the financial projections reflect its judgment, as of the date of these financial projections, of the expected conditions and its expected course of action following the sale of securities by the Company.  The assumptions disclosed herein are those that management believes are significant to the financial projections.  There will usually be differences between the projected and actual results, because events and circumstances frequently do not occur as expected, and those differences may be material.  Since the projections are based upon assumptions about circumstances and events that have not yet taken place regarding costs, income, expenses and federal tax matters, which are subject to variations and economic events as future operations actually occur, they do not necessarily reflect the results that will be achieved and should not be relied upon. In all cases, the targeted returns are not predictions or projections that the results in the pro forma financials will be achieved nor of the performance of any investment, and are expressly subject to all assumptions embedded in the pro forma financials and the risk factors disclosed herein. This investment has a high degree of risk, and there can be no assurances that all or any of the assumptions will be true or that an investment’s actual performance will bear any relation to these hypothetical illustrations.</t>
  </si>
  <si>
    <t xml:space="preserve">This information contained in this Investor Presentation includes proprietary information, is strictly confidential, and is not to be used or distributed to others without the express written consent of the Company. </t>
  </si>
  <si>
    <t>This document has been prepared solely for information purposes and is being furnished solely for use by prospective purchasers in considering their interest in obtaining additional information and making their own evaluation of the Company and does not contain all of the information that a prospective purchaser may desire.  This information reflects various assumptions by the Company concerning anticipated results, which assumptions may or may not prove to be correct, and the Company has no obligation to update such information.  The only information that will have any legal effect will be that specifically contained in definitive documentation. This Investor Presentation has been submitted confidentially to a limited number of investors so that they can consider their interest in obtaining additional information and making their own evaluation of the Company.  No offers to purchase the securities of the Company will be accepted prior to (1) the receipt by recipient of a complete private offering memorandum and (2) determination by the Company that the recipient is an appropriate purchaser in light of standards contained in U.S. Securities laws after a full evaluation of recipient by the Company.  The Company has not authorized its use for any other purpose.  This Investor Presentation may not be copied or reproduced in whole or in part.  By accepting a copy of this Investor Presentation, the recipient agrees that neither it nor any of its representatives, agents or employees shall use it for any other purpose or divulge to any party any confidential information about the Company.</t>
  </si>
  <si>
    <t>Key model assumptions and summaries. Detailed inputs on Forecast sheet.</t>
  </si>
  <si>
    <t>Setup and Timescale</t>
  </si>
  <si>
    <t>What is the name of your company?</t>
  </si>
  <si>
    <t>Company</t>
  </si>
  <si>
    <t>This is used in the Legal Disclaimer sheet, which is purely optional, but something many people choose to include in their projections when they provide them to potential investors</t>
  </si>
  <si>
    <t>What is your currency?</t>
  </si>
  <si>
    <t>$</t>
  </si>
  <si>
    <t>Model works for any currency, as there are no currency-specific calculations in the model. This label is used in some presentation areas.</t>
  </si>
  <si>
    <t>What is the first date you want to forecast?</t>
  </si>
  <si>
    <t>First month in the model; if this model is entirely a forecast of the future, input the first month you want to forecast from.</t>
  </si>
  <si>
    <t>What is the fiscal year end of the first year modeled?</t>
  </si>
  <si>
    <t>Define the month that is the fiscal year end of the first year in the model. This allows you to set the fiscal years in the model, and thus the # of months in the first year forecasted in the model. The default setting uses a formula to return the year end (in December) from the first month in the forecast. Feel free to overwrite this to set a different fiscal year end, just overwrite the formula with a date.</t>
  </si>
  <si>
    <t>Historical Cohorts (Optional)</t>
  </si>
  <si>
    <t>Optional inputs, to use if you have historical cohort data you want to use to generate historical performance and baseline assumptions for future cohorts</t>
  </si>
  <si>
    <t>What is the first date in your historical data?</t>
  </si>
  <si>
    <t>The model is built to cover up to 48 months in the past, but (a) you do not have to go back that far, and (b) if you want to go back farther, the model can be edited to do that.</t>
  </si>
  <si>
    <t>used for the timescale formulas, same as the above</t>
  </si>
  <si>
    <t>What is the last date in your historical data?</t>
  </si>
  <si>
    <t>By structural default, this is assumed to be the month prior to the start of the forecast.</t>
  </si>
  <si>
    <t>Revenue and Marketing Assumptions</t>
  </si>
  <si>
    <t>Sales revenue per order, Average Order Value, or AOV</t>
  </si>
  <si>
    <t>This assumption breaks out the average order value between new and repeat customers. The 0.8 assumption is purely to show the impact of the different AOV, please change for your business.</t>
  </si>
  <si>
    <t>%</t>
  </si>
  <si>
    <t>this assumes the growth rate in the first month after growth starts, as defined above</t>
  </si>
  <si>
    <t>this changes the growth rate over time: you can assume a growth rate that increases over time, stays the same, or decreases (most common)</t>
  </si>
  <si>
    <t>Cost of Sales</t>
  </si>
  <si>
    <t>per order, as a % of revenues</t>
  </si>
  <si>
    <t>Additional Cost of Sales</t>
  </si>
  <si>
    <t>Shipping Revenue per order</t>
  </si>
  <si>
    <t>revenue earned from charging for shipping to end customer, per order</t>
  </si>
  <si>
    <t>Shipping Cost per order</t>
  </si>
  <si>
    <t>costs for shipping to end customer, per order</t>
  </si>
  <si>
    <t>Customer Acquisition Cost (CAC), new customer</t>
  </si>
  <si>
    <t>Customer Acquisition Cost (CAC), repeat customer</t>
  </si>
  <si>
    <t>retention cost per subscriber, per renew cycle. Intention is to include cost to market to existing subscribers to increase retention</t>
  </si>
  <si>
    <t>this assumes the rate in the first month after starts, as defined above</t>
  </si>
  <si>
    <t>this changes the rate over time: you can assume a rate that increases over time, stays the same, or decreases (most common)</t>
  </si>
  <si>
    <t>Growth and Churn Assumptions</t>
  </si>
  <si>
    <t>Date to start growth and revenues</t>
  </si>
  <si>
    <t>date to start growth of revenues, used on Forecast sheet in Growth section</t>
  </si>
  <si>
    <t>New Customers</t>
  </si>
  <si>
    <t>#</t>
  </si>
  <si>
    <t>use the input to change the label, the number input refers to the # new in the first month, as defined above</t>
  </si>
  <si>
    <t>Conversion Rate</t>
  </si>
  <si>
    <t>% of website sessions that convert to orders</t>
  </si>
  <si>
    <t>Customers, beginning of first month</t>
  </si>
  <si>
    <t>assume the # of new customers that have been acquired prior to the start of the forecast; this is useful if you have an existing base of customers making repeat orders and want to introduce that into the model's forecast of new and repeat orders</t>
  </si>
  <si>
    <t>Churn rate, per period</t>
  </si>
  <si>
    <t>% of customers that do not make a repeat order, on each repeat cycle</t>
  </si>
  <si>
    <t>Repeat Cycle</t>
  </si>
  <si>
    <t>If customers place repeat orders, the # of months to a repeat order. this sets the cadence of repeat orders, and combines with the churn assumption to forecast the # of repeat orders. Important to note is that if you assume a repeat rate, your repeat purchases is bounded by the web sessions and conversion rate. e.g., web sessions * conversion rate = orders. orders - repeat orders = new orders. so if you do not grow web sessions and you assume repeat purchases, it's possible to create a forecast that includes zero orders from new customers. if that happens, reduce your repeat rate, increase your churn, or increase your top-line web sessions growth</t>
  </si>
  <si>
    <t>Manual Entry</t>
  </si>
  <si>
    <t>you can also manually enter in a retention curve directly on the Forecast sheet, and select to use that, instead of the auto-generated curve calculated from the above two inputs on churn rate and repeat cycle</t>
  </si>
  <si>
    <t>After N total customers</t>
  </si>
  <si>
    <t>optional input to adjust the cohort performance based on total company size, not just per cohort performance</t>
  </si>
  <si>
    <t>Change cohort performance by</t>
  </si>
  <si>
    <t>optional adjustment that is applied based on the condition above. "1" means no change, 1.2 means it is 20% better, .8 is 20% worse, for example</t>
  </si>
  <si>
    <t>Profit and Loss</t>
  </si>
  <si>
    <t>Orders, per period</t>
  </si>
  <si>
    <t>by year</t>
  </si>
  <si>
    <t>Orders from new customers and repeat customers, by year</t>
  </si>
  <si>
    <t>Date</t>
  </si>
  <si>
    <t>Unit</t>
  </si>
  <si>
    <t>Note</t>
  </si>
  <si>
    <t>Timestep</t>
  </si>
  <si>
    <t>where the first month in the period = 0</t>
  </si>
  <si>
    <t>Month # in Model</t>
  </si>
  <si>
    <t>Fiscal Year</t>
  </si>
  <si>
    <t>the fiscal year can vary from the calendar year, this is calculated based on the assumption for fiscal year end</t>
  </si>
  <si>
    <t>Quarter in Fiscal Year</t>
  </si>
  <si>
    <t>text</t>
  </si>
  <si>
    <t>the quarters of the year vary according by the fiscal year end</t>
  </si>
  <si>
    <t>Quarter / Year</t>
  </si>
  <si>
    <t>quarters and year, reported in text form for some charts and graphs</t>
  </si>
  <si>
    <t>Month (Text)</t>
  </si>
  <si>
    <t>the month of the calendar year, used for reporting and seasonality calculations</t>
  </si>
  <si>
    <t>Month # in Fiscal year</t>
  </si>
  <si>
    <t>the month # in the fiscal year. This rolls over to 1 at the start of each fiscal year</t>
  </si>
  <si>
    <t>Year of Operations</t>
  </si>
  <si>
    <t>the year of operations. Used for some reports based on time of operations, not calendar year</t>
  </si>
  <si>
    <t>average</t>
  </si>
  <si>
    <t>Starting rate of change, Average Revenue per Order</t>
  </si>
  <si>
    <t>Rate of change, Average Revenue per Order</t>
  </si>
  <si>
    <t>Starting rate of change, Cost of Sales</t>
  </si>
  <si>
    <t>Rate of change, Cost of Sales</t>
  </si>
  <si>
    <t>Starting rate of change, CAC</t>
  </si>
  <si>
    <t>Rate of change, CAC</t>
  </si>
  <si>
    <t>initial</t>
  </si>
  <si>
    <t>Starting growth rate, new subscribers</t>
  </si>
  <si>
    <t>Change in Growth Rate in new subscribers</t>
  </si>
  <si>
    <t>Orders, per customer, as a # per 1 customer</t>
  </si>
  <si>
    <t>calculated from the churn rate and repeat cycle inputs</t>
  </si>
  <si>
    <t>sum</t>
  </si>
  <si>
    <t>historical average</t>
  </si>
  <si>
    <t>manual input</t>
  </si>
  <si>
    <t>Orders per 1 New Customer (the retention curve used in the model)</t>
  </si>
  <si>
    <t>x</t>
  </si>
  <si>
    <t>Orders per 1 Existing Customer</t>
  </si>
  <si>
    <t>estimated from the new cohort used above. this is manual, please change the formula here to fit what you want to estimate from the customers that were booked as new customers prior to the start of the model</t>
  </si>
  <si>
    <t>Adjustment to Retention Curve</t>
  </si>
  <si>
    <t>adjustment to apply to base retention curve for all cohorts at a certain month</t>
  </si>
  <si>
    <t>Cumulative New Customers</t>
  </si>
  <si>
    <t>Cumulative Orders</t>
  </si>
  <si>
    <t>Orders</t>
  </si>
  <si>
    <t>Website Traffic</t>
  </si>
  <si>
    <t>calculated from orders and conversion rate; what demand generation would have to be, given the assumed conversion rate</t>
  </si>
  <si>
    <t>during period</t>
  </si>
  <si>
    <t>growth rate in new customers per period</t>
  </si>
  <si>
    <t>sum of the cohorts below</t>
  </si>
  <si>
    <t>Existing Customers</t>
  </si>
  <si>
    <t>Orders, from New Customers</t>
  </si>
  <si>
    <t>this uses the total orders forecast and backs out the new customers using the % of returning customers assumption</t>
  </si>
  <si>
    <t>Orders, from Repeat Customers</t>
  </si>
  <si>
    <t>orders from repeat customers is calculated from the forecast of orders less the orders from new customers. This separates out repeat and new customers so that the acquisition costs can be modeled separately.</t>
  </si>
  <si>
    <t>Cumulative Orders from New Customers</t>
  </si>
  <si>
    <t>orders from new customers this period + cumulative new customers previous period</t>
  </si>
  <si>
    <t>Cumulative Orders from Repeat Customers</t>
  </si>
  <si>
    <t>orders from repeat customers this period + cumulative repeat customers previous period</t>
  </si>
  <si>
    <t>% of Orders from New Customers</t>
  </si>
  <si>
    <t>calculated based on the churn and repeat cycles</t>
  </si>
  <si>
    <t>Revenues and Costs per Order</t>
  </si>
  <si>
    <t>per period</t>
  </si>
  <si>
    <t>rate of change per period</t>
  </si>
  <si>
    <t>Rate of Change, Cost of Sales</t>
  </si>
  <si>
    <t>Rate of Change, CAC</t>
  </si>
  <si>
    <t>Revenues, Billings, Expenses</t>
  </si>
  <si>
    <t>Revenues</t>
  </si>
  <si>
    <t>average revenue per order * orders</t>
  </si>
  <si>
    <t>Shipping Revenues</t>
  </si>
  <si>
    <t>orders * shipping revenue per order</t>
  </si>
  <si>
    <t>Total Revenues</t>
  </si>
  <si>
    <t>product revenues + shipping revenues</t>
  </si>
  <si>
    <t>average cost of sales per order * orders</t>
  </si>
  <si>
    <t>Shipping Cost of Sales</t>
  </si>
  <si>
    <t>orders * shipping costs per order</t>
  </si>
  <si>
    <t>Total Cost of Sales</t>
  </si>
  <si>
    <t>product cost of sales + shipping cost of sales</t>
  </si>
  <si>
    <t>Marketing Spend</t>
  </si>
  <si>
    <t>Marketing spend is calculated from the forecasted orders and the assumption of customer acquisition cost (CAC) per order.</t>
  </si>
  <si>
    <t>Operating Income</t>
  </si>
  <si>
    <t>revenues less cost of sales less marketing spend</t>
  </si>
  <si>
    <t>Unit Economics</t>
  </si>
  <si>
    <t>Average Order Value</t>
  </si>
  <si>
    <t>Blended AOV calculated from revenues divided by total orders, blending the AOV from new and repeat customers</t>
  </si>
  <si>
    <t>Average Cost of Sales per Order</t>
  </si>
  <si>
    <t>blended cost of sales per order</t>
  </si>
  <si>
    <t>Gross Margin per Order</t>
  </si>
  <si>
    <t>Gross margin per order, blending the gross margin from new and repeat customers</t>
  </si>
  <si>
    <t>Shipping Gross Margin per Order</t>
  </si>
  <si>
    <t>gross margin per order, shipping revenues and costs only</t>
  </si>
  <si>
    <t>Acquisition Cost per Order</t>
  </si>
  <si>
    <t>overall acquisition cost per order, blending new and repeat</t>
  </si>
  <si>
    <t>Contribution Margin per Order</t>
  </si>
  <si>
    <t>gross margin per order less acquisition cost per order</t>
  </si>
  <si>
    <t>Outputs</t>
  </si>
  <si>
    <t>LTV</t>
  </si>
  <si>
    <t>Customer lifetime value over 5 years, based on a simple assumption of # of purchases over a 5 year time frame. Note, if average order size for repeat changes, then this formula will not be the most accurate, and you will need to revise. Please change the assumption of lifetime purchases to fit your needs.</t>
  </si>
  <si>
    <t>Lifetime # of Purchases</t>
  </si>
  <si>
    <t>Estimate of lifetime orders per new customer</t>
  </si>
  <si>
    <t>Revenue Detail</t>
  </si>
  <si>
    <t>this is primarily used just to generate the settings for the sum column</t>
  </si>
  <si>
    <t>returns the value from the beginning of a period</t>
  </si>
  <si>
    <t>returns the value from the end of a period</t>
  </si>
  <si>
    <t>final</t>
  </si>
  <si>
    <t>returns the total during the period</t>
  </si>
  <si>
    <t>returns the simple average during the period; averages are not weighted-averages, and for % growths, do not represent the average growth over the time period.</t>
  </si>
  <si>
    <t>Historical Performance by Cohort</t>
  </si>
  <si>
    <t>Period</t>
  </si>
  <si>
    <t>Period # in Model</t>
  </si>
  <si>
    <t>Month</t>
  </si>
  <si>
    <t>month when cohort started, using dates from get started</t>
  </si>
  <si>
    <t>Analysis</t>
  </si>
  <si>
    <t>Retention, average</t>
  </si>
  <si>
    <t>assumed % change</t>
  </si>
  <si>
    <t>Retention, as a % of initial cohort size</t>
  </si>
  <si>
    <t>Retention, on a 1 # basis</t>
  </si>
  <si>
    <t>Retention, as a % change from previous period</t>
  </si>
  <si>
    <t>Foresight Template Comparison</t>
  </si>
  <si>
    <t>I offer a range of templates for venture funds and angels. Here's a breakdown of the models and how they compare.</t>
  </si>
  <si>
    <t>Template</t>
  </si>
  <si>
    <t>Link</t>
  </si>
  <si>
    <t>Software</t>
  </si>
  <si>
    <t>Usecase</t>
  </si>
  <si>
    <t>Price</t>
  </si>
  <si>
    <t>Time Scale</t>
  </si>
  <si>
    <t>Prebuilt Revenue Model</t>
  </si>
  <si>
    <t>Operating Expenses</t>
  </si>
  <si>
    <t>Hiring Plan</t>
  </si>
  <si>
    <t>Consolidated Financials</t>
  </si>
  <si>
    <t>Charts and Graphs</t>
  </si>
  <si>
    <t>Key Performance Metrics</t>
  </si>
  <si>
    <t>Historical Financials and Budget Variances</t>
  </si>
  <si>
    <t>Prebuilt Inventory Calcs</t>
  </si>
  <si>
    <t>Capital Structure (Equity, Debt, Grants, etc.)</t>
  </si>
  <si>
    <t>Cap Table and Valuation</t>
  </si>
  <si>
    <t>Runway and Cash Forecasting Tool</t>
  </si>
  <si>
    <t>https://foresight.is/runway-cash-forecasting</t>
  </si>
  <si>
    <t>Google Sheets, download to Excel</t>
  </si>
  <si>
    <t>Seed-stage companies building first model</t>
  </si>
  <si>
    <t>Free</t>
  </si>
  <si>
    <t>3 years</t>
  </si>
  <si>
    <t>Starter Financial Model</t>
  </si>
  <si>
    <t>https://foresight.is/starter-financial-model</t>
  </si>
  <si>
    <t>Excel, upload to Google Sheets</t>
  </si>
  <si>
    <t>Seed - A stage companies building their own custom revenue model</t>
  </si>
  <si>
    <t>$74 USD</t>
  </si>
  <si>
    <t>5 years</t>
  </si>
  <si>
    <t>Standard Financial Model</t>
  </si>
  <si>
    <t>https://foresight.is/standard-financial-model</t>
  </si>
  <si>
    <t>Seed - B stage companies leveraging the prebuilt revenue model or building their own</t>
  </si>
  <si>
    <t>$149 USD</t>
  </si>
  <si>
    <t>SaaS Forecasting Tool</t>
  </si>
  <si>
    <t>https://foresight.is/saas-forecasting-tool</t>
  </si>
  <si>
    <t>Seed-stage entrepreneurs wanting to understand how to forecast SaaS businesses</t>
  </si>
  <si>
    <t>Ecommerce ForecastingTool</t>
  </si>
  <si>
    <t>https://foresight.is/ecommerce-forecasting-tool</t>
  </si>
  <si>
    <t>Seed-stage entrepreneurs wanting to understand how to forecast Ecommerce businesses</t>
  </si>
  <si>
    <t>Unit Economics Tool</t>
  </si>
  <si>
    <t>https://foresight.is/unit-economics-template</t>
  </si>
  <si>
    <t>Seed - B stage companies wanting to detail their unit economics, LTV, and cash flows on a per-user (subscriber, client, customer, etc.) basis.</t>
  </si>
  <si>
    <t>~</t>
  </si>
  <si>
    <t>Enterprise SaaS Forecasting Tool</t>
  </si>
  <si>
    <t>https://foresight.is/enterprise-saas-template</t>
  </si>
  <si>
    <t>Enterprise SaaS businesses wanting to use an enterprise pipeline and specific customer method to forecast their revenues</t>
  </si>
  <si>
    <t>Here's what has changed.</t>
  </si>
  <si>
    <t>Version</t>
  </si>
  <si>
    <t>Applicable Models</t>
  </si>
  <si>
    <t>Definition</t>
  </si>
  <si>
    <t>v1.0.4</t>
  </si>
  <si>
    <t>Ecommerce Forecasting Tool</t>
  </si>
  <si>
    <t>Added new sheet Historicals, to automatically build in past cohort analysis. Optional to use, but powerful if you can. Just drop in your historical cohort retention, and the model will automatically calculate the historical retention on an N period from acquisition basis, and use that for forecasting your forecasted cohorts. Forecast will include historical cohorts going forward as well as new cohorts to be acquired.</t>
  </si>
  <si>
    <t>v1.0.3</t>
  </si>
  <si>
    <t>Forecast and Get Started: Added a couple new assumptions based on user requests. Created a new cohort-based structure for forecasting repeat orders, to provide more fidelity on the repeat business. Moved the mdoel to Google Sheets native.</t>
  </si>
  <si>
    <t>v1.0.2</t>
  </si>
  <si>
    <t>Forecast: Edited to remove all formulas that use OFFSET. Reduces reliance on a volatile formula, to help with model performance in larger implementations, this is a change I am making across all models and standardizing on.</t>
  </si>
  <si>
    <t>v1.0.1</t>
  </si>
  <si>
    <t>Forecast: Added shipping revenues and costs, and total revenues and total cost of sales to combine product and shipping revenues and costs</t>
  </si>
  <si>
    <t>v1.0.0</t>
  </si>
  <si>
    <t>First version of the new Ecommerce Forecasting Tool. This was built to replace the previous Ecommerce Digital Marketing Tool, and to complement the Causal Ecommerce Forecasting Model, to build a more consistent structure that works with the core Foresight models and can be linked to and deployed with the other models. There is also a Causal Model based from this tool available for free at https://foresight.is/causal-ecommerce-model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</si>
</sst>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1" formatCode="_(* #,##0_);_(* \(#,##0\);_(* &quot;-&quot;_);_(@_)"/>
    <numFmt numFmtId="43" formatCode="_(* #,##0.00_);_(* \(#,##0.00\);_(* &quot;-&quot;??_);_(@_)"/>
    <numFmt numFmtId="164" formatCode="_-* #,##0.00_-;\-* #,##0.00_-;_-* &quot;-&quot;??_-;_-@"/>
    <numFmt numFmtId="165" formatCode="_-* #,##0_-;\-* #,##0_-;_-* &quot;-&quot;??_-;_-@"/>
    <numFmt numFmtId="166" formatCode="_-* #,##0.0_-;\-* #,##0.0_-;_-* &quot;-&quot;??_-;_-@"/>
    <numFmt numFmtId="167" formatCode="_-* #,##0.00_-;\-* #,##0.00_-;_-* &quot;-&quot;??.00_-;_-@"/>
    <numFmt numFmtId="168" formatCode="_(* #,##0_);_(* \(#,##0\);_(* &quot;-&quot;??_);_(@_)"/>
    <numFmt numFmtId="169" formatCode="[$-409]mmm\-yy"/>
    <numFmt numFmtId="170" formatCode="_(* #,##0.00_);_(* \(#,##0.00\);_(* &quot;-&quot;_);_(@_)"/>
    <numFmt numFmtId="171" formatCode="m/d/yyyy"/>
  </numFmts>
  <fonts count="24">
    <font>
      <sz val="12"/>
      <color theme="1"/>
      <name val="Arial"/>
      <scheme val="minor"/>
    </font>
    <font>
      <sz val="10"/>
      <color theme="1"/>
      <name val="Arial"/>
      <scheme val="minor"/>
    </font>
    <font>
      <b/>
      <sz val="14"/>
      <color theme="1"/>
      <name val="Arial"/>
      <scheme val="minor"/>
    </font>
    <font>
      <sz val="10"/>
      <color rgb="FF666666"/>
      <name val="Arial"/>
      <scheme val="minor"/>
    </font>
    <font>
      <sz val="10"/>
      <color rgb="FF000000"/>
      <name val="Arial"/>
      <scheme val="minor"/>
    </font>
    <font>
      <b/>
      <sz val="10"/>
      <color theme="1"/>
      <name val="Arial"/>
      <scheme val="minor"/>
    </font>
    <font>
      <sz val="10"/>
      <color rgb="FF000000"/>
      <name val="Arial"/>
    </font>
    <font>
      <u/>
      <sz val="10"/>
      <color rgb="FF0000FF"/>
      <name val="Arial"/>
    </font>
    <font>
      <b/>
      <sz val="12"/>
      <color theme="1"/>
      <name val="Arial"/>
      <scheme val="minor"/>
    </font>
    <font>
      <i/>
      <sz val="10"/>
      <color rgb="FF000000"/>
      <name val="&quot;Avenir Book&quot;"/>
    </font>
    <font>
      <u/>
      <sz val="10"/>
      <color rgb="FF1155CC"/>
      <name val="Arial"/>
    </font>
    <font>
      <sz val="10"/>
      <color rgb="FF000000"/>
      <name val="&quot;Avenir Book&quot;"/>
    </font>
    <font>
      <b/>
      <sz val="14"/>
      <color theme="1"/>
      <name val="Arial"/>
    </font>
    <font>
      <sz val="10"/>
      <color rgb="FF666666"/>
      <name val="Arial"/>
    </font>
    <font>
      <i/>
      <sz val="10"/>
      <color theme="1"/>
      <name val="Arial"/>
      <scheme val="minor"/>
    </font>
    <font>
      <sz val="10"/>
      <color rgb="FF0000FF"/>
      <name val="Arial"/>
      <scheme val="minor"/>
    </font>
    <font>
      <sz val="10"/>
      <color rgb="FF7F7F7F"/>
      <name val="Arial"/>
      <scheme val="minor"/>
    </font>
    <font>
      <b/>
      <sz val="12"/>
      <color theme="1"/>
      <name val="Arial"/>
    </font>
    <font>
      <sz val="10"/>
      <color theme="0"/>
      <name val="Arial"/>
      <scheme val="minor"/>
    </font>
    <font>
      <sz val="10"/>
      <color rgb="FF0000FF"/>
      <name val="Arial"/>
    </font>
    <font>
      <sz val="10"/>
      <color theme="1"/>
      <name val="Arial"/>
    </font>
    <font>
      <u/>
      <sz val="10"/>
      <color rgb="FF0000FF"/>
      <name val="Arial"/>
    </font>
    <font>
      <u/>
      <sz val="10"/>
      <color rgb="FF1155CC"/>
      <name val="Arial"/>
    </font>
    <font>
      <sz val="10"/>
      <name val="Arial"/>
    </font>
  </fonts>
  <fills count="6">
    <fill>
      <patternFill patternType="none"/>
    </fill>
    <fill>
      <patternFill patternType="gray125"/>
    </fill>
    <fill>
      <patternFill patternType="solid">
        <fgColor rgb="FFF2F2F2"/>
        <bgColor rgb="FFF2F2F2"/>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8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4" fillId="0" borderId="0" xfId="0" applyFont="1" applyAlignment="1">
      <alignment wrapText="1"/>
    </xf>
    <xf numFmtId="0" fontId="6" fillId="0" borderId="0" xfId="0" applyFont="1" applyAlignment="1">
      <alignment vertical="top" wrapText="1"/>
    </xf>
    <xf numFmtId="0" fontId="1"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 fillId="0" borderId="0" xfId="0" applyFont="1" applyAlignment="1">
      <alignment vertical="top"/>
    </xf>
    <xf numFmtId="0" fontId="4" fillId="0" borderId="0" xfId="0" applyFont="1" applyAlignment="1">
      <alignment vertical="top"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164" fontId="1" fillId="0" borderId="0" xfId="0" applyNumberFormat="1" applyFont="1"/>
    <xf numFmtId="164" fontId="1" fillId="0" borderId="0" xfId="0" applyNumberFormat="1" applyFont="1" applyAlignment="1">
      <alignment horizontal="center"/>
    </xf>
    <xf numFmtId="0" fontId="1" fillId="0" borderId="0" xfId="0" applyFont="1" applyAlignment="1">
      <alignment wrapText="1"/>
    </xf>
    <xf numFmtId="164" fontId="12" fillId="0" borderId="0" xfId="0" applyNumberFormat="1" applyFont="1"/>
    <xf numFmtId="164" fontId="5" fillId="0" borderId="0" xfId="0" applyNumberFormat="1" applyFont="1" applyAlignment="1">
      <alignment horizontal="center"/>
    </xf>
    <xf numFmtId="164" fontId="13" fillId="0" borderId="0" xfId="0" applyNumberFormat="1" applyFont="1"/>
    <xf numFmtId="164" fontId="14" fillId="0" borderId="0" xfId="0" applyNumberFormat="1" applyFont="1"/>
    <xf numFmtId="165" fontId="15" fillId="2" borderId="1" xfId="0" applyNumberFormat="1" applyFont="1" applyFill="1" applyBorder="1" applyAlignment="1">
      <alignment horizontal="right"/>
    </xf>
    <xf numFmtId="17" fontId="15" fillId="2" borderId="1" xfId="0" applyNumberFormat="1" applyFont="1" applyFill="1" applyBorder="1"/>
    <xf numFmtId="17" fontId="1" fillId="0" borderId="1" xfId="0" applyNumberFormat="1" applyFont="1" applyBorder="1"/>
    <xf numFmtId="165" fontId="15" fillId="2" borderId="1" xfId="0" applyNumberFormat="1" applyFont="1" applyFill="1" applyBorder="1"/>
    <xf numFmtId="9" fontId="15" fillId="2" borderId="1" xfId="0" applyNumberFormat="1" applyFont="1" applyFill="1" applyBorder="1"/>
    <xf numFmtId="166" fontId="15" fillId="2" borderId="1" xfId="0" applyNumberFormat="1" applyFont="1" applyFill="1" applyBorder="1"/>
    <xf numFmtId="165" fontId="15" fillId="3" borderId="1" xfId="0" applyNumberFormat="1" applyFont="1" applyFill="1" applyBorder="1"/>
    <xf numFmtId="9" fontId="15" fillId="3" borderId="1" xfId="0" applyNumberFormat="1" applyFont="1" applyFill="1" applyBorder="1"/>
    <xf numFmtId="167" fontId="15" fillId="2" borderId="1" xfId="0" applyNumberFormat="1" applyFont="1" applyFill="1" applyBorder="1"/>
    <xf numFmtId="168" fontId="1" fillId="0" borderId="0" xfId="0" applyNumberFormat="1" applyFont="1"/>
    <xf numFmtId="164" fontId="16" fillId="0" borderId="0" xfId="0" applyNumberFormat="1" applyFont="1"/>
    <xf numFmtId="164" fontId="5" fillId="0" borderId="0" xfId="0" applyNumberFormat="1" applyFont="1"/>
    <xf numFmtId="164" fontId="17" fillId="0" borderId="0" xfId="0" applyNumberFormat="1" applyFont="1"/>
    <xf numFmtId="164" fontId="1" fillId="0" borderId="2" xfId="0" applyNumberFormat="1" applyFont="1" applyBorder="1"/>
    <xf numFmtId="164" fontId="1" fillId="0" borderId="2" xfId="0" applyNumberFormat="1" applyFont="1" applyBorder="1" applyAlignment="1">
      <alignment horizontal="center"/>
    </xf>
    <xf numFmtId="164" fontId="1" fillId="0" borderId="2" xfId="0" applyNumberFormat="1" applyFont="1" applyBorder="1" applyAlignment="1">
      <alignment horizontal="left"/>
    </xf>
    <xf numFmtId="169" fontId="1" fillId="0" borderId="2" xfId="0" applyNumberFormat="1" applyFont="1" applyBorder="1"/>
    <xf numFmtId="164" fontId="1" fillId="0" borderId="0" xfId="0" applyNumberFormat="1" applyFont="1" applyAlignment="1">
      <alignment horizontal="left"/>
    </xf>
    <xf numFmtId="165" fontId="1" fillId="0" borderId="0" xfId="0" applyNumberFormat="1" applyFont="1"/>
    <xf numFmtId="0" fontId="1" fillId="0" borderId="0" xfId="0" applyFont="1" applyAlignment="1">
      <alignment horizontal="center"/>
    </xf>
    <xf numFmtId="0" fontId="1" fillId="0" borderId="0" xfId="0" applyFont="1" applyAlignment="1">
      <alignment horizontal="right"/>
    </xf>
    <xf numFmtId="168" fontId="1" fillId="0" borderId="0" xfId="0" applyNumberFormat="1" applyFont="1" applyAlignment="1">
      <alignment horizontal="right"/>
    </xf>
    <xf numFmtId="43" fontId="1" fillId="0" borderId="0" xfId="0" applyNumberFormat="1" applyFont="1" applyAlignment="1">
      <alignment horizontal="right"/>
    </xf>
    <xf numFmtId="41"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right"/>
    </xf>
    <xf numFmtId="169" fontId="1" fillId="0" borderId="0" xfId="0" applyNumberFormat="1" applyFont="1"/>
    <xf numFmtId="170" fontId="1" fillId="0" borderId="0" xfId="0" applyNumberFormat="1" applyFont="1" applyAlignment="1">
      <alignment horizontal="center"/>
    </xf>
    <xf numFmtId="170" fontId="15" fillId="2" borderId="0" xfId="0" applyNumberFormat="1" applyFont="1" applyFill="1" applyAlignment="1">
      <alignment horizontal="center"/>
    </xf>
    <xf numFmtId="170" fontId="15" fillId="2" borderId="0" xfId="0" applyNumberFormat="1" applyFont="1" applyFill="1" applyAlignment="1">
      <alignment horizontal="left"/>
    </xf>
    <xf numFmtId="170" fontId="1" fillId="0" borderId="0" xfId="0" applyNumberFormat="1" applyFont="1"/>
    <xf numFmtId="41" fontId="15" fillId="2" borderId="0" xfId="0" applyNumberFormat="1" applyFont="1" applyFill="1" applyAlignment="1">
      <alignment horizontal="center"/>
    </xf>
    <xf numFmtId="169" fontId="1" fillId="0" borderId="0" xfId="0" applyNumberFormat="1" applyFont="1" applyAlignment="1">
      <alignment horizontal="left"/>
    </xf>
    <xf numFmtId="41" fontId="18" fillId="0" borderId="0" xfId="0" applyNumberFormat="1" applyFont="1" applyAlignment="1">
      <alignment horizontal="left"/>
    </xf>
    <xf numFmtId="41" fontId="1" fillId="0" borderId="0" xfId="0" applyNumberFormat="1" applyFont="1"/>
    <xf numFmtId="165" fontId="1" fillId="0" borderId="2" xfId="0" applyNumberFormat="1" applyFont="1" applyBorder="1"/>
    <xf numFmtId="17" fontId="1" fillId="0" borderId="0" xfId="0" applyNumberFormat="1" applyFont="1"/>
    <xf numFmtId="164" fontId="1" fillId="0" borderId="0" xfId="0" applyNumberFormat="1" applyFont="1" applyAlignment="1">
      <alignment horizontal="right"/>
    </xf>
    <xf numFmtId="9" fontId="19" fillId="2" borderId="0" xfId="0" applyNumberFormat="1" applyFont="1" applyFill="1" applyAlignment="1">
      <alignment horizontal="right"/>
    </xf>
    <xf numFmtId="41" fontId="19" fillId="2" borderId="0" xfId="0" applyNumberFormat="1" applyFont="1" applyFill="1" applyAlignment="1">
      <alignment horizontal="right"/>
    </xf>
    <xf numFmtId="164" fontId="20" fillId="0" borderId="0" xfId="0" applyNumberFormat="1" applyFont="1"/>
    <xf numFmtId="10" fontId="1" fillId="0" borderId="0" xfId="0" applyNumberFormat="1" applyFont="1" applyAlignment="1">
      <alignment horizontal="right"/>
    </xf>
    <xf numFmtId="10" fontId="1" fillId="0" borderId="0" xfId="0" applyNumberFormat="1" applyFont="1"/>
    <xf numFmtId="0" fontId="1" fillId="0" borderId="2" xfId="0" applyFont="1" applyBorder="1" applyAlignment="1">
      <alignment wrapText="1"/>
    </xf>
    <xf numFmtId="0" fontId="1" fillId="0" borderId="2" xfId="0" applyFont="1" applyBorder="1" applyAlignment="1">
      <alignment horizontal="center" wrapText="1"/>
    </xf>
    <xf numFmtId="0" fontId="1" fillId="0" borderId="0" xfId="0" applyFont="1" applyAlignment="1">
      <alignment horizontal="center" vertical="top" wrapText="1"/>
    </xf>
    <xf numFmtId="0" fontId="21" fillId="0" borderId="0" xfId="0" applyFont="1" applyAlignment="1">
      <alignment vertical="top"/>
    </xf>
    <xf numFmtId="0" fontId="1" fillId="0" borderId="0" xfId="0" applyFont="1" applyAlignment="1">
      <alignment horizontal="center" vertical="center" wrapText="1"/>
    </xf>
    <xf numFmtId="0" fontId="22" fillId="0" borderId="0" xfId="0" applyFont="1" applyAlignment="1">
      <alignment vertical="top"/>
    </xf>
    <xf numFmtId="0" fontId="20" fillId="0" borderId="0" xfId="0" applyFont="1"/>
    <xf numFmtId="0" fontId="12" fillId="0" borderId="0" xfId="0" applyFont="1"/>
    <xf numFmtId="0" fontId="13" fillId="0" borderId="0" xfId="0" applyFont="1"/>
    <xf numFmtId="0" fontId="20" fillId="0" borderId="2" xfId="0" applyFont="1" applyBorder="1"/>
    <xf numFmtId="0" fontId="20" fillId="4" borderId="0" xfId="0" applyFont="1" applyFill="1" applyAlignment="1">
      <alignment vertical="top"/>
    </xf>
    <xf numFmtId="0" fontId="20" fillId="5" borderId="0" xfId="0" applyFont="1" applyFill="1" applyAlignment="1">
      <alignment vertical="top" wrapText="1"/>
    </xf>
    <xf numFmtId="171" fontId="20" fillId="5" borderId="0" xfId="0" applyNumberFormat="1" applyFont="1" applyFill="1" applyAlignment="1">
      <alignment horizontal="left" vertical="top" wrapText="1"/>
    </xf>
    <xf numFmtId="0" fontId="20" fillId="4" borderId="0" xfId="0" applyFont="1" applyFill="1" applyAlignment="1">
      <alignment vertical="top" wrapText="1"/>
    </xf>
    <xf numFmtId="171" fontId="20" fillId="4" borderId="0" xfId="0" applyNumberFormat="1" applyFont="1" applyFill="1" applyAlignment="1">
      <alignment horizontal="left" vertical="top" wrapText="1"/>
    </xf>
    <xf numFmtId="0" fontId="20" fillId="0" borderId="0" xfId="0" applyFont="1" applyAlignment="1">
      <alignment vertical="top"/>
    </xf>
    <xf numFmtId="171" fontId="20" fillId="0" borderId="0" xfId="0" applyNumberFormat="1" applyFont="1" applyAlignment="1">
      <alignment vertical="top"/>
    </xf>
    <xf numFmtId="165" fontId="20" fillId="0" borderId="0" xfId="0" applyNumberFormat="1" applyFont="1" applyAlignment="1">
      <alignment vertical="top"/>
    </xf>
    <xf numFmtId="0" fontId="1" fillId="0" borderId="0" xfId="0" applyFont="1" applyAlignment="1">
      <alignment horizontal="center" vertical="center" wrapText="1"/>
      <extLst>
        <ext xmlns:xfpb="http://schemas.microsoft.com/office/spreadsheetml/2022/featurepropertybag" uri="{C7286773-470A-42A8-94C5-96B5CB345126}">
          <xfpb:xfComplement i="0"/>
        </ext>
      </extLst>
    </xf>
    <xf numFmtId="0" fontId="1" fillId="0" borderId="0" xfId="0" applyFont="1" applyAlignment="1">
      <alignment horizontal="left"/>
    </xf>
    <xf numFmtId="0" fontId="1" fillId="0" borderId="2" xfId="0" applyFont="1" applyBorder="1" applyAlignment="1">
      <alignment horizontal="left" wrapText="1"/>
    </xf>
    <xf numFmtId="0" fontId="1" fillId="0" borderId="0" xfId="0" applyFont="1" applyAlignment="1">
      <alignment horizontal="left" vertical="top" wrapText="1"/>
    </xf>
    <xf numFmtId="0" fontId="0" fillId="0" borderId="0" xfId="0" applyAlignment="1">
      <alignment horizontal="left"/>
    </xf>
  </cellXfs>
  <cellStyles count="1">
    <cellStyle name="Normal" xfId="0" builtinId="0"/>
  </cellStyles>
  <dxfs count="12">
    <dxf>
      <alignment horizontal="left" textRotation="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4">
    <tableStyle name="README-style" pivot="0" count="3" xr9:uid="{00000000-0011-0000-FFFF-FFFF00000000}">
      <tableStyleElement type="headerRow" dxfId="11"/>
      <tableStyleElement type="firstRowStripe" dxfId="10"/>
      <tableStyleElement type="secondRowStripe" dxfId="9"/>
    </tableStyle>
    <tableStyle name="README-style 2" pivot="0" count="3" xr9:uid="{00000000-0011-0000-FFFF-FFFF01000000}">
      <tableStyleElement type="headerRow" dxfId="8"/>
      <tableStyleElement type="firstRowStripe" dxfId="7"/>
      <tableStyleElement type="secondRowStripe" dxfId="6"/>
    </tableStyle>
    <tableStyle name="Model Comparison-style" pivot="0" count="3" xr9:uid="{00000000-0011-0000-FFFF-FFFF02000000}">
      <tableStyleElement type="headerRow" dxfId="5"/>
      <tableStyleElement type="firstRowStripe" dxfId="4"/>
      <tableStyleElement type="secondRowStripe" dxfId="3"/>
    </tableStyle>
    <tableStyle name="Changelog-style" pivot="0" count="2" xr9:uid="{00000000-0011-0000-FFFF-FFFF03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Revenues, Cost of Sales, and Marketing Spend</a:t>
            </a:r>
          </a:p>
        </c:rich>
      </c:tx>
      <c:overlay val="0"/>
    </c:title>
    <c:autoTitleDeleted val="0"/>
    <c:plotArea>
      <c:layout/>
      <c:lineChart>
        <c:grouping val="standard"/>
        <c:varyColors val="1"/>
        <c:ser>
          <c:idx val="0"/>
          <c:order val="0"/>
          <c:tx>
            <c:v> Total Revenues </c:v>
          </c:tx>
          <c:spPr>
            <a:ln w="19050" cmpd="sng">
              <a:solidFill>
                <a:srgbClr val="4285F4"/>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Forecast!$T$173:$BO$173</c:f>
              <c:numCache>
                <c:formatCode>_(* #,##0_);_(* \(#,##0\);_(* "-"_);_(@_)</c:formatCode>
                <c:ptCount val="48"/>
                <c:pt idx="0">
                  <c:v>305928.95819071401</c:v>
                </c:pt>
                <c:pt idx="1">
                  <c:v>125897.78534690724</c:v>
                </c:pt>
                <c:pt idx="2">
                  <c:v>179167.87138758699</c:v>
                </c:pt>
                <c:pt idx="3">
                  <c:v>216369.401141482</c:v>
                </c:pt>
                <c:pt idx="4">
                  <c:v>330021.38698074972</c:v>
                </c:pt>
                <c:pt idx="5">
                  <c:v>487542.62467441428</c:v>
                </c:pt>
                <c:pt idx="6">
                  <c:v>670629.78327292774</c:v>
                </c:pt>
                <c:pt idx="7">
                  <c:v>938196.26304349001</c:v>
                </c:pt>
                <c:pt idx="8">
                  <c:v>1268002.0402687776</c:v>
                </c:pt>
                <c:pt idx="9">
                  <c:v>1645441.4748239676</c:v>
                </c:pt>
                <c:pt idx="10">
                  <c:v>2101250.1023308677</c:v>
                </c:pt>
                <c:pt idx="11">
                  <c:v>2615616.557548508</c:v>
                </c:pt>
                <c:pt idx="12">
                  <c:v>3173401.7832667241</c:v>
                </c:pt>
                <c:pt idx="13">
                  <c:v>3786359.4347102409</c:v>
                </c:pt>
                <c:pt idx="14">
                  <c:v>4436751.3429334974</c:v>
                </c:pt>
                <c:pt idx="15">
                  <c:v>5110565.663538971</c:v>
                </c:pt>
                <c:pt idx="16">
                  <c:v>5810218.5919173062</c:v>
                </c:pt>
                <c:pt idx="17">
                  <c:v>6521955.1710934415</c:v>
                </c:pt>
                <c:pt idx="18">
                  <c:v>7235155.2906478988</c:v>
                </c:pt>
                <c:pt idx="19">
                  <c:v>7949303.9244004302</c:v>
                </c:pt>
                <c:pt idx="20">
                  <c:v>8655395.4410995953</c:v>
                </c:pt>
                <c:pt idx="21">
                  <c:v>9346819.8039904963</c:v>
                </c:pt>
                <c:pt idx="22">
                  <c:v>10023057.114036566</c:v>
                </c:pt>
                <c:pt idx="23">
                  <c:v>10679210.247103635</c:v>
                </c:pt>
                <c:pt idx="24">
                  <c:v>11312003.655576162</c:v>
                </c:pt>
                <c:pt idx="25">
                  <c:v>11921695.830128862</c:v>
                </c:pt>
                <c:pt idx="26">
                  <c:v>12506270.071440881</c:v>
                </c:pt>
                <c:pt idx="27">
                  <c:v>13064687.047932006</c:v>
                </c:pt>
                <c:pt idx="28">
                  <c:v>13597862.916592553</c:v>
                </c:pt>
                <c:pt idx="29">
                  <c:v>14105492.169268373</c:v>
                </c:pt>
                <c:pt idx="30">
                  <c:v>14587792.660225345</c:v>
                </c:pt>
                <c:pt idx="31">
                  <c:v>15046005.33607435</c:v>
                </c:pt>
                <c:pt idx="32">
                  <c:v>15480681.927462809</c:v>
                </c:pt>
                <c:pt idx="33">
                  <c:v>15892615.521659639</c:v>
                </c:pt>
                <c:pt idx="34">
                  <c:v>16283098.170492988</c:v>
                </c:pt>
                <c:pt idx="35">
                  <c:v>16653011.314986873</c:v>
                </c:pt>
                <c:pt idx="36">
                  <c:v>17003418.372521818</c:v>
                </c:pt>
                <c:pt idx="37">
                  <c:v>17335316.365273707</c:v>
                </c:pt>
                <c:pt idx="38">
                  <c:v>17649725.223403133</c:v>
                </c:pt>
                <c:pt idx="39">
                  <c:v>17947631.287986901</c:v>
                </c:pt>
                <c:pt idx="40">
                  <c:v>18229950.930623587</c:v>
                </c:pt>
                <c:pt idx="41">
                  <c:v>18497580.087964818</c:v>
                </c:pt>
                <c:pt idx="42">
                  <c:v>18751367.523133673</c:v>
                </c:pt>
                <c:pt idx="43">
                  <c:v>18992098.707978185</c:v>
                </c:pt>
                <c:pt idx="44">
                  <c:v>19220524.112599753</c:v>
                </c:pt>
                <c:pt idx="45">
                  <c:v>19437347.677335963</c:v>
                </c:pt>
                <c:pt idx="46">
                  <c:v>19643220.697302319</c:v>
                </c:pt>
                <c:pt idx="47">
                  <c:v>19838758.41922839</c:v>
                </c:pt>
              </c:numCache>
            </c:numRef>
          </c:val>
          <c:smooth val="0"/>
          <c:extLst>
            <c:ext xmlns:c16="http://schemas.microsoft.com/office/drawing/2014/chart" uri="{C3380CC4-5D6E-409C-BE32-E72D297353CC}">
              <c16:uniqueId val="{00000000-F479-AE4F-B3D2-4DD7E9F23939}"/>
            </c:ext>
          </c:extLst>
        </c:ser>
        <c:ser>
          <c:idx val="1"/>
          <c:order val="1"/>
          <c:tx>
            <c:v> Shipping Cost of Sales </c:v>
          </c:tx>
          <c:spPr>
            <a:ln w="19050" cmpd="sng">
              <a:solidFill>
                <a:srgbClr val="FF0000">
                  <a:alpha val="100000"/>
                </a:srgbClr>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Forecast!$T$174:$BO$174</c:f>
              <c:numCache>
                <c:formatCode>_(* #,##0_);_(* \(#,##0\);_(* "-"_);_(@_)</c:formatCode>
                <c:ptCount val="48"/>
                <c:pt idx="0">
                  <c:v>76482.239547678502</c:v>
                </c:pt>
                <c:pt idx="1">
                  <c:v>31474.446336726811</c:v>
                </c:pt>
                <c:pt idx="2">
                  <c:v>44791.967846896747</c:v>
                </c:pt>
                <c:pt idx="3">
                  <c:v>54092.350285370499</c:v>
                </c:pt>
                <c:pt idx="4">
                  <c:v>82505.346745187431</c:v>
                </c:pt>
                <c:pt idx="5">
                  <c:v>121885.65616860357</c:v>
                </c:pt>
                <c:pt idx="6">
                  <c:v>167657.44581823194</c:v>
                </c:pt>
                <c:pt idx="7">
                  <c:v>234549.0657608725</c:v>
                </c:pt>
                <c:pt idx="8">
                  <c:v>317000.51006719441</c:v>
                </c:pt>
                <c:pt idx="9">
                  <c:v>411360.36870599189</c:v>
                </c:pt>
                <c:pt idx="10">
                  <c:v>525312.52558271692</c:v>
                </c:pt>
                <c:pt idx="11">
                  <c:v>653904.13938712701</c:v>
                </c:pt>
                <c:pt idx="12">
                  <c:v>793350.44581668102</c:v>
                </c:pt>
                <c:pt idx="13">
                  <c:v>946589.85867756023</c:v>
                </c:pt>
                <c:pt idx="14">
                  <c:v>1109187.8357333743</c:v>
                </c:pt>
                <c:pt idx="15">
                  <c:v>1277641.4158847427</c:v>
                </c:pt>
                <c:pt idx="16">
                  <c:v>1452554.6479793265</c:v>
                </c:pt>
                <c:pt idx="17">
                  <c:v>1630488.7927733604</c:v>
                </c:pt>
                <c:pt idx="18">
                  <c:v>1808788.8226619747</c:v>
                </c:pt>
                <c:pt idx="19">
                  <c:v>1987325.9811001075</c:v>
                </c:pt>
                <c:pt idx="20">
                  <c:v>2163848.8602748988</c:v>
                </c:pt>
                <c:pt idx="21">
                  <c:v>2336704.9509976241</c:v>
                </c:pt>
                <c:pt idx="22">
                  <c:v>2505764.2785091414</c:v>
                </c:pt>
                <c:pt idx="23">
                  <c:v>2669802.5617759088</c:v>
                </c:pt>
                <c:pt idx="24">
                  <c:v>2828000.9138940405</c:v>
                </c:pt>
                <c:pt idx="25">
                  <c:v>2980423.9575322154</c:v>
                </c:pt>
                <c:pt idx="26">
                  <c:v>3126567.5178602203</c:v>
                </c:pt>
                <c:pt idx="27">
                  <c:v>3266171.7619830016</c:v>
                </c:pt>
                <c:pt idx="28">
                  <c:v>3399465.7291481383</c:v>
                </c:pt>
                <c:pt idx="29">
                  <c:v>3526373.0423170933</c:v>
                </c:pt>
                <c:pt idx="30">
                  <c:v>3646948.1650563362</c:v>
                </c:pt>
                <c:pt idx="31">
                  <c:v>3761501.3340185876</c:v>
                </c:pt>
                <c:pt idx="32">
                  <c:v>3870170.4818657022</c:v>
                </c:pt>
                <c:pt idx="33">
                  <c:v>3973153.8804149097</c:v>
                </c:pt>
                <c:pt idx="34">
                  <c:v>4070774.542623247</c:v>
                </c:pt>
                <c:pt idx="35">
                  <c:v>4163252.8287467184</c:v>
                </c:pt>
                <c:pt idx="36">
                  <c:v>4250854.5931304544</c:v>
                </c:pt>
                <c:pt idx="37">
                  <c:v>4333829.0913184267</c:v>
                </c:pt>
                <c:pt idx="38">
                  <c:v>4412431.3058507834</c:v>
                </c:pt>
                <c:pt idx="39">
                  <c:v>4486907.8219967252</c:v>
                </c:pt>
                <c:pt idx="40">
                  <c:v>4557487.7326558968</c:v>
                </c:pt>
                <c:pt idx="41">
                  <c:v>4624395.0219912045</c:v>
                </c:pt>
                <c:pt idx="42">
                  <c:v>4687841.8807834182</c:v>
                </c:pt>
                <c:pt idx="43">
                  <c:v>4748024.6769945463</c:v>
                </c:pt>
                <c:pt idx="44">
                  <c:v>4805131.0281499382</c:v>
                </c:pt>
                <c:pt idx="45">
                  <c:v>4859336.9193339907</c:v>
                </c:pt>
                <c:pt idx="46">
                  <c:v>4910805.1743255798</c:v>
                </c:pt>
                <c:pt idx="47">
                  <c:v>4959689.6048070975</c:v>
                </c:pt>
              </c:numCache>
            </c:numRef>
          </c:val>
          <c:smooth val="0"/>
          <c:extLst>
            <c:ext xmlns:c16="http://schemas.microsoft.com/office/drawing/2014/chart" uri="{C3380CC4-5D6E-409C-BE32-E72D297353CC}">
              <c16:uniqueId val="{00000001-F479-AE4F-B3D2-4DD7E9F23939}"/>
            </c:ext>
          </c:extLst>
        </c:ser>
        <c:ser>
          <c:idx val="2"/>
          <c:order val="2"/>
          <c:tx>
            <c:v> Marketing Spend </c:v>
          </c:tx>
          <c:spPr>
            <a:ln w="19050" cmpd="sng">
              <a:solidFill>
                <a:srgbClr val="FBBC04"/>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Forecast!$T$175:$BO$175</c:f>
              <c:numCache>
                <c:formatCode>_(* #,##0_);_(* \(#,##0\);_(* "-"_);_(@_)</c:formatCode>
                <c:ptCount val="48"/>
                <c:pt idx="0">
                  <c:v>30592.895819071404</c:v>
                </c:pt>
                <c:pt idx="1">
                  <c:v>12589.778534690726</c:v>
                </c:pt>
                <c:pt idx="2">
                  <c:v>17916.7871387587</c:v>
                </c:pt>
                <c:pt idx="3">
                  <c:v>21636.940114148201</c:v>
                </c:pt>
                <c:pt idx="4">
                  <c:v>33002.138698074974</c:v>
                </c:pt>
                <c:pt idx="5">
                  <c:v>48754.262467441433</c:v>
                </c:pt>
                <c:pt idx="6">
                  <c:v>67062.978327292774</c:v>
                </c:pt>
                <c:pt idx="7">
                  <c:v>93819.626304349003</c:v>
                </c:pt>
                <c:pt idx="8">
                  <c:v>126800.20402687776</c:v>
                </c:pt>
                <c:pt idx="9">
                  <c:v>164544.14748239677</c:v>
                </c:pt>
                <c:pt idx="10">
                  <c:v>210125.01023308677</c:v>
                </c:pt>
                <c:pt idx="11">
                  <c:v>261561.65575485083</c:v>
                </c:pt>
                <c:pt idx="12">
                  <c:v>317340.17832667241</c:v>
                </c:pt>
                <c:pt idx="13">
                  <c:v>378635.9434710241</c:v>
                </c:pt>
                <c:pt idx="14">
                  <c:v>443675.13429334975</c:v>
                </c:pt>
                <c:pt idx="15">
                  <c:v>511056.5663538971</c:v>
                </c:pt>
                <c:pt idx="16">
                  <c:v>581021.85919173062</c:v>
                </c:pt>
                <c:pt idx="17">
                  <c:v>652195.51710934425</c:v>
                </c:pt>
                <c:pt idx="18">
                  <c:v>723515.52906478988</c:v>
                </c:pt>
                <c:pt idx="19">
                  <c:v>794930.39244004304</c:v>
                </c:pt>
                <c:pt idx="20">
                  <c:v>865539.54410995962</c:v>
                </c:pt>
                <c:pt idx="21">
                  <c:v>934681.9803990497</c:v>
                </c:pt>
                <c:pt idx="22">
                  <c:v>1002305.7114036566</c:v>
                </c:pt>
                <c:pt idx="23">
                  <c:v>1067921.0247103635</c:v>
                </c:pt>
                <c:pt idx="24">
                  <c:v>1131200.3655576163</c:v>
                </c:pt>
                <c:pt idx="25">
                  <c:v>1192169.5830128861</c:v>
                </c:pt>
                <c:pt idx="26">
                  <c:v>1250627.0071440882</c:v>
                </c:pt>
                <c:pt idx="27">
                  <c:v>1306468.7047932008</c:v>
                </c:pt>
                <c:pt idx="28">
                  <c:v>1359786.2916592555</c:v>
                </c:pt>
                <c:pt idx="29">
                  <c:v>1410549.2169268373</c:v>
                </c:pt>
                <c:pt idx="30">
                  <c:v>1458779.2660225346</c:v>
                </c:pt>
                <c:pt idx="31">
                  <c:v>1504600.5336074352</c:v>
                </c:pt>
                <c:pt idx="32">
                  <c:v>1548068.1927462809</c:v>
                </c:pt>
                <c:pt idx="33">
                  <c:v>1589261.5521659639</c:v>
                </c:pt>
                <c:pt idx="34">
                  <c:v>1628309.8170492989</c:v>
                </c:pt>
                <c:pt idx="35">
                  <c:v>1665301.1314986874</c:v>
                </c:pt>
                <c:pt idx="36">
                  <c:v>1700341.837252182</c:v>
                </c:pt>
                <c:pt idx="37">
                  <c:v>1733531.6365273707</c:v>
                </c:pt>
                <c:pt idx="38">
                  <c:v>1764972.5223403135</c:v>
                </c:pt>
                <c:pt idx="39">
                  <c:v>1794763.1287986902</c:v>
                </c:pt>
                <c:pt idx="40">
                  <c:v>1822995.0930623589</c:v>
                </c:pt>
                <c:pt idx="41">
                  <c:v>1849758.0087964819</c:v>
                </c:pt>
                <c:pt idx="42">
                  <c:v>1875136.7523133673</c:v>
                </c:pt>
                <c:pt idx="43">
                  <c:v>1899209.8707978185</c:v>
                </c:pt>
                <c:pt idx="44">
                  <c:v>1922052.4112599753</c:v>
                </c:pt>
                <c:pt idx="45">
                  <c:v>1943734.7677335963</c:v>
                </c:pt>
                <c:pt idx="46">
                  <c:v>1964322.069730232</c:v>
                </c:pt>
                <c:pt idx="47">
                  <c:v>1983875.8419228392</c:v>
                </c:pt>
              </c:numCache>
            </c:numRef>
          </c:val>
          <c:smooth val="0"/>
          <c:extLst>
            <c:ext xmlns:c16="http://schemas.microsoft.com/office/drawing/2014/chart" uri="{C3380CC4-5D6E-409C-BE32-E72D297353CC}">
              <c16:uniqueId val="{00000002-F479-AE4F-B3D2-4DD7E9F23939}"/>
            </c:ext>
          </c:extLst>
        </c:ser>
        <c:ser>
          <c:idx val="3"/>
          <c:order val="3"/>
          <c:tx>
            <c:strRef>
              <c:f>Forecast!$S$176</c:f>
              <c:strCache>
                <c:ptCount val="1"/>
                <c:pt idx="0">
                  <c:v> Additional Cost of Sales </c:v>
                </c:pt>
              </c:strCache>
            </c:strRef>
          </c:tx>
          <c:spPr>
            <a:ln cmpd="sng">
              <a:solidFill>
                <a:srgbClr val="34A853"/>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Forecast!$T$176:$BO$176</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3-F479-AE4F-B3D2-4DD7E9F23939}"/>
            </c:ext>
          </c:extLst>
        </c:ser>
        <c:ser>
          <c:idx val="4"/>
          <c:order val="4"/>
          <c:tx>
            <c:strRef>
              <c:f>Forecast!$S$180</c:f>
              <c:strCache>
                <c:ptCount val="1"/>
                <c:pt idx="0">
                  <c:v> Operating Income </c:v>
                </c:pt>
              </c:strCache>
            </c:strRef>
          </c:tx>
          <c:spPr>
            <a:ln cmpd="sng">
              <a:solidFill>
                <a:srgbClr val="FF6D01"/>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Forecast!$T$180:$BO$180</c:f>
              <c:numCache>
                <c:formatCode>_(* #,##0_);_(* \(#,##0\);_(* "-"_);_(@_)</c:formatCode>
                <c:ptCount val="48"/>
                <c:pt idx="0">
                  <c:v>112746.58327628562</c:v>
                </c:pt>
                <c:pt idx="1">
                  <c:v>36101.648866606774</c:v>
                </c:pt>
                <c:pt idx="2">
                  <c:v>50904.713788423105</c:v>
                </c:pt>
                <c:pt idx="3">
                  <c:v>55378.200371236075</c:v>
                </c:pt>
                <c:pt idx="4">
                  <c:v>91674.963880726471</c:v>
                </c:pt>
                <c:pt idx="5">
                  <c:v>146665.59352640517</c:v>
                </c:pt>
                <c:pt idx="6">
                  <c:v>212576.51797884679</c:v>
                </c:pt>
                <c:pt idx="7">
                  <c:v>320079.5608342971</c:v>
                </c:pt>
                <c:pt idx="8">
                  <c:v>460392.27702578006</c:v>
                </c:pt>
                <c:pt idx="9">
                  <c:v>627786.43743445701</c:v>
                </c:pt>
                <c:pt idx="10">
                  <c:v>839996.95328757935</c:v>
                </c:pt>
                <c:pt idx="11">
                  <c:v>1088288.5495361884</c:v>
                </c:pt>
                <c:pt idx="12">
                  <c:v>1365680.0918707638</c:v>
                </c:pt>
                <c:pt idx="13">
                  <c:v>1679341.6450463687</c:v>
                </c:pt>
                <c:pt idx="14">
                  <c:v>2020170.1317619723</c:v>
                </c:pt>
                <c:pt idx="15">
                  <c:v>2380602.7029205677</c:v>
                </c:pt>
                <c:pt idx="16">
                  <c:v>2761909.7000964992</c:v>
                </c:pt>
                <c:pt idx="17">
                  <c:v>3156174.0764618204</c:v>
                </c:pt>
                <c:pt idx="18">
                  <c:v>3556998.3549561072</c:v>
                </c:pt>
                <c:pt idx="19">
                  <c:v>3963590.5402241349</c:v>
                </c:pt>
                <c:pt idx="20">
                  <c:v>4370288.2069438342</c:v>
                </c:pt>
                <c:pt idx="21">
                  <c:v>4772731.8737853793</c:v>
                </c:pt>
                <c:pt idx="22">
                  <c:v>5170055.6783787273</c:v>
                </c:pt>
                <c:pt idx="23">
                  <c:v>5558895.837368696</c:v>
                </c:pt>
                <c:pt idx="24">
                  <c:v>5936841.6249320731</c:v>
                </c:pt>
                <c:pt idx="25">
                  <c:v>6303573.812579141</c:v>
                </c:pt>
                <c:pt idx="26">
                  <c:v>6657494.030848898</c:v>
                </c:pt>
                <c:pt idx="27">
                  <c:v>6997613.1727380306</c:v>
                </c:pt>
                <c:pt idx="28">
                  <c:v>7324132.7517791744</c:v>
                </c:pt>
                <c:pt idx="29">
                  <c:v>7636580.16786802</c:v>
                </c:pt>
                <c:pt idx="30">
                  <c:v>7934827.8328985814</c:v>
                </c:pt>
                <c:pt idx="31">
                  <c:v>8219388.6283057462</c:v>
                </c:pt>
                <c:pt idx="32">
                  <c:v>8490401.1186951175</c:v>
                </c:pt>
                <c:pt idx="33">
                  <c:v>8748175.0476006661</c:v>
                </c:pt>
                <c:pt idx="34">
                  <c:v>8993342.4886476528</c:v>
                </c:pt>
                <c:pt idx="35">
                  <c:v>9226314.3072111364</c:v>
                </c:pt>
                <c:pt idx="36">
                  <c:v>9447629.2696972433</c:v>
                </c:pt>
                <c:pt idx="37">
                  <c:v>9657803.6609561741</c:v>
                </c:pt>
                <c:pt idx="38">
                  <c:v>9857382.1949108336</c:v>
                </c:pt>
                <c:pt idx="39">
                  <c:v>10046902.221437801</c:v>
                </c:pt>
                <c:pt idx="40">
                  <c:v>10226870.029438058</c:v>
                </c:pt>
                <c:pt idx="41">
                  <c:v>10397788.878236998</c:v>
                </c:pt>
                <c:pt idx="42">
                  <c:v>10560141.570160162</c:v>
                </c:pt>
                <c:pt idx="43">
                  <c:v>10714379.510725103</c:v>
                </c:pt>
                <c:pt idx="44">
                  <c:v>10860938.639052033</c:v>
                </c:pt>
                <c:pt idx="45">
                  <c:v>11000231.590951437</c:v>
                </c:pt>
                <c:pt idx="46">
                  <c:v>11132643.219162183</c:v>
                </c:pt>
                <c:pt idx="47">
                  <c:v>11258539.919536985</c:v>
                </c:pt>
              </c:numCache>
            </c:numRef>
          </c:val>
          <c:smooth val="0"/>
          <c:extLst>
            <c:ext xmlns:c16="http://schemas.microsoft.com/office/drawing/2014/chart" uri="{C3380CC4-5D6E-409C-BE32-E72D297353CC}">
              <c16:uniqueId val="{00000004-F479-AE4F-B3D2-4DD7E9F23939}"/>
            </c:ext>
          </c:extLst>
        </c:ser>
        <c:ser>
          <c:idx val="5"/>
          <c:order val="5"/>
          <c:tx>
            <c:strRef>
              <c:f>Forecast!$S$179</c:f>
              <c:strCache>
                <c:ptCount val="1"/>
                <c:pt idx="0">
                  <c:v> Marketing Spend </c:v>
                </c:pt>
              </c:strCache>
            </c:strRef>
          </c:tx>
          <c:spPr>
            <a:ln cmpd="sng">
              <a:solidFill>
                <a:srgbClr val="46BDC6"/>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Forecast!$T$179:$BO$179</c:f>
              <c:numCache>
                <c:formatCode>_(* #,##0_);_(* \(#,##0\);_(* "-"_);_(@_)</c:formatCode>
                <c:ptCount val="48"/>
                <c:pt idx="0">
                  <c:v>86107.239547678502</c:v>
                </c:pt>
                <c:pt idx="1">
                  <c:v>45731.911608882932</c:v>
                </c:pt>
                <c:pt idx="2">
                  <c:v>65554.402613508428</c:v>
                </c:pt>
                <c:pt idx="3">
                  <c:v>85261.910370727215</c:v>
                </c:pt>
                <c:pt idx="4">
                  <c:v>122838.93765676084</c:v>
                </c:pt>
                <c:pt idx="5">
                  <c:v>170237.11251196411</c:v>
                </c:pt>
                <c:pt idx="6">
                  <c:v>223332.84114855621</c:v>
                </c:pt>
                <c:pt idx="7">
                  <c:v>289748.01014397142</c:v>
                </c:pt>
                <c:pt idx="8">
                  <c:v>363809.04914892546</c:v>
                </c:pt>
                <c:pt idx="9">
                  <c:v>441750.5212011218</c:v>
                </c:pt>
                <c:pt idx="10">
                  <c:v>525815.61322748451</c:v>
                </c:pt>
                <c:pt idx="11">
                  <c:v>611862.21287034196</c:v>
                </c:pt>
                <c:pt idx="12">
                  <c:v>697031.06725260674</c:v>
                </c:pt>
                <c:pt idx="13">
                  <c:v>781791.98751528806</c:v>
                </c:pt>
                <c:pt idx="14">
                  <c:v>863718.24114480102</c:v>
                </c:pt>
                <c:pt idx="15">
                  <c:v>941264.9783797632</c:v>
                </c:pt>
                <c:pt idx="16">
                  <c:v>1014732.3846497497</c:v>
                </c:pt>
                <c:pt idx="17">
                  <c:v>1083096.784748917</c:v>
                </c:pt>
                <c:pt idx="18">
                  <c:v>1145852.583965027</c:v>
                </c:pt>
                <c:pt idx="19">
                  <c:v>1203457.0106361455</c:v>
                </c:pt>
                <c:pt idx="20">
                  <c:v>1255718.8297709026</c:v>
                </c:pt>
                <c:pt idx="21">
                  <c:v>1302700.9988084426</c:v>
                </c:pt>
                <c:pt idx="22">
                  <c:v>1344931.4457450397</c:v>
                </c:pt>
                <c:pt idx="23">
                  <c:v>1382590.8232486665</c:v>
                </c:pt>
                <c:pt idx="24">
                  <c:v>1415960.7511924319</c:v>
                </c:pt>
                <c:pt idx="25">
                  <c:v>1445528.4770046193</c:v>
                </c:pt>
                <c:pt idx="26">
                  <c:v>1471581.515587674</c:v>
                </c:pt>
                <c:pt idx="27">
                  <c:v>1494433.4084177725</c:v>
                </c:pt>
                <c:pt idx="28">
                  <c:v>1514478.1440059864</c:v>
                </c:pt>
                <c:pt idx="29">
                  <c:v>1531989.7421564222</c:v>
                </c:pt>
                <c:pt idx="30">
                  <c:v>1547237.3962478915</c:v>
                </c:pt>
                <c:pt idx="31">
                  <c:v>1560514.8401425818</c:v>
                </c:pt>
                <c:pt idx="32">
                  <c:v>1572042.13415571</c:v>
                </c:pt>
                <c:pt idx="33">
                  <c:v>1582025.0414780993</c:v>
                </c:pt>
                <c:pt idx="34">
                  <c:v>1590671.3221727889</c:v>
                </c:pt>
                <c:pt idx="35">
                  <c:v>1598143.0475303303</c:v>
                </c:pt>
                <c:pt idx="36">
                  <c:v>1604592.6724419394</c:v>
                </c:pt>
                <c:pt idx="37">
                  <c:v>1610151.9764717356</c:v>
                </c:pt>
                <c:pt idx="38">
                  <c:v>1614939.2003012013</c:v>
                </c:pt>
                <c:pt idx="39">
                  <c:v>1619058.1157536847</c:v>
                </c:pt>
                <c:pt idx="40">
                  <c:v>1622598.0754672741</c:v>
                </c:pt>
                <c:pt idx="41">
                  <c:v>1625638.1789401334</c:v>
                </c:pt>
                <c:pt idx="42">
                  <c:v>1628247.319876726</c:v>
                </c:pt>
                <c:pt idx="43">
                  <c:v>1630484.6494607178</c:v>
                </c:pt>
                <c:pt idx="44">
                  <c:v>1632402.0341378057</c:v>
                </c:pt>
                <c:pt idx="45">
                  <c:v>1634044.3993169381</c:v>
                </c:pt>
                <c:pt idx="46">
                  <c:v>1635450.2340843251</c:v>
                </c:pt>
                <c:pt idx="47">
                  <c:v>1636653.0529614682</c:v>
                </c:pt>
              </c:numCache>
            </c:numRef>
          </c:val>
          <c:smooth val="0"/>
          <c:extLst>
            <c:ext xmlns:c16="http://schemas.microsoft.com/office/drawing/2014/chart" uri="{C3380CC4-5D6E-409C-BE32-E72D297353CC}">
              <c16:uniqueId val="{00000005-F479-AE4F-B3D2-4DD7E9F23939}"/>
            </c:ext>
          </c:extLst>
        </c:ser>
        <c:ser>
          <c:idx val="6"/>
          <c:order val="6"/>
          <c:tx>
            <c:strRef>
              <c:f>Forecast!$S$177</c:f>
              <c:strCache>
                <c:ptCount val="1"/>
                <c:pt idx="0">
                  <c:v> Shipping Cost of Sales </c:v>
                </c:pt>
              </c:strCache>
            </c:strRef>
          </c:tx>
          <c:spPr>
            <a:ln cmpd="sng">
              <a:solidFill>
                <a:srgbClr val="7BAAF7"/>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Forecast!$T$177:$BO$177</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6-F479-AE4F-B3D2-4DD7E9F23939}"/>
            </c:ext>
          </c:extLst>
        </c:ser>
        <c:dLbls>
          <c:showLegendKey val="0"/>
          <c:showVal val="0"/>
          <c:showCatName val="0"/>
          <c:showSerName val="0"/>
          <c:showPercent val="0"/>
          <c:showBubbleSize val="0"/>
        </c:dLbls>
        <c:smooth val="0"/>
        <c:axId val="1608883184"/>
        <c:axId val="858465989"/>
      </c:lineChart>
      <c:dateAx>
        <c:axId val="1608883184"/>
        <c:scaling>
          <c:orientation val="minMax"/>
        </c:scaling>
        <c:delete val="0"/>
        <c:axPos val="b"/>
        <c:title>
          <c:tx>
            <c:rich>
              <a:bodyPr/>
              <a:lstStyle/>
              <a:p>
                <a:pPr lvl="0">
                  <a:defRPr b="0">
                    <a:solidFill>
                      <a:srgbClr val="000000"/>
                    </a:solidFill>
                    <a:latin typeface="+mn-lt"/>
                  </a:defRPr>
                </a:pPr>
                <a:endParaRPr lang="en-US"/>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858465989"/>
        <c:crosses val="autoZero"/>
        <c:auto val="1"/>
        <c:lblOffset val="100"/>
        <c:baseTimeUnit val="months"/>
      </c:dateAx>
      <c:valAx>
        <c:axId val="8584659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quot;$&quot;#,##0" sourceLinked="0"/>
        <c:majorTickMark val="none"/>
        <c:minorTickMark val="none"/>
        <c:tickLblPos val="nextTo"/>
        <c:spPr>
          <a:ln/>
        </c:spPr>
        <c:txPr>
          <a:bodyPr/>
          <a:lstStyle/>
          <a:p>
            <a:pPr lvl="0">
              <a:defRPr sz="900" b="0" i="0">
                <a:solidFill>
                  <a:srgbClr val="000000"/>
                </a:solidFill>
                <a:latin typeface="+mn-lt"/>
              </a:defRPr>
            </a:pPr>
            <a:endParaRPr lang="en-US"/>
          </a:p>
        </c:txPr>
        <c:crossAx val="1608883184"/>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Orders, per Period</a:t>
            </a:r>
          </a:p>
        </c:rich>
      </c:tx>
      <c:overlay val="0"/>
    </c:title>
    <c:autoTitleDeleted val="0"/>
    <c:plotArea>
      <c:layout/>
      <c:areaChart>
        <c:grouping val="stacked"/>
        <c:varyColors val="1"/>
        <c:ser>
          <c:idx val="0"/>
          <c:order val="0"/>
          <c:tx>
            <c:v> Orders, from New Customers </c:v>
          </c:tx>
          <c:spPr>
            <a:solidFill>
              <a:srgbClr val="4285F4">
                <a:alpha val="30000"/>
              </a:srgbClr>
            </a:solidFill>
            <a:ln w="19050" cmpd="sng">
              <a:solidFill>
                <a:srgbClr val="4285F4"/>
              </a:solidFill>
            </a:ln>
          </c:spP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Forecast!$T$152:$BO$152</c:f>
              <c:numCache>
                <c:formatCode>_(* #,##0_);_(* \(#,##0\);_(* "-"_);_(@_)</c:formatCode>
                <c:ptCount val="48"/>
                <c:pt idx="0">
                  <c:v>550</c:v>
                </c:pt>
                <c:pt idx="1">
                  <c:v>970.75000000000011</c:v>
                </c:pt>
                <c:pt idx="2">
                  <c:v>1601.9801875000003</c:v>
                </c:pt>
                <c:pt idx="3">
                  <c:v>2487.4146618835939</c:v>
                </c:pt>
                <c:pt idx="4">
                  <c:v>3656.0160617439792</c:v>
                </c:pt>
                <c:pt idx="5">
                  <c:v>5115.9904360069968</c:v>
                </c:pt>
                <c:pt idx="6">
                  <c:v>6852.5344194009513</c:v>
                </c:pt>
                <c:pt idx="7">
                  <c:v>8829.6233977676929</c:v>
                </c:pt>
                <c:pt idx="8">
                  <c:v>10995.01324176711</c:v>
                </c:pt>
                <c:pt idx="9">
                  <c:v>13286.981494028441</c:v>
                </c:pt>
                <c:pt idx="10">
                  <c:v>15641.26140443919</c:v>
                </c:pt>
                <c:pt idx="11">
                  <c:v>17996.974881373611</c:v>
                </c:pt>
                <c:pt idx="12">
                  <c:v>20300.904078609532</c:v>
                </c:pt>
                <c:pt idx="13">
                  <c:v>22509.945823319176</c:v>
                </c:pt>
                <c:pt idx="14">
                  <c:v>24591.951547397737</c:v>
                </c:pt>
                <c:pt idx="15">
                  <c:v>26525.341198636608</c:v>
                </c:pt>
                <c:pt idx="16">
                  <c:v>28297.923055739495</c:v>
                </c:pt>
                <c:pt idx="17">
                  <c:v>29905.303972451104</c:v>
                </c:pt>
                <c:pt idx="18">
                  <c:v>31349.18494549036</c:v>
                </c:pt>
                <c:pt idx="19">
                  <c:v>32635.739930822161</c:v>
                </c:pt>
                <c:pt idx="20">
                  <c:v>33774.191309505499</c:v>
                </c:pt>
                <c:pt idx="21">
                  <c:v>34775.631250210557</c:v>
                </c:pt>
                <c:pt idx="22">
                  <c:v>35652.094876277653</c:v>
                </c:pt>
                <c:pt idx="23">
                  <c:v>36415.865331175359</c:v>
                </c:pt>
                <c:pt idx="24">
                  <c:v>37078.978054483887</c:v>
                </c:pt>
                <c:pt idx="25">
                  <c:v>37652.887547169572</c:v>
                </c:pt>
                <c:pt idx="26">
                  <c:v>38148.261155493004</c:v>
                </c:pt>
                <c:pt idx="27">
                  <c:v>38574.868424132335</c:v>
                </c:pt>
                <c:pt idx="28">
                  <c:v>38941.539694181709</c:v>
                </c:pt>
                <c:pt idx="29">
                  <c:v>39256.172841112915</c:v>
                </c:pt>
                <c:pt idx="30">
                  <c:v>39525.77181691875</c:v>
                </c:pt>
                <c:pt idx="31">
                  <c:v>39756.504738756812</c:v>
                </c:pt>
                <c:pt idx="32">
                  <c:v>39953.772596333176</c:v>
                </c:pt>
                <c:pt idx="33">
                  <c:v>40122.282275387413</c:v>
                </c:pt>
                <c:pt idx="34">
                  <c:v>40266.119605364707</c:v>
                </c:pt>
                <c:pt idx="35">
                  <c:v>40388.819640943562</c:v>
                </c:pt>
                <c:pt idx="36">
                  <c:v>40493.43248189213</c:v>
                </c:pt>
                <c:pt idx="37">
                  <c:v>40582.583714632943</c:v>
                </c:pt>
                <c:pt idx="38">
                  <c:v>40658.5290981824</c:v>
                </c:pt>
                <c:pt idx="39">
                  <c:v>40723.203478387877</c:v>
                </c:pt>
                <c:pt idx="40">
                  <c:v>40778.264145924521</c:v>
                </c:pt>
                <c:pt idx="41">
                  <c:v>40825.128992378559</c:v>
                </c:pt>
                <c:pt idx="42">
                  <c:v>40865.009892792084</c:v>
                </c:pt>
                <c:pt idx="43">
                  <c:v>40898.941772877537</c:v>
                </c:pt>
                <c:pt idx="44">
                  <c:v>40927.807819717484</c:v>
                </c:pt>
                <c:pt idx="45">
                  <c:v>40952.361276883195</c:v>
                </c:pt>
                <c:pt idx="46">
                  <c:v>40973.244236091385</c:v>
                </c:pt>
                <c:pt idx="47">
                  <c:v>40991.003802991341</c:v>
                </c:pt>
              </c:numCache>
            </c:numRef>
          </c:val>
          <c:extLst>
            <c:ext xmlns:c16="http://schemas.microsoft.com/office/drawing/2014/chart" uri="{C3380CC4-5D6E-409C-BE32-E72D297353CC}">
              <c16:uniqueId val="{00000000-E302-F642-8592-45D95AB45FBB}"/>
            </c:ext>
          </c:extLst>
        </c:ser>
        <c:ser>
          <c:idx val="1"/>
          <c:order val="1"/>
          <c:tx>
            <c:v> Orders, from Repeat Customers </c:v>
          </c:tx>
          <c:spPr>
            <a:solidFill>
              <a:srgbClr val="EA4335">
                <a:alpha val="30000"/>
              </a:srgbClr>
            </a:solidFill>
            <a:ln w="19050" cmpd="sng">
              <a:solidFill>
                <a:srgbClr val="EA4335"/>
              </a:solidFill>
            </a:ln>
          </c:spP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Forecast!$T$153:$BO$153</c:f>
              <c:numCache>
                <c:formatCode>_(* #,##0_);_(* \(#,##0\);_(* "-"_);_(@_)</c:formatCode>
                <c:ptCount val="48"/>
                <c:pt idx="0">
                  <c:v>6960.723954767851</c:v>
                </c:pt>
                <c:pt idx="1">
                  <c:v>1660.9411608882929</c:v>
                </c:pt>
                <c:pt idx="2">
                  <c:v>1749.4996988508419</c:v>
                </c:pt>
                <c:pt idx="3">
                  <c:v>1063.9470514219392</c:v>
                </c:pt>
                <c:pt idx="4">
                  <c:v>1315.845580444146</c:v>
                </c:pt>
                <c:pt idx="5">
                  <c:v>1675.7399431754211</c:v>
                </c:pt>
                <c:pt idx="6">
                  <c:v>1775.6808566527661</c:v>
                </c:pt>
                <c:pt idx="7">
                  <c:v>2485.9308210940617</c:v>
                </c:pt>
                <c:pt idx="8">
                  <c:v>3395.8651895912099</c:v>
                </c:pt>
                <c:pt idx="9">
                  <c:v>4314.1076380268569</c:v>
                </c:pt>
                <c:pt idx="10">
                  <c:v>5657.7771094308755</c:v>
                </c:pt>
                <c:pt idx="11">
                  <c:v>7195.2966429133703</c:v>
                </c:pt>
                <c:pt idx="12">
                  <c:v>8800.3944894320812</c:v>
                </c:pt>
                <c:pt idx="13">
                  <c:v>10649.361281571277</c:v>
                </c:pt>
                <c:pt idx="14">
                  <c:v>12595.969472286903</c:v>
                </c:pt>
                <c:pt idx="15">
                  <c:v>14550.474242066502</c:v>
                </c:pt>
                <c:pt idx="16">
                  <c:v>16579.469297756488</c:v>
                </c:pt>
                <c:pt idx="17">
                  <c:v>18593.766557538387</c:v>
                </c:pt>
                <c:pt idx="18">
                  <c:v>20537.703560031627</c:v>
                </c:pt>
                <c:pt idx="19">
                  <c:v>22438.481271148066</c:v>
                </c:pt>
                <c:pt idx="20">
                  <c:v>24249.30904857377</c:v>
                </c:pt>
                <c:pt idx="21">
                  <c:v>25943.206130212595</c:v>
                </c:pt>
                <c:pt idx="22">
                  <c:v>27536.859945671014</c:v>
                </c:pt>
                <c:pt idx="23">
                  <c:v>29011.48633134058</c:v>
                </c:pt>
                <c:pt idx="24">
                  <c:v>30359.140955791518</c:v>
                </c:pt>
                <c:pt idx="25">
                  <c:v>31594.185058953219</c:v>
                </c:pt>
                <c:pt idx="26">
                  <c:v>32713.36809228838</c:v>
                </c:pt>
                <c:pt idx="27">
                  <c:v>33718.735569380238</c:v>
                </c:pt>
                <c:pt idx="28">
                  <c:v>34623.195318053527</c:v>
                </c:pt>
                <c:pt idx="29">
                  <c:v>35430.455692303469</c:v>
                </c:pt>
                <c:pt idx="30">
                  <c:v>36146.424174032894</c:v>
                </c:pt>
                <c:pt idx="31">
                  <c:v>36781.969797987746</c:v>
                </c:pt>
                <c:pt idx="32">
                  <c:v>37342.895626571466</c:v>
                </c:pt>
                <c:pt idx="33">
                  <c:v>37835.657321647705</c:v>
                </c:pt>
                <c:pt idx="34">
                  <c:v>38268.773401184772</c:v>
                </c:pt>
                <c:pt idx="35">
                  <c:v>38647.845830202321</c:v>
                </c:pt>
                <c:pt idx="36">
                  <c:v>38978.969798517559</c:v>
                </c:pt>
                <c:pt idx="37">
                  <c:v>39267.446503274739</c:v>
                </c:pt>
                <c:pt idx="38">
                  <c:v>39518.332735572934</c:v>
                </c:pt>
                <c:pt idx="39">
                  <c:v>39736.201140204852</c:v>
                </c:pt>
                <c:pt idx="40">
                  <c:v>39925.015108953841</c:v>
                </c:pt>
                <c:pt idx="41">
                  <c:v>40088.430916877674</c:v>
                </c:pt>
                <c:pt idx="42">
                  <c:v>40229.702309296357</c:v>
                </c:pt>
                <c:pt idx="43">
                  <c:v>40351.639627439181</c:v>
                </c:pt>
                <c:pt idx="44">
                  <c:v>40456.779954628109</c:v>
                </c:pt>
                <c:pt idx="45">
                  <c:v>40547.356101044221</c:v>
                </c:pt>
                <c:pt idx="46">
                  <c:v>40625.290700158366</c:v>
                </c:pt>
                <c:pt idx="47">
                  <c:v>40692.293887172797</c:v>
                </c:pt>
              </c:numCache>
            </c:numRef>
          </c:val>
          <c:extLst>
            <c:ext xmlns:c16="http://schemas.microsoft.com/office/drawing/2014/chart" uri="{C3380CC4-5D6E-409C-BE32-E72D297353CC}">
              <c16:uniqueId val="{00000001-E302-F642-8592-45D95AB45FBB}"/>
            </c:ext>
          </c:extLst>
        </c:ser>
        <c:dLbls>
          <c:showLegendKey val="0"/>
          <c:showVal val="0"/>
          <c:showCatName val="0"/>
          <c:showSerName val="0"/>
          <c:showPercent val="0"/>
          <c:showBubbleSize val="0"/>
        </c:dLbls>
        <c:axId val="1599706718"/>
        <c:axId val="506410924"/>
      </c:areaChart>
      <c:dateAx>
        <c:axId val="1599706718"/>
        <c:scaling>
          <c:orientation val="minMax"/>
        </c:scaling>
        <c:delete val="0"/>
        <c:axPos val="b"/>
        <c:title>
          <c:tx>
            <c:rich>
              <a:bodyPr/>
              <a:lstStyle/>
              <a:p>
                <a:pPr lvl="0">
                  <a:defRPr b="0">
                    <a:solidFill>
                      <a:srgbClr val="000000"/>
                    </a:solidFill>
                    <a:latin typeface="+mn-lt"/>
                  </a:defRPr>
                </a:pPr>
                <a:endParaRPr lang="en-US"/>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506410924"/>
        <c:crosses val="autoZero"/>
        <c:auto val="1"/>
        <c:lblOffset val="100"/>
        <c:baseTimeUnit val="months"/>
      </c:dateAx>
      <c:valAx>
        <c:axId val="5064109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quot;$&quot;#,##0" sourceLinked="0"/>
        <c:majorTickMark val="none"/>
        <c:minorTickMark val="none"/>
        <c:tickLblPos val="nextTo"/>
        <c:spPr>
          <a:ln/>
        </c:spPr>
        <c:txPr>
          <a:bodyPr/>
          <a:lstStyle/>
          <a:p>
            <a:pPr lvl="0">
              <a:defRPr sz="900" b="0" i="0">
                <a:solidFill>
                  <a:srgbClr val="000000"/>
                </a:solidFill>
                <a:latin typeface="+mn-lt"/>
              </a:defRPr>
            </a:pPr>
            <a:endParaRPr lang="en-US"/>
          </a:p>
        </c:txPr>
        <c:crossAx val="1599706718"/>
        <c:crosses val="autoZero"/>
        <c:crossBetween val="midCat"/>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Average Revenue per Order</a:t>
            </a:r>
          </a:p>
        </c:rich>
      </c:tx>
      <c:overlay val="0"/>
    </c:title>
    <c:autoTitleDeleted val="0"/>
    <c:plotArea>
      <c:layout/>
      <c:lineChart>
        <c:grouping val="standard"/>
        <c:varyColors val="1"/>
        <c:ser>
          <c:idx val="0"/>
          <c:order val="0"/>
          <c:tx>
            <c:v> Average Order Value </c:v>
          </c:tx>
          <c:spPr>
            <a:ln w="19050" cmpd="sng">
              <a:solidFill>
                <a:srgbClr val="4285F4"/>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Forecast!$T$183:$BO$183</c:f>
              <c:numCache>
                <c:formatCode>_(* #,##0_);_(* \(#,##0\);_(* "-"_);_(@_)</c:formatCode>
                <c:ptCount val="48"/>
                <c:pt idx="0">
                  <c:v>40.732286266027465</c:v>
                </c:pt>
                <c:pt idx="1">
                  <c:v>47.839118517391718</c:v>
                </c:pt>
                <c:pt idx="2">
                  <c:v>53.459330642938312</c:v>
                </c:pt>
                <c:pt idx="3">
                  <c:v>60.92575710630441</c:v>
                </c:pt>
                <c:pt idx="4">
                  <c:v>66.377830022539953</c:v>
                </c:pt>
                <c:pt idx="5">
                  <c:v>71.784743718448993</c:v>
                </c:pt>
                <c:pt idx="6">
                  <c:v>77.725202932077664</c:v>
                </c:pt>
                <c:pt idx="7">
                  <c:v>82.912091170896645</c:v>
                </c:pt>
                <c:pt idx="8">
                  <c:v>88.111510796015665</c:v>
                </c:pt>
                <c:pt idx="9">
                  <c:v>93.485207789060695</c:v>
                </c:pt>
                <c:pt idx="10">
                  <c:v>98.654692838013347</c:v>
                </c:pt>
                <c:pt idx="11">
                  <c:v>103.82614981848239</c:v>
                </c:pt>
                <c:pt idx="12">
                  <c:v>109.04674153447166</c:v>
                </c:pt>
                <c:pt idx="13">
                  <c:v>114.18692865725819</c:v>
                </c:pt>
                <c:pt idx="14">
                  <c:v>119.30624840751375</c:v>
                </c:pt>
                <c:pt idx="15">
                  <c:v>124.41787481776385</c:v>
                </c:pt>
                <c:pt idx="16">
                  <c:v>129.46872104668279</c:v>
                </c:pt>
                <c:pt idx="17">
                  <c:v>134.47587963692166</c:v>
                </c:pt>
                <c:pt idx="18">
                  <c:v>139.44091655983397</c:v>
                </c:pt>
                <c:pt idx="19">
                  <c:v>144.338017876793</c:v>
                </c:pt>
                <c:pt idx="20">
                  <c:v>149.1705151823783</c:v>
                </c:pt>
                <c:pt idx="21">
                  <c:v>153.93607992573453</c:v>
                </c:pt>
                <c:pt idx="22">
                  <c:v>158.62039722415315</c:v>
                </c:pt>
                <c:pt idx="23">
                  <c:v>163.22241349747119</c:v>
                </c:pt>
                <c:pt idx="24">
                  <c:v>167.73901499021014</c:v>
                </c:pt>
                <c:pt idx="25">
                  <c:v>172.16173018517972</c:v>
                </c:pt>
                <c:pt idx="26">
                  <c:v>176.48860468209517</c:v>
                </c:pt>
                <c:pt idx="27">
                  <c:v>180.71705277142354</c:v>
                </c:pt>
                <c:pt idx="28">
                  <c:v>184.84213821107309</c:v>
                </c:pt>
                <c:pt idx="29">
                  <c:v>188.86234987775993</c:v>
                </c:pt>
                <c:pt idx="30">
                  <c:v>192.7761242976172</c:v>
                </c:pt>
                <c:pt idx="31">
                  <c:v>196.58094085545264</c:v>
                </c:pt>
                <c:pt idx="32">
                  <c:v>200.27618632694902</c:v>
                </c:pt>
                <c:pt idx="33">
                  <c:v>203.86141044528151</c:v>
                </c:pt>
                <c:pt idx="34">
                  <c:v>207.33584203310809</c:v>
                </c:pt>
                <c:pt idx="35">
                  <c:v>210.69982160452392</c:v>
                </c:pt>
                <c:pt idx="36">
                  <c:v>213.95374852929592</c:v>
                </c:pt>
                <c:pt idx="37">
                  <c:v>217.09843212289701</c:v>
                </c:pt>
                <c:pt idx="38">
                  <c:v>220.13489702302624</c:v>
                </c:pt>
                <c:pt idx="39">
                  <c:v>223.06443072833184</c:v>
                </c:pt>
                <c:pt idx="40">
                  <c:v>225.88860203622545</c:v>
                </c:pt>
                <c:pt idx="41">
                  <c:v>228.60914917981205</c:v>
                </c:pt>
                <c:pt idx="42">
                  <c:v>231.22799272540936</c:v>
                </c:pt>
                <c:pt idx="43">
                  <c:v>233.74723455091674</c:v>
                </c:pt>
                <c:pt idx="44">
                  <c:v>236.16909095727496</c:v>
                </c:pt>
                <c:pt idx="45">
                  <c:v>238.49589057102895</c:v>
                </c:pt>
                <c:pt idx="46">
                  <c:v>240.7300659582788</c:v>
                </c:pt>
                <c:pt idx="47">
                  <c:v>242.87411233664315</c:v>
                </c:pt>
              </c:numCache>
            </c:numRef>
          </c:val>
          <c:smooth val="0"/>
          <c:extLst>
            <c:ext xmlns:c16="http://schemas.microsoft.com/office/drawing/2014/chart" uri="{C3380CC4-5D6E-409C-BE32-E72D297353CC}">
              <c16:uniqueId val="{00000000-DF79-FE4E-A856-E804904C0A8E}"/>
            </c:ext>
          </c:extLst>
        </c:ser>
        <c:ser>
          <c:idx val="1"/>
          <c:order val="1"/>
          <c:tx>
            <c:v> Average Cost of Sales per Order </c:v>
          </c:tx>
          <c:spPr>
            <a:ln w="19050" cmpd="sng">
              <a:solidFill>
                <a:srgbClr val="EA4335"/>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Forecast!$T$184:$BO$184</c:f>
              <c:numCache>
                <c:formatCode>_(* #,##0_);_(* \(#,##0\);_(* "-"_);_(@_)</c:formatCode>
                <c:ptCount val="48"/>
                <c:pt idx="0">
                  <c:v>10.183071566506866</c:v>
                </c:pt>
                <c:pt idx="1">
                  <c:v>11.959779629347929</c:v>
                </c:pt>
                <c:pt idx="2">
                  <c:v>13.364832660734578</c:v>
                </c:pt>
                <c:pt idx="3">
                  <c:v>15.231439276576102</c:v>
                </c:pt>
                <c:pt idx="4">
                  <c:v>16.594457505634988</c:v>
                </c:pt>
                <c:pt idx="5">
                  <c:v>17.946185929612248</c:v>
                </c:pt>
                <c:pt idx="6">
                  <c:v>19.431300733019416</c:v>
                </c:pt>
                <c:pt idx="7">
                  <c:v>20.728022792724161</c:v>
                </c:pt>
                <c:pt idx="8">
                  <c:v>22.027877699003916</c:v>
                </c:pt>
                <c:pt idx="9">
                  <c:v>23.371301947265174</c:v>
                </c:pt>
                <c:pt idx="10">
                  <c:v>24.663673209503337</c:v>
                </c:pt>
                <c:pt idx="11">
                  <c:v>25.956537454620598</c:v>
                </c:pt>
                <c:pt idx="12">
                  <c:v>27.261685383617916</c:v>
                </c:pt>
                <c:pt idx="13">
                  <c:v>28.546732164314548</c:v>
                </c:pt>
                <c:pt idx="14">
                  <c:v>29.826562101878437</c:v>
                </c:pt>
                <c:pt idx="15">
                  <c:v>31.104468704440961</c:v>
                </c:pt>
                <c:pt idx="16">
                  <c:v>32.367180261670697</c:v>
                </c:pt>
                <c:pt idx="17">
                  <c:v>33.618969909230415</c:v>
                </c:pt>
                <c:pt idx="18">
                  <c:v>34.860229139958491</c:v>
                </c:pt>
                <c:pt idx="19">
                  <c:v>36.084504469198251</c:v>
                </c:pt>
                <c:pt idx="20">
                  <c:v>37.292628795594574</c:v>
                </c:pt>
                <c:pt idx="21">
                  <c:v>38.484019981433633</c:v>
                </c:pt>
                <c:pt idx="22">
                  <c:v>39.655099306038288</c:v>
                </c:pt>
                <c:pt idx="23">
                  <c:v>40.805603374367799</c:v>
                </c:pt>
                <c:pt idx="24">
                  <c:v>41.934753747552534</c:v>
                </c:pt>
                <c:pt idx="25">
                  <c:v>43.04043254629493</c:v>
                </c:pt>
                <c:pt idx="26">
                  <c:v>44.122151170523793</c:v>
                </c:pt>
                <c:pt idx="27">
                  <c:v>45.179263192855885</c:v>
                </c:pt>
                <c:pt idx="28">
                  <c:v>46.210534552768273</c:v>
                </c:pt>
                <c:pt idx="29">
                  <c:v>47.215587469439981</c:v>
                </c:pt>
                <c:pt idx="30">
                  <c:v>48.1940310744043</c:v>
                </c:pt>
                <c:pt idx="31">
                  <c:v>49.14523521386316</c:v>
                </c:pt>
                <c:pt idx="32">
                  <c:v>50.069046581737254</c:v>
                </c:pt>
                <c:pt idx="33">
                  <c:v>50.965352611320377</c:v>
                </c:pt>
                <c:pt idx="34">
                  <c:v>51.833960508277023</c:v>
                </c:pt>
                <c:pt idx="35">
                  <c:v>52.67495540113098</c:v>
                </c:pt>
                <c:pt idx="36">
                  <c:v>53.48843713232398</c:v>
                </c:pt>
                <c:pt idx="37">
                  <c:v>54.274608030724252</c:v>
                </c:pt>
                <c:pt idx="38">
                  <c:v>55.03372425575656</c:v>
                </c:pt>
                <c:pt idx="39">
                  <c:v>55.766107682082961</c:v>
                </c:pt>
                <c:pt idx="40">
                  <c:v>56.472150509056362</c:v>
                </c:pt>
                <c:pt idx="41">
                  <c:v>57.152287294953013</c:v>
                </c:pt>
                <c:pt idx="42">
                  <c:v>57.806998181352341</c:v>
                </c:pt>
                <c:pt idx="43">
                  <c:v>58.436808637729186</c:v>
                </c:pt>
                <c:pt idx="44">
                  <c:v>59.04227273931874</c:v>
                </c:pt>
                <c:pt idx="45">
                  <c:v>59.623972642757238</c:v>
                </c:pt>
                <c:pt idx="46">
                  <c:v>60.1825164895697</c:v>
                </c:pt>
                <c:pt idx="47">
                  <c:v>60.718528084160788</c:v>
                </c:pt>
              </c:numCache>
            </c:numRef>
          </c:val>
          <c:smooth val="0"/>
          <c:extLst>
            <c:ext xmlns:c16="http://schemas.microsoft.com/office/drawing/2014/chart" uri="{C3380CC4-5D6E-409C-BE32-E72D297353CC}">
              <c16:uniqueId val="{00000001-DF79-FE4E-A856-E804904C0A8E}"/>
            </c:ext>
          </c:extLst>
        </c:ser>
        <c:ser>
          <c:idx val="2"/>
          <c:order val="2"/>
          <c:tx>
            <c:v> Gross Margin per Order </c:v>
          </c:tx>
          <c:spPr>
            <a:ln w="19050" cmpd="sng">
              <a:solidFill>
                <a:srgbClr val="FBBC04"/>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Forecast!$T$185:$BO$185</c:f>
              <c:numCache>
                <c:formatCode>_(* #,##0_);_(* \(#,##0\);_(* "-"_);_(@_)</c:formatCode>
                <c:ptCount val="48"/>
                <c:pt idx="0">
                  <c:v>30.549214699520597</c:v>
                </c:pt>
                <c:pt idx="1">
                  <c:v>35.87933888804379</c:v>
                </c:pt>
                <c:pt idx="2">
                  <c:v>40.094497982203734</c:v>
                </c:pt>
                <c:pt idx="3">
                  <c:v>45.694317829728305</c:v>
                </c:pt>
                <c:pt idx="4">
                  <c:v>49.783372516904961</c:v>
                </c:pt>
                <c:pt idx="5">
                  <c:v>53.838557788836745</c:v>
                </c:pt>
                <c:pt idx="6">
                  <c:v>58.293902199058252</c:v>
                </c:pt>
                <c:pt idx="7">
                  <c:v>62.184068378172483</c:v>
                </c:pt>
                <c:pt idx="8">
                  <c:v>66.083633097011756</c:v>
                </c:pt>
                <c:pt idx="9">
                  <c:v>70.113905841795514</c:v>
                </c:pt>
                <c:pt idx="10">
                  <c:v>73.991019628510003</c:v>
                </c:pt>
                <c:pt idx="11">
                  <c:v>77.869612363861791</c:v>
                </c:pt>
                <c:pt idx="12">
                  <c:v>81.785056150853748</c:v>
                </c:pt>
                <c:pt idx="13">
                  <c:v>85.640196492943645</c:v>
                </c:pt>
                <c:pt idx="14">
                  <c:v>89.479686305635312</c:v>
                </c:pt>
                <c:pt idx="15">
                  <c:v>93.313406113322884</c:v>
                </c:pt>
                <c:pt idx="16">
                  <c:v>97.101540785012091</c:v>
                </c:pt>
                <c:pt idx="17">
                  <c:v>100.85690972769125</c:v>
                </c:pt>
                <c:pt idx="18">
                  <c:v>104.58068741987547</c:v>
                </c:pt>
                <c:pt idx="19">
                  <c:v>108.25351340759475</c:v>
                </c:pt>
                <c:pt idx="20">
                  <c:v>111.87788638678373</c:v>
                </c:pt>
                <c:pt idx="21">
                  <c:v>115.4520599443009</c:v>
                </c:pt>
                <c:pt idx="22">
                  <c:v>118.96529791811486</c:v>
                </c:pt>
                <c:pt idx="23">
                  <c:v>122.4168101231034</c:v>
                </c:pt>
                <c:pt idx="24">
                  <c:v>125.8042612426576</c:v>
                </c:pt>
                <c:pt idx="25">
                  <c:v>129.12129763888478</c:v>
                </c:pt>
                <c:pt idx="26">
                  <c:v>132.36645351157136</c:v>
                </c:pt>
                <c:pt idx="27">
                  <c:v>135.53778957856764</c:v>
                </c:pt>
                <c:pt idx="28">
                  <c:v>138.63160365830481</c:v>
                </c:pt>
                <c:pt idx="29">
                  <c:v>141.64676240831994</c:v>
                </c:pt>
                <c:pt idx="30">
                  <c:v>144.58209322321289</c:v>
                </c:pt>
                <c:pt idx="31">
                  <c:v>147.43570564158949</c:v>
                </c:pt>
                <c:pt idx="32">
                  <c:v>150.20713974521175</c:v>
                </c:pt>
                <c:pt idx="33">
                  <c:v>152.89605783396112</c:v>
                </c:pt>
                <c:pt idx="34">
                  <c:v>155.50188152483108</c:v>
                </c:pt>
                <c:pt idx="35">
                  <c:v>158.02486620339295</c:v>
                </c:pt>
                <c:pt idx="36">
                  <c:v>160.46531139697194</c:v>
                </c:pt>
                <c:pt idx="37">
                  <c:v>162.82382409217274</c:v>
                </c:pt>
                <c:pt idx="38">
                  <c:v>165.10117276726967</c:v>
                </c:pt>
                <c:pt idx="39">
                  <c:v>167.29832304624887</c:v>
                </c:pt>
                <c:pt idx="40">
                  <c:v>169.4164515271691</c:v>
                </c:pt>
                <c:pt idx="41">
                  <c:v>171.45686188485905</c:v>
                </c:pt>
                <c:pt idx="42">
                  <c:v>173.42099454405701</c:v>
                </c:pt>
                <c:pt idx="43">
                  <c:v>175.31042591318754</c:v>
                </c:pt>
                <c:pt idx="44">
                  <c:v>177.12681821795621</c:v>
                </c:pt>
                <c:pt idx="45">
                  <c:v>178.87191792827173</c:v>
                </c:pt>
                <c:pt idx="46">
                  <c:v>180.54754946870909</c:v>
                </c:pt>
                <c:pt idx="47">
                  <c:v>182.15558425248236</c:v>
                </c:pt>
              </c:numCache>
            </c:numRef>
          </c:val>
          <c:smooth val="0"/>
          <c:extLst>
            <c:ext xmlns:c16="http://schemas.microsoft.com/office/drawing/2014/chart" uri="{C3380CC4-5D6E-409C-BE32-E72D297353CC}">
              <c16:uniqueId val="{00000002-DF79-FE4E-A856-E804904C0A8E}"/>
            </c:ext>
          </c:extLst>
        </c:ser>
        <c:ser>
          <c:idx val="3"/>
          <c:order val="3"/>
          <c:tx>
            <c:v> Shipping Gross Margin per Order </c:v>
          </c:tx>
          <c:spPr>
            <a:ln w="19050" cmpd="sng">
              <a:solidFill>
                <a:srgbClr val="34A853"/>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Forecast!$T$186:$BO$186</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3-DF79-FE4E-A856-E804904C0A8E}"/>
            </c:ext>
          </c:extLst>
        </c:ser>
        <c:ser>
          <c:idx val="4"/>
          <c:order val="4"/>
          <c:tx>
            <c:v> Acquisition Cost per Order </c:v>
          </c:tx>
          <c:spPr>
            <a:ln w="19050" cmpd="sng">
              <a:solidFill>
                <a:srgbClr val="FF6D01"/>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Forecast!$T$187:$BO$187</c:f>
              <c:numCache>
                <c:formatCode>_(* #,##0_);_(* \(#,##0\);_(* "-"_);_(@_)</c:formatCode>
                <c:ptCount val="48"/>
                <c:pt idx="0">
                  <c:v>11.464572532054934</c:v>
                </c:pt>
                <c:pt idx="1">
                  <c:v>17.377385419893542</c:v>
                </c:pt>
                <c:pt idx="2">
                  <c:v>19.559837694531225</c:v>
                </c:pt>
                <c:pt idx="3">
                  <c:v>24.00823043490189</c:v>
                </c:pt>
                <c:pt idx="4">
                  <c:v>24.706829452860479</c:v>
                </c:pt>
                <c:pt idx="5">
                  <c:v>25.065351980662268</c:v>
                </c:pt>
                <c:pt idx="6">
                  <c:v>25.884013553577194</c:v>
                </c:pt>
                <c:pt idx="7">
                  <c:v>25.60617045703286</c:v>
                </c:pt>
                <c:pt idx="8">
                  <c:v>25.280531058908153</c:v>
                </c:pt>
                <c:pt idx="9">
                  <c:v>25.097908310492041</c:v>
                </c:pt>
                <c:pt idx="10">
                  <c:v>24.687293413975947</c:v>
                </c:pt>
                <c:pt idx="11">
                  <c:v>24.287695227501306</c:v>
                </c:pt>
                <c:pt idx="12">
                  <c:v>23.951888800524884</c:v>
                </c:pt>
                <c:pt idx="13">
                  <c:v>23.576849330485153</c:v>
                </c:pt>
                <c:pt idx="14">
                  <c:v>23.225773785192509</c:v>
                </c:pt>
                <c:pt idx="15">
                  <c:v>22.915308394511843</c:v>
                </c:pt>
                <c:pt idx="16">
                  <c:v>22.611215390073824</c:v>
                </c:pt>
                <c:pt idx="17">
                  <c:v>22.332320453011199</c:v>
                </c:pt>
                <c:pt idx="18">
                  <c:v>22.08366346428889</c:v>
                </c:pt>
                <c:pt idx="19">
                  <c:v>21.851548408152397</c:v>
                </c:pt>
                <c:pt idx="20">
                  <c:v>21.641555956147254</c:v>
                </c:pt>
                <c:pt idx="21">
                  <c:v>21.454643320105088</c:v>
                </c:pt>
                <c:pt idx="22">
                  <c:v>21.284280607817209</c:v>
                </c:pt>
                <c:pt idx="23">
                  <c:v>21.131694744122864</c:v>
                </c:pt>
                <c:pt idx="24">
                  <c:v>20.996444918291463</c:v>
                </c:pt>
                <c:pt idx="25">
                  <c:v>20.874939872574576</c:v>
                </c:pt>
                <c:pt idx="26">
                  <c:v>20.766972636799032</c:v>
                </c:pt>
                <c:pt idx="27">
                  <c:v>20.671723719181006</c:v>
                </c:pt>
                <c:pt idx="28">
                  <c:v>20.587012836437179</c:v>
                </c:pt>
                <c:pt idx="29">
                  <c:v>20.512235887994027</c:v>
                </c:pt>
                <c:pt idx="30">
                  <c:v>20.446577187120344</c:v>
                </c:pt>
                <c:pt idx="31">
                  <c:v>20.388632639828881</c:v>
                </c:pt>
                <c:pt idx="32">
                  <c:v>20.337773545715137</c:v>
                </c:pt>
                <c:pt idx="33">
                  <c:v>20.29331521145367</c:v>
                </c:pt>
                <c:pt idx="34">
                  <c:v>20.254325959801506</c:v>
                </c:pt>
                <c:pt idx="35">
                  <c:v>20.220274198103265</c:v>
                </c:pt>
                <c:pt idx="36">
                  <c:v>20.190564603550165</c:v>
                </c:pt>
                <c:pt idx="37">
                  <c:v>20.164700903402196</c:v>
                </c:pt>
                <c:pt idx="38">
                  <c:v>20.142210150975181</c:v>
                </c:pt>
                <c:pt idx="39">
                  <c:v>20.122670847847029</c:v>
                </c:pt>
                <c:pt idx="40">
                  <c:v>20.105726687298038</c:v>
                </c:pt>
                <c:pt idx="41">
                  <c:v>20.091047542133492</c:v>
                </c:pt>
                <c:pt idx="42">
                  <c:v>20.078341431425581</c:v>
                </c:pt>
                <c:pt idx="43">
                  <c:v>20.067359782047813</c:v>
                </c:pt>
                <c:pt idx="44">
                  <c:v>20.05787678944758</c:v>
                </c:pt>
                <c:pt idx="45">
                  <c:v>20.049694058932857</c:v>
                </c:pt>
                <c:pt idx="46">
                  <c:v>20.042642130303548</c:v>
                </c:pt>
                <c:pt idx="47">
                  <c:v>20.036569277228693</c:v>
                </c:pt>
              </c:numCache>
            </c:numRef>
          </c:val>
          <c:smooth val="0"/>
          <c:extLst>
            <c:ext xmlns:c16="http://schemas.microsoft.com/office/drawing/2014/chart" uri="{C3380CC4-5D6E-409C-BE32-E72D297353CC}">
              <c16:uniqueId val="{00000004-DF79-FE4E-A856-E804904C0A8E}"/>
            </c:ext>
          </c:extLst>
        </c:ser>
        <c:dLbls>
          <c:showLegendKey val="0"/>
          <c:showVal val="0"/>
          <c:showCatName val="0"/>
          <c:showSerName val="0"/>
          <c:showPercent val="0"/>
          <c:showBubbleSize val="0"/>
        </c:dLbls>
        <c:smooth val="0"/>
        <c:axId val="582328452"/>
        <c:axId val="1587030970"/>
      </c:lineChart>
      <c:dateAx>
        <c:axId val="582328452"/>
        <c:scaling>
          <c:orientation val="minMax"/>
        </c:scaling>
        <c:delete val="0"/>
        <c:axPos val="b"/>
        <c:title>
          <c:tx>
            <c:rich>
              <a:bodyPr/>
              <a:lstStyle/>
              <a:p>
                <a:pPr lvl="0">
                  <a:defRPr b="0">
                    <a:solidFill>
                      <a:srgbClr val="000000"/>
                    </a:solidFill>
                    <a:latin typeface="+mn-lt"/>
                  </a:defRPr>
                </a:pPr>
                <a:endParaRPr lang="en-US"/>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587030970"/>
        <c:crosses val="autoZero"/>
        <c:auto val="1"/>
        <c:lblOffset val="100"/>
        <c:baseTimeUnit val="months"/>
      </c:dateAx>
      <c:valAx>
        <c:axId val="15870309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quot;$&quot;#,##0" sourceLinked="0"/>
        <c:majorTickMark val="none"/>
        <c:minorTickMark val="none"/>
        <c:tickLblPos val="nextTo"/>
        <c:spPr>
          <a:ln/>
        </c:spPr>
        <c:txPr>
          <a:bodyPr/>
          <a:lstStyle/>
          <a:p>
            <a:pPr lvl="0">
              <a:defRPr sz="900" b="0" i="0">
                <a:solidFill>
                  <a:srgbClr val="000000"/>
                </a:solidFill>
                <a:latin typeface="+mn-lt"/>
              </a:defRPr>
            </a:pPr>
            <a:endParaRPr lang="en-US"/>
          </a:p>
        </c:txPr>
        <c:crossAx val="582328452"/>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Product Revenues and Marketing Spend</a:t>
            </a:r>
          </a:p>
        </c:rich>
      </c:tx>
      <c:overlay val="0"/>
    </c:title>
    <c:autoTitleDeleted val="0"/>
    <c:plotArea>
      <c:layout/>
      <c:lineChart>
        <c:grouping val="standard"/>
        <c:varyColors val="1"/>
        <c:ser>
          <c:idx val="0"/>
          <c:order val="0"/>
          <c:tx>
            <c:v> Revenues </c:v>
          </c:tx>
          <c:spPr>
            <a:ln w="19050" cmpd="sng">
              <a:solidFill>
                <a:srgbClr val="4285F4"/>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Forecast!$T$171:$BO$171</c:f>
              <c:numCache>
                <c:formatCode>_(* #,##0_);_(* \(#,##0\);_(* "-"_);_(@_)</c:formatCode>
                <c:ptCount val="48"/>
                <c:pt idx="0">
                  <c:v>305928.95819071401</c:v>
                </c:pt>
                <c:pt idx="1">
                  <c:v>125897.78534690724</c:v>
                </c:pt>
                <c:pt idx="2">
                  <c:v>179167.87138758699</c:v>
                </c:pt>
                <c:pt idx="3">
                  <c:v>216369.401141482</c:v>
                </c:pt>
                <c:pt idx="4">
                  <c:v>330021.38698074972</c:v>
                </c:pt>
                <c:pt idx="5">
                  <c:v>487542.62467441428</c:v>
                </c:pt>
                <c:pt idx="6">
                  <c:v>670629.78327292774</c:v>
                </c:pt>
                <c:pt idx="7">
                  <c:v>938196.26304349001</c:v>
                </c:pt>
                <c:pt idx="8">
                  <c:v>1268002.0402687776</c:v>
                </c:pt>
                <c:pt idx="9">
                  <c:v>1645441.4748239676</c:v>
                </c:pt>
                <c:pt idx="10">
                  <c:v>2101250.1023308677</c:v>
                </c:pt>
                <c:pt idx="11">
                  <c:v>2615616.557548508</c:v>
                </c:pt>
                <c:pt idx="12">
                  <c:v>3173401.7832667241</c:v>
                </c:pt>
                <c:pt idx="13">
                  <c:v>3786359.4347102409</c:v>
                </c:pt>
                <c:pt idx="14">
                  <c:v>4436751.3429334974</c:v>
                </c:pt>
                <c:pt idx="15">
                  <c:v>5110565.663538971</c:v>
                </c:pt>
                <c:pt idx="16">
                  <c:v>5810218.5919173062</c:v>
                </c:pt>
                <c:pt idx="17">
                  <c:v>6521955.1710934415</c:v>
                </c:pt>
                <c:pt idx="18">
                  <c:v>7235155.2906478988</c:v>
                </c:pt>
                <c:pt idx="19">
                  <c:v>7949303.9244004302</c:v>
                </c:pt>
                <c:pt idx="20">
                  <c:v>8655395.4410995953</c:v>
                </c:pt>
                <c:pt idx="21">
                  <c:v>9346819.8039904963</c:v>
                </c:pt>
                <c:pt idx="22">
                  <c:v>10023057.114036566</c:v>
                </c:pt>
                <c:pt idx="23">
                  <c:v>10679210.247103635</c:v>
                </c:pt>
                <c:pt idx="24">
                  <c:v>11312003.655576162</c:v>
                </c:pt>
                <c:pt idx="25">
                  <c:v>11921695.830128862</c:v>
                </c:pt>
                <c:pt idx="26">
                  <c:v>12506270.071440881</c:v>
                </c:pt>
                <c:pt idx="27">
                  <c:v>13064687.047932006</c:v>
                </c:pt>
                <c:pt idx="28">
                  <c:v>13597862.916592553</c:v>
                </c:pt>
                <c:pt idx="29">
                  <c:v>14105492.169268373</c:v>
                </c:pt>
                <c:pt idx="30">
                  <c:v>14587792.660225345</c:v>
                </c:pt>
                <c:pt idx="31">
                  <c:v>15046005.33607435</c:v>
                </c:pt>
                <c:pt idx="32">
                  <c:v>15480681.927462809</c:v>
                </c:pt>
                <c:pt idx="33">
                  <c:v>15892615.521659639</c:v>
                </c:pt>
                <c:pt idx="34">
                  <c:v>16283098.170492988</c:v>
                </c:pt>
                <c:pt idx="35">
                  <c:v>16653011.314986873</c:v>
                </c:pt>
                <c:pt idx="36">
                  <c:v>17003418.372521818</c:v>
                </c:pt>
                <c:pt idx="37">
                  <c:v>17335316.365273707</c:v>
                </c:pt>
                <c:pt idx="38">
                  <c:v>17649725.223403133</c:v>
                </c:pt>
                <c:pt idx="39">
                  <c:v>17947631.287986901</c:v>
                </c:pt>
                <c:pt idx="40">
                  <c:v>18229950.930623587</c:v>
                </c:pt>
                <c:pt idx="41">
                  <c:v>18497580.087964818</c:v>
                </c:pt>
                <c:pt idx="42">
                  <c:v>18751367.523133673</c:v>
                </c:pt>
                <c:pt idx="43">
                  <c:v>18992098.707978185</c:v>
                </c:pt>
                <c:pt idx="44">
                  <c:v>19220524.112599753</c:v>
                </c:pt>
                <c:pt idx="45">
                  <c:v>19437347.677335963</c:v>
                </c:pt>
                <c:pt idx="46">
                  <c:v>19643220.697302319</c:v>
                </c:pt>
                <c:pt idx="47">
                  <c:v>19838758.41922839</c:v>
                </c:pt>
              </c:numCache>
            </c:numRef>
          </c:val>
          <c:smooth val="0"/>
          <c:extLst>
            <c:ext xmlns:c16="http://schemas.microsoft.com/office/drawing/2014/chart" uri="{C3380CC4-5D6E-409C-BE32-E72D297353CC}">
              <c16:uniqueId val="{00000000-14E3-FA4A-87D1-B648C90CE6A9}"/>
            </c:ext>
          </c:extLst>
        </c:ser>
        <c:ser>
          <c:idx val="1"/>
          <c:order val="1"/>
          <c:tx>
            <c:v> Marketing Spend </c:v>
          </c:tx>
          <c:spPr>
            <a:ln w="19050" cmpd="sng">
              <a:solidFill>
                <a:srgbClr val="EA4335"/>
              </a:solidFill>
            </a:ln>
          </c:spPr>
          <c:marker>
            <c:symbol val="none"/>
          </c:marker>
          <c:cat>
            <c:numRef>
              <c:f>Forecast!$T$4:$BO$4</c:f>
              <c:numCache>
                <c:formatCode>[$-409]mmm\-yy</c:formatCode>
                <c:ptCount val="48"/>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pt idx="21">
                  <c:v>46326</c:v>
                </c:pt>
                <c:pt idx="22">
                  <c:v>46356</c:v>
                </c:pt>
                <c:pt idx="23">
                  <c:v>46387</c:v>
                </c:pt>
                <c:pt idx="24">
                  <c:v>46418</c:v>
                </c:pt>
                <c:pt idx="25">
                  <c:v>46446</c:v>
                </c:pt>
                <c:pt idx="26">
                  <c:v>46477</c:v>
                </c:pt>
                <c:pt idx="27">
                  <c:v>46507</c:v>
                </c:pt>
                <c:pt idx="28">
                  <c:v>46538</c:v>
                </c:pt>
                <c:pt idx="29">
                  <c:v>46568</c:v>
                </c:pt>
                <c:pt idx="30">
                  <c:v>46599</c:v>
                </c:pt>
                <c:pt idx="31">
                  <c:v>46630</c:v>
                </c:pt>
                <c:pt idx="32">
                  <c:v>46660</c:v>
                </c:pt>
                <c:pt idx="33">
                  <c:v>46691</c:v>
                </c:pt>
                <c:pt idx="34">
                  <c:v>46721</c:v>
                </c:pt>
                <c:pt idx="35">
                  <c:v>46752</c:v>
                </c:pt>
                <c:pt idx="36">
                  <c:v>46783</c:v>
                </c:pt>
                <c:pt idx="37">
                  <c:v>46812</c:v>
                </c:pt>
                <c:pt idx="38">
                  <c:v>46843</c:v>
                </c:pt>
                <c:pt idx="39">
                  <c:v>46873</c:v>
                </c:pt>
                <c:pt idx="40">
                  <c:v>46904</c:v>
                </c:pt>
                <c:pt idx="41">
                  <c:v>46934</c:v>
                </c:pt>
                <c:pt idx="42">
                  <c:v>46965</c:v>
                </c:pt>
                <c:pt idx="43">
                  <c:v>46996</c:v>
                </c:pt>
                <c:pt idx="44">
                  <c:v>47026</c:v>
                </c:pt>
                <c:pt idx="45">
                  <c:v>47057</c:v>
                </c:pt>
                <c:pt idx="46">
                  <c:v>47087</c:v>
                </c:pt>
                <c:pt idx="47">
                  <c:v>47118</c:v>
                </c:pt>
              </c:numCache>
            </c:numRef>
          </c:cat>
          <c:val>
            <c:numRef>
              <c:f>Forecast!$T$179:$BO$179</c:f>
              <c:numCache>
                <c:formatCode>_(* #,##0_);_(* \(#,##0\);_(* "-"_);_(@_)</c:formatCode>
                <c:ptCount val="48"/>
                <c:pt idx="0">
                  <c:v>86107.239547678502</c:v>
                </c:pt>
                <c:pt idx="1">
                  <c:v>45731.911608882932</c:v>
                </c:pt>
                <c:pt idx="2">
                  <c:v>65554.402613508428</c:v>
                </c:pt>
                <c:pt idx="3">
                  <c:v>85261.910370727215</c:v>
                </c:pt>
                <c:pt idx="4">
                  <c:v>122838.93765676084</c:v>
                </c:pt>
                <c:pt idx="5">
                  <c:v>170237.11251196411</c:v>
                </c:pt>
                <c:pt idx="6">
                  <c:v>223332.84114855621</c:v>
                </c:pt>
                <c:pt idx="7">
                  <c:v>289748.01014397142</c:v>
                </c:pt>
                <c:pt idx="8">
                  <c:v>363809.04914892546</c:v>
                </c:pt>
                <c:pt idx="9">
                  <c:v>441750.5212011218</c:v>
                </c:pt>
                <c:pt idx="10">
                  <c:v>525815.61322748451</c:v>
                </c:pt>
                <c:pt idx="11">
                  <c:v>611862.21287034196</c:v>
                </c:pt>
                <c:pt idx="12">
                  <c:v>697031.06725260674</c:v>
                </c:pt>
                <c:pt idx="13">
                  <c:v>781791.98751528806</c:v>
                </c:pt>
                <c:pt idx="14">
                  <c:v>863718.24114480102</c:v>
                </c:pt>
                <c:pt idx="15">
                  <c:v>941264.9783797632</c:v>
                </c:pt>
                <c:pt idx="16">
                  <c:v>1014732.3846497497</c:v>
                </c:pt>
                <c:pt idx="17">
                  <c:v>1083096.784748917</c:v>
                </c:pt>
                <c:pt idx="18">
                  <c:v>1145852.583965027</c:v>
                </c:pt>
                <c:pt idx="19">
                  <c:v>1203457.0106361455</c:v>
                </c:pt>
                <c:pt idx="20">
                  <c:v>1255718.8297709026</c:v>
                </c:pt>
                <c:pt idx="21">
                  <c:v>1302700.9988084426</c:v>
                </c:pt>
                <c:pt idx="22">
                  <c:v>1344931.4457450397</c:v>
                </c:pt>
                <c:pt idx="23">
                  <c:v>1382590.8232486665</c:v>
                </c:pt>
                <c:pt idx="24">
                  <c:v>1415960.7511924319</c:v>
                </c:pt>
                <c:pt idx="25">
                  <c:v>1445528.4770046193</c:v>
                </c:pt>
                <c:pt idx="26">
                  <c:v>1471581.515587674</c:v>
                </c:pt>
                <c:pt idx="27">
                  <c:v>1494433.4084177725</c:v>
                </c:pt>
                <c:pt idx="28">
                  <c:v>1514478.1440059864</c:v>
                </c:pt>
                <c:pt idx="29">
                  <c:v>1531989.7421564222</c:v>
                </c:pt>
                <c:pt idx="30">
                  <c:v>1547237.3962478915</c:v>
                </c:pt>
                <c:pt idx="31">
                  <c:v>1560514.8401425818</c:v>
                </c:pt>
                <c:pt idx="32">
                  <c:v>1572042.13415571</c:v>
                </c:pt>
                <c:pt idx="33">
                  <c:v>1582025.0414780993</c:v>
                </c:pt>
                <c:pt idx="34">
                  <c:v>1590671.3221727889</c:v>
                </c:pt>
                <c:pt idx="35">
                  <c:v>1598143.0475303303</c:v>
                </c:pt>
                <c:pt idx="36">
                  <c:v>1604592.6724419394</c:v>
                </c:pt>
                <c:pt idx="37">
                  <c:v>1610151.9764717356</c:v>
                </c:pt>
                <c:pt idx="38">
                  <c:v>1614939.2003012013</c:v>
                </c:pt>
                <c:pt idx="39">
                  <c:v>1619058.1157536847</c:v>
                </c:pt>
                <c:pt idx="40">
                  <c:v>1622598.0754672741</c:v>
                </c:pt>
                <c:pt idx="41">
                  <c:v>1625638.1789401334</c:v>
                </c:pt>
                <c:pt idx="42">
                  <c:v>1628247.319876726</c:v>
                </c:pt>
                <c:pt idx="43">
                  <c:v>1630484.6494607178</c:v>
                </c:pt>
                <c:pt idx="44">
                  <c:v>1632402.0341378057</c:v>
                </c:pt>
                <c:pt idx="45">
                  <c:v>1634044.3993169381</c:v>
                </c:pt>
                <c:pt idx="46">
                  <c:v>1635450.2340843251</c:v>
                </c:pt>
                <c:pt idx="47">
                  <c:v>1636653.0529614682</c:v>
                </c:pt>
              </c:numCache>
            </c:numRef>
          </c:val>
          <c:smooth val="0"/>
          <c:extLst>
            <c:ext xmlns:c16="http://schemas.microsoft.com/office/drawing/2014/chart" uri="{C3380CC4-5D6E-409C-BE32-E72D297353CC}">
              <c16:uniqueId val="{00000001-14E3-FA4A-87D1-B648C90CE6A9}"/>
            </c:ext>
          </c:extLst>
        </c:ser>
        <c:dLbls>
          <c:showLegendKey val="0"/>
          <c:showVal val="0"/>
          <c:showCatName val="0"/>
          <c:showSerName val="0"/>
          <c:showPercent val="0"/>
          <c:showBubbleSize val="0"/>
        </c:dLbls>
        <c:smooth val="0"/>
        <c:axId val="1697522135"/>
        <c:axId val="512154599"/>
      </c:lineChart>
      <c:dateAx>
        <c:axId val="1697522135"/>
        <c:scaling>
          <c:orientation val="minMax"/>
        </c:scaling>
        <c:delete val="0"/>
        <c:axPos val="b"/>
        <c:title>
          <c:tx>
            <c:rich>
              <a:bodyPr/>
              <a:lstStyle/>
              <a:p>
                <a:pPr lvl="0">
                  <a:defRPr b="0">
                    <a:solidFill>
                      <a:srgbClr val="000000"/>
                    </a:solidFill>
                    <a:latin typeface="+mn-lt"/>
                  </a:defRPr>
                </a:pPr>
                <a:endParaRPr lang="en-US"/>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512154599"/>
        <c:crosses val="autoZero"/>
        <c:auto val="1"/>
        <c:lblOffset val="100"/>
        <c:baseTimeUnit val="months"/>
      </c:dateAx>
      <c:valAx>
        <c:axId val="51215459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quot;$&quot;#,##0" sourceLinked="0"/>
        <c:majorTickMark val="none"/>
        <c:minorTickMark val="none"/>
        <c:tickLblPos val="nextTo"/>
        <c:spPr>
          <a:ln/>
        </c:spPr>
        <c:txPr>
          <a:bodyPr/>
          <a:lstStyle/>
          <a:p>
            <a:pPr lvl="0">
              <a:defRPr sz="900" b="0" i="0">
                <a:solidFill>
                  <a:srgbClr val="000000"/>
                </a:solidFill>
                <a:latin typeface="+mn-lt"/>
              </a:defRPr>
            </a:pPr>
            <a:endParaRPr lang="en-US"/>
          </a:p>
        </c:txPr>
        <c:crossAx val="1697522135"/>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28575</xdr:colOff>
      <xdr:row>2</xdr:row>
      <xdr:rowOff>57150</xdr:rowOff>
    </xdr:from>
    <xdr:ext cx="6115050" cy="4581525"/>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0</xdr:colOff>
      <xdr:row>2</xdr:row>
      <xdr:rowOff>57150</xdr:rowOff>
    </xdr:from>
    <xdr:ext cx="6981825" cy="4648200"/>
    <xdr:graphicFrame macro="">
      <xdr:nvGraphicFramePr>
        <xdr:cNvPr id="3" name="Chart 2"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0</xdr:colOff>
      <xdr:row>27</xdr:row>
      <xdr:rowOff>0</xdr:rowOff>
    </xdr:from>
    <xdr:ext cx="6172200" cy="4581525"/>
    <xdr:graphicFrame macro="">
      <xdr:nvGraphicFramePr>
        <xdr:cNvPr id="4" name="Chart 3"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0</xdr:colOff>
      <xdr:row>26</xdr:row>
      <xdr:rowOff>152400</xdr:rowOff>
    </xdr:from>
    <xdr:ext cx="7086600" cy="4629150"/>
    <xdr:graphicFrame macro="">
      <xdr:nvGraphicFramePr>
        <xdr:cNvPr id="5" name="Chart 4" titl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C11">
  <tableColumns count="2">
    <tableColumn id="1" xr3:uid="{00000000-0010-0000-0000-000001000000}" name="Copyright &amp; Contact"/>
    <tableColumn id="2" xr3:uid="{00000000-0010-0000-0000-000002000000}" name="This was created by Taylor Davidson (@tdavidson) of Foresight._x000a_© 2024,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5:C24">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Q13" headerRowCount="0">
  <tableColumns count="16">
    <tableColumn id="1" xr3:uid="{00000000-0010-0000-0200-000001000000}" name="Column1"/>
    <tableColumn id="2" xr3:uid="{00000000-0010-0000-0200-000002000000}" name="Column2"/>
    <tableColumn id="3" xr3:uid="{00000000-0010-0000-0200-000003000000}" name="Column3"/>
    <tableColumn id="4" xr3:uid="{00000000-0010-0000-0200-000004000000}" name="Column4" dataDxfId="0"/>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s>
  <tableStyleInfo name="Model Comparison-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6:E11"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Change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esight.is/learn/colors-and-formatting" TargetMode="External"/><Relationship Id="rId2" Type="http://schemas.openxmlformats.org/officeDocument/2006/relationships/hyperlink" Target="https://foresight.is/learn/alternatives-foresight" TargetMode="External"/><Relationship Id="rId1" Type="http://schemas.openxmlformats.org/officeDocument/2006/relationships/hyperlink" Target="https://foresight.is/learn/support"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hyperlink" Target="https://foresight.is/licen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foresight.is/standard-financial-model" TargetMode="External"/><Relationship Id="rId7" Type="http://schemas.openxmlformats.org/officeDocument/2006/relationships/hyperlink" Target="https://foresight.is/enterprise-saas-template" TargetMode="External"/><Relationship Id="rId2" Type="http://schemas.openxmlformats.org/officeDocument/2006/relationships/hyperlink" Target="https://foresight.is/standard-financial-model" TargetMode="External"/><Relationship Id="rId1" Type="http://schemas.openxmlformats.org/officeDocument/2006/relationships/hyperlink" Target="https://foresight.is/runway-cash-forecasting" TargetMode="External"/><Relationship Id="rId6" Type="http://schemas.openxmlformats.org/officeDocument/2006/relationships/hyperlink" Target="https://foresight.is/unit-economics-template" TargetMode="External"/><Relationship Id="rId5" Type="http://schemas.openxmlformats.org/officeDocument/2006/relationships/hyperlink" Target="https://foresight.is/ecommerce-forecasting-tool" TargetMode="External"/><Relationship Id="rId4" Type="http://schemas.openxmlformats.org/officeDocument/2006/relationships/hyperlink" Target="https://foresight.is/saas-forecasting-tool"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5"/>
  <sheetViews>
    <sheetView showGridLines="0" tabSelected="1" workbookViewId="0">
      <selection activeCell="D8" sqref="D8"/>
    </sheetView>
  </sheetViews>
  <sheetFormatPr baseColWidth="10" defaultColWidth="10.140625" defaultRowHeight="15" customHeight="1"/>
  <cols>
    <col min="1" max="1" width="3.28515625" customWidth="1"/>
    <col min="2" max="2" width="28.140625" customWidth="1"/>
    <col min="3" max="3" width="52.42578125" customWidth="1"/>
    <col min="4" max="4" width="18.140625" customWidth="1"/>
  </cols>
  <sheetData>
    <row r="1" spans="1:5" ht="16">
      <c r="A1" s="1"/>
      <c r="B1" s="1"/>
      <c r="C1" s="1"/>
      <c r="D1" s="1"/>
      <c r="E1" s="1"/>
    </row>
    <row r="2" spans="1:5" ht="18">
      <c r="A2" s="1"/>
      <c r="B2" s="2" t="s">
        <v>0</v>
      </c>
      <c r="C2" s="1"/>
      <c r="D2" s="1"/>
      <c r="E2" s="1"/>
    </row>
    <row r="3" spans="1:5" ht="16">
      <c r="A3" s="1"/>
      <c r="B3" s="3" t="s">
        <v>1</v>
      </c>
      <c r="C3" s="1"/>
      <c r="D3" s="1"/>
      <c r="E3" s="1"/>
    </row>
    <row r="4" spans="1:5" ht="16">
      <c r="A4" s="1"/>
      <c r="B4" s="4"/>
      <c r="C4" s="1"/>
      <c r="D4" s="1"/>
      <c r="E4" s="1"/>
    </row>
    <row r="5" spans="1:5" ht="59" customHeight="1">
      <c r="A5" s="1"/>
      <c r="B5" s="5" t="s">
        <v>2</v>
      </c>
      <c r="C5" s="12" t="s">
        <v>3</v>
      </c>
      <c r="D5" s="1"/>
      <c r="E5" s="1"/>
    </row>
    <row r="6" spans="1:5" ht="59" customHeight="1">
      <c r="A6" s="1"/>
      <c r="B6" s="5" t="s">
        <v>4</v>
      </c>
      <c r="C6" s="7" t="s">
        <v>5</v>
      </c>
      <c r="D6" s="1"/>
      <c r="E6" s="1"/>
    </row>
    <row r="7" spans="1:5" ht="59" customHeight="1">
      <c r="A7" s="1"/>
      <c r="B7" s="5" t="s">
        <v>6</v>
      </c>
      <c r="C7" s="8" t="s">
        <v>7</v>
      </c>
      <c r="D7" s="1"/>
      <c r="E7" s="1"/>
    </row>
    <row r="8" spans="1:5" ht="59" customHeight="1">
      <c r="A8" s="1"/>
      <c r="B8" s="5" t="s">
        <v>8</v>
      </c>
      <c r="C8" s="9" t="s">
        <v>9</v>
      </c>
      <c r="D8" s="1"/>
      <c r="E8" s="1"/>
    </row>
    <row r="9" spans="1:5" ht="59" customHeight="1">
      <c r="A9" s="1"/>
      <c r="B9" s="5" t="s">
        <v>10</v>
      </c>
      <c r="C9" s="9" t="s">
        <v>11</v>
      </c>
      <c r="D9" s="1"/>
      <c r="E9" s="1"/>
    </row>
    <row r="10" spans="1:5" ht="59" customHeight="1">
      <c r="A10" s="1"/>
      <c r="B10" s="5" t="s">
        <v>12</v>
      </c>
      <c r="C10" s="9" t="s">
        <v>13</v>
      </c>
      <c r="D10" s="1"/>
      <c r="E10" s="1"/>
    </row>
    <row r="11" spans="1:5" ht="206" customHeight="1">
      <c r="A11" s="1"/>
      <c r="B11" s="5" t="s">
        <v>14</v>
      </c>
      <c r="C11" s="8" t="s">
        <v>15</v>
      </c>
      <c r="D11" s="1"/>
      <c r="E11" s="1"/>
    </row>
    <row r="12" spans="1:5" ht="16">
      <c r="A12" s="1"/>
      <c r="B12" s="8"/>
      <c r="C12" s="8"/>
      <c r="D12" s="1"/>
      <c r="E12" s="1"/>
    </row>
    <row r="13" spans="1:5" ht="17">
      <c r="A13" s="1"/>
      <c r="B13" s="10" t="s">
        <v>16</v>
      </c>
      <c r="C13" s="11"/>
      <c r="D13" s="1"/>
      <c r="E13" s="1"/>
    </row>
    <row r="14" spans="1:5" ht="16">
      <c r="A14" s="1"/>
      <c r="B14" s="12"/>
      <c r="C14" s="11"/>
      <c r="D14" s="1"/>
      <c r="E14" s="1"/>
    </row>
    <row r="15" spans="1:5" ht="16">
      <c r="A15" s="1"/>
      <c r="B15" s="12" t="s">
        <v>17</v>
      </c>
      <c r="C15" s="8" t="s">
        <v>18</v>
      </c>
      <c r="D15" s="1"/>
      <c r="E15" s="1"/>
    </row>
    <row r="16" spans="1:5" ht="28">
      <c r="A16" s="1"/>
      <c r="B16" s="12" t="s">
        <v>19</v>
      </c>
      <c r="C16" s="9" t="s">
        <v>20</v>
      </c>
      <c r="D16" s="1"/>
      <c r="E16" s="1"/>
    </row>
    <row r="17" spans="1:5" ht="16">
      <c r="A17" s="1"/>
      <c r="B17" s="12" t="s">
        <v>4</v>
      </c>
      <c r="C17" s="9" t="s">
        <v>21</v>
      </c>
      <c r="D17" s="1"/>
      <c r="E17" s="1"/>
    </row>
    <row r="18" spans="1:5" ht="16">
      <c r="A18" s="1"/>
      <c r="B18" s="12" t="s">
        <v>22</v>
      </c>
      <c r="C18" s="8" t="s">
        <v>23</v>
      </c>
      <c r="D18" s="1"/>
      <c r="E18" s="1"/>
    </row>
    <row r="19" spans="1:5" ht="16">
      <c r="A19" s="1"/>
      <c r="B19" s="12" t="s">
        <v>24</v>
      </c>
      <c r="C19" s="8" t="s">
        <v>25</v>
      </c>
      <c r="D19" s="1"/>
      <c r="E19" s="1"/>
    </row>
    <row r="20" spans="1:5" ht="28">
      <c r="A20" s="1"/>
      <c r="B20" s="11" t="s">
        <v>26</v>
      </c>
      <c r="C20" s="8" t="s">
        <v>27</v>
      </c>
      <c r="D20" s="1"/>
      <c r="E20" s="1"/>
    </row>
    <row r="21" spans="1:5" ht="16">
      <c r="A21" s="1"/>
      <c r="B21" s="11" t="s">
        <v>28</v>
      </c>
      <c r="C21" s="8" t="s">
        <v>29</v>
      </c>
      <c r="D21" s="1"/>
      <c r="E21" s="1"/>
    </row>
    <row r="22" spans="1:5" ht="28">
      <c r="A22" s="1"/>
      <c r="B22" s="11" t="s">
        <v>30</v>
      </c>
      <c r="C22" s="8" t="s">
        <v>31</v>
      </c>
      <c r="D22" s="1"/>
      <c r="E22" s="1"/>
    </row>
    <row r="23" spans="1:5" ht="28">
      <c r="A23" s="1"/>
      <c r="B23" s="11" t="s">
        <v>32</v>
      </c>
      <c r="C23" s="8" t="s">
        <v>33</v>
      </c>
      <c r="D23" s="1"/>
      <c r="E23" s="1"/>
    </row>
    <row r="24" spans="1:5" ht="42">
      <c r="A24" s="1"/>
      <c r="B24" s="11" t="s">
        <v>34</v>
      </c>
      <c r="C24" s="8" t="s">
        <v>35</v>
      </c>
      <c r="D24" s="1"/>
      <c r="E24" s="1"/>
    </row>
    <row r="25" spans="1:5" ht="16">
      <c r="A25" s="1"/>
      <c r="B25" s="1"/>
      <c r="C25" s="8"/>
      <c r="D25" s="1"/>
      <c r="E25" s="1"/>
    </row>
  </sheetData>
  <hyperlinks>
    <hyperlink ref="C6" location="null!A1" display="tl:dr; You can modify, edit, use, and share within your company (and with third-parties as needed to operate your business). You may not redistribute, resell, give away to others. Full license._x000a_" xr:uid="{00000000-0004-0000-0000-000000000000}"/>
    <hyperlink ref="C8" location="null!A1" display="File &gt; Make a Copy to copy it to your own Google Drive, or File &gt; Download to download this to use in Excel or other spreadsheet programs. See License for warranties and liabilities._x000a_" xr:uid="{00000000-0004-0000-0000-000001000000}"/>
    <hyperlink ref="C9" r:id="rId1" xr:uid="{00000000-0004-0000-0000-000002000000}"/>
    <hyperlink ref="C10" r:id="rId2" xr:uid="{00000000-0004-0000-0000-000003000000}"/>
    <hyperlink ref="C16" r:id="rId3" xr:uid="{00000000-0004-0000-0000-000004000000}"/>
    <hyperlink ref="C17" r:id="rId4" xr:uid="{00000000-0004-0000-0000-000005000000}"/>
  </hyperlinks>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0.140625" defaultRowHeight="15" customHeight="1"/>
  <cols>
    <col min="1" max="1" width="2.28515625" customWidth="1"/>
    <col min="2" max="2" width="63.28515625" customWidth="1"/>
  </cols>
  <sheetData>
    <row r="1" spans="1:2" ht="29.25" customHeight="1">
      <c r="A1" s="2"/>
      <c r="B1" s="2" t="s">
        <v>36</v>
      </c>
    </row>
    <row r="2" spans="1:2" ht="15.75" customHeight="1">
      <c r="A2" s="13"/>
      <c r="B2" s="14" t="s">
        <v>37</v>
      </c>
    </row>
    <row r="3" spans="1:2" ht="16">
      <c r="A3" s="15"/>
      <c r="B3" s="15"/>
    </row>
    <row r="4" spans="1:2" ht="99">
      <c r="A4" s="15"/>
      <c r="B4" s="15" t="s">
        <v>38</v>
      </c>
    </row>
    <row r="5" spans="1:2" ht="16">
      <c r="A5" s="15"/>
      <c r="B5" s="15"/>
    </row>
    <row r="6" spans="1:2" ht="16">
      <c r="A6" s="15"/>
      <c r="B6" s="15" t="s">
        <v>39</v>
      </c>
    </row>
    <row r="7" spans="1:2" ht="16">
      <c r="A7" s="15"/>
      <c r="B7" s="15"/>
    </row>
    <row r="8" spans="1:2" ht="16">
      <c r="A8" s="15"/>
      <c r="B8" s="15" t="s">
        <v>40</v>
      </c>
    </row>
    <row r="9" spans="1:2" ht="29">
      <c r="A9" s="15"/>
      <c r="B9" s="15" t="s">
        <v>41</v>
      </c>
    </row>
    <row r="10" spans="1:2" ht="16">
      <c r="A10" s="15"/>
      <c r="B10" s="15" t="s">
        <v>42</v>
      </c>
    </row>
    <row r="11" spans="1:2" ht="16">
      <c r="A11" s="15"/>
      <c r="B11" s="15" t="s">
        <v>43</v>
      </c>
    </row>
    <row r="12" spans="1:2" ht="16">
      <c r="A12" s="15"/>
      <c r="B12" s="15" t="s">
        <v>44</v>
      </c>
    </row>
    <row r="13" spans="1:2" ht="16">
      <c r="A13" s="15"/>
      <c r="B13" s="15"/>
    </row>
    <row r="14" spans="1:2" ht="16">
      <c r="A14" s="15"/>
      <c r="B14" s="15" t="s">
        <v>45</v>
      </c>
    </row>
    <row r="15" spans="1:2" ht="16">
      <c r="A15" s="15"/>
      <c r="B15" s="15" t="s">
        <v>46</v>
      </c>
    </row>
    <row r="16" spans="1:2" ht="29">
      <c r="A16" s="15"/>
      <c r="B16" s="15" t="s">
        <v>47</v>
      </c>
    </row>
    <row r="17" spans="1:2" ht="16">
      <c r="A17" s="15"/>
      <c r="B17" s="15" t="s">
        <v>48</v>
      </c>
    </row>
    <row r="18" spans="1:2" ht="29">
      <c r="A18" s="15"/>
      <c r="B18" s="15" t="s">
        <v>49</v>
      </c>
    </row>
    <row r="19" spans="1:2" ht="29">
      <c r="A19" s="15"/>
      <c r="B19" s="15" t="s">
        <v>50</v>
      </c>
    </row>
    <row r="20" spans="1:2" ht="16">
      <c r="A20" s="15"/>
      <c r="B20" s="15" t="s">
        <v>51</v>
      </c>
    </row>
    <row r="21" spans="1:2" ht="29">
      <c r="A21" s="15"/>
      <c r="B21" s="15" t="s">
        <v>52</v>
      </c>
    </row>
    <row r="22" spans="1:2" ht="16">
      <c r="A22" s="15"/>
      <c r="B22" s="15"/>
    </row>
    <row r="23" spans="1:2" ht="141">
      <c r="A23" s="15"/>
      <c r="B23" s="15" t="s">
        <v>53</v>
      </c>
    </row>
    <row r="24" spans="1:2" ht="16">
      <c r="A24" s="15"/>
      <c r="B24" s="15"/>
    </row>
    <row r="25" spans="1:2" ht="127">
      <c r="A25" s="15"/>
      <c r="B25" s="15" t="s">
        <v>54</v>
      </c>
    </row>
    <row r="26" spans="1:2" ht="16">
      <c r="A26" s="15"/>
      <c r="B26" s="15"/>
    </row>
    <row r="27" spans="1:2" ht="85">
      <c r="A27" s="15"/>
      <c r="B27" s="15" t="s">
        <v>55</v>
      </c>
    </row>
    <row r="28" spans="1:2" ht="16">
      <c r="A28" s="15"/>
      <c r="B28" s="15"/>
    </row>
    <row r="29" spans="1:2" ht="71">
      <c r="A29" s="15"/>
      <c r="B29" s="15" t="s">
        <v>56</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B9"/>
  <sheetViews>
    <sheetView showGridLines="0" workbookViewId="0"/>
  </sheetViews>
  <sheetFormatPr baseColWidth="10" defaultColWidth="10.140625" defaultRowHeight="15" customHeight="1"/>
  <cols>
    <col min="1" max="1" width="4" customWidth="1"/>
    <col min="2" max="2" width="60" customWidth="1"/>
  </cols>
  <sheetData>
    <row r="2" spans="2:2">
      <c r="B2" s="2" t="s">
        <v>57</v>
      </c>
    </row>
    <row r="3" spans="2:2">
      <c r="B3" s="6"/>
    </row>
    <row r="4" spans="2:2">
      <c r="B4" s="6" t="str">
        <f>"This Investor Presentation is provided for informational purposes only and does not constitute an offer to buy or a solicitation of an offer to invest, or to procure an investment in "&amp;'Get Started'!D9&amp;" (the “Company”)."</f>
        <v>This Investor Presentation is provided for informational purposes only and does not constitute an offer to buy or a solicitation of an offer to invest, or to procure an investment in 46022 (the “Company”).</v>
      </c>
    </row>
    <row r="5" spans="2:2">
      <c r="B5" s="6" t="s">
        <v>58</v>
      </c>
    </row>
    <row r="6" spans="2:2">
      <c r="B6" s="6" t="s">
        <v>59</v>
      </c>
    </row>
    <row r="7" spans="2:2">
      <c r="B7" s="6" t="s">
        <v>60</v>
      </c>
    </row>
    <row r="8" spans="2:2">
      <c r="B8" s="6" t="s">
        <v>61</v>
      </c>
    </row>
    <row r="9" spans="2:2">
      <c r="B9" s="6"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showGridLines="0" workbookViewId="0">
      <selection activeCell="D49" sqref="D49"/>
    </sheetView>
  </sheetViews>
  <sheetFormatPr baseColWidth="10" defaultColWidth="10.140625" defaultRowHeight="15" customHeight="1"/>
  <cols>
    <col min="1" max="1" width="3.85546875" customWidth="1"/>
    <col min="2" max="2" width="32.42578125" customWidth="1"/>
    <col min="3" max="3" width="4.42578125" customWidth="1"/>
    <col min="4" max="4" width="10.140625" customWidth="1"/>
    <col min="5" max="5" width="5.85546875" customWidth="1"/>
    <col min="6" max="6" width="108.140625" customWidth="1"/>
  </cols>
  <sheetData>
    <row r="1" spans="1:6" ht="17.25" customHeight="1">
      <c r="A1" s="1"/>
      <c r="B1" s="16"/>
      <c r="C1" s="17"/>
      <c r="D1" s="1"/>
      <c r="E1" s="1"/>
      <c r="F1" s="18"/>
    </row>
    <row r="2" spans="1:6" ht="17.25" customHeight="1">
      <c r="A2" s="1"/>
      <c r="B2" s="19" t="s">
        <v>22</v>
      </c>
      <c r="C2" s="20"/>
      <c r="D2" s="1"/>
      <c r="E2" s="1"/>
      <c r="F2" s="18"/>
    </row>
    <row r="3" spans="1:6" ht="17.25" customHeight="1">
      <c r="A3" s="1"/>
      <c r="B3" s="21" t="s">
        <v>63</v>
      </c>
      <c r="C3" s="17"/>
      <c r="D3" s="1"/>
      <c r="E3" s="1"/>
      <c r="F3" s="18"/>
    </row>
    <row r="4" spans="1:6" ht="17.25" customHeight="1">
      <c r="A4" s="1"/>
      <c r="B4" s="22"/>
      <c r="C4" s="20"/>
      <c r="D4" s="1"/>
      <c r="E4" s="1"/>
      <c r="F4" s="16"/>
    </row>
    <row r="5" spans="1:6" ht="17.25" customHeight="1">
      <c r="A5" s="1"/>
      <c r="B5" s="22" t="s">
        <v>64</v>
      </c>
      <c r="C5" s="20"/>
      <c r="D5" s="1"/>
      <c r="E5" s="1"/>
      <c r="F5" s="16"/>
    </row>
    <row r="6" spans="1:6" ht="17.25" customHeight="1">
      <c r="A6" s="1"/>
      <c r="B6" s="16" t="s">
        <v>65</v>
      </c>
      <c r="C6" s="17"/>
      <c r="D6" s="23" t="s">
        <v>66</v>
      </c>
      <c r="E6" s="1"/>
      <c r="F6" s="1" t="s">
        <v>67</v>
      </c>
    </row>
    <row r="7" spans="1:6" ht="17.25" customHeight="1">
      <c r="A7" s="1"/>
      <c r="B7" s="16" t="s">
        <v>68</v>
      </c>
      <c r="C7" s="17"/>
      <c r="D7" s="23" t="s">
        <v>69</v>
      </c>
      <c r="E7" s="1"/>
      <c r="F7" s="1" t="s">
        <v>70</v>
      </c>
    </row>
    <row r="8" spans="1:6" ht="17.25" customHeight="1">
      <c r="A8" s="1"/>
      <c r="B8" s="16" t="s">
        <v>71</v>
      </c>
      <c r="C8" s="17"/>
      <c r="D8" s="24">
        <v>45658</v>
      </c>
      <c r="E8" s="1"/>
      <c r="F8" s="1" t="s">
        <v>72</v>
      </c>
    </row>
    <row r="9" spans="1:6" ht="17.25" customHeight="1">
      <c r="A9" s="1"/>
      <c r="B9" s="16" t="s">
        <v>73</v>
      </c>
      <c r="C9" s="17"/>
      <c r="D9" s="24">
        <f>DATE(YEAR(D8),12,31)</f>
        <v>46022</v>
      </c>
      <c r="E9" s="1"/>
      <c r="F9" s="1" t="s">
        <v>74</v>
      </c>
    </row>
    <row r="10" spans="1:6" ht="17.25" customHeight="1">
      <c r="A10" s="1"/>
      <c r="B10" s="16"/>
      <c r="C10" s="17"/>
      <c r="D10" s="1"/>
      <c r="E10" s="18"/>
      <c r="F10" s="1"/>
    </row>
    <row r="11" spans="1:6" ht="17.25" customHeight="1">
      <c r="A11" s="1"/>
      <c r="B11" s="22" t="s">
        <v>75</v>
      </c>
      <c r="C11" s="17"/>
      <c r="D11" s="1"/>
      <c r="E11" s="1"/>
      <c r="F11" s="18" t="s">
        <v>76</v>
      </c>
    </row>
    <row r="12" spans="1:6" ht="17.25" customHeight="1">
      <c r="A12" s="1"/>
      <c r="B12" s="16" t="s">
        <v>77</v>
      </c>
      <c r="C12" s="17"/>
      <c r="D12" s="24">
        <f>EOMONTH(D14,-47)</f>
        <v>44227</v>
      </c>
      <c r="E12" s="1"/>
      <c r="F12" s="18" t="s">
        <v>78</v>
      </c>
    </row>
    <row r="13" spans="1:6" ht="17.25" customHeight="1">
      <c r="A13" s="1"/>
      <c r="B13" s="16" t="s">
        <v>73</v>
      </c>
      <c r="C13" s="17"/>
      <c r="D13" s="24">
        <f>DATE(YEAR(D12),12,31)</f>
        <v>44561</v>
      </c>
      <c r="E13" s="1"/>
      <c r="F13" s="18" t="s">
        <v>79</v>
      </c>
    </row>
    <row r="14" spans="1:6" ht="17.25" customHeight="1">
      <c r="A14" s="1"/>
      <c r="B14" s="16" t="s">
        <v>80</v>
      </c>
      <c r="C14" s="17"/>
      <c r="D14" s="25">
        <f>EOMONTH(D8,-1)</f>
        <v>45657</v>
      </c>
      <c r="E14" s="1"/>
      <c r="F14" s="18" t="s">
        <v>81</v>
      </c>
    </row>
    <row r="15" spans="1:6" ht="17.25" customHeight="1">
      <c r="A15" s="1"/>
      <c r="B15" s="22"/>
      <c r="C15" s="17"/>
      <c r="D15" s="1"/>
      <c r="E15" s="1"/>
      <c r="F15" s="18"/>
    </row>
    <row r="16" spans="1:6" ht="17.25" customHeight="1">
      <c r="A16" s="1"/>
      <c r="B16" s="22" t="s">
        <v>82</v>
      </c>
      <c r="C16" s="17"/>
      <c r="D16" s="1"/>
      <c r="E16" s="1"/>
      <c r="F16" s="18"/>
    </row>
    <row r="17" spans="1:6" ht="17.25" customHeight="1">
      <c r="A17" s="1"/>
      <c r="B17" s="16" t="str">
        <f>"Average Revenue per Order, new Customer"</f>
        <v>Average Revenue per Order, new Customer</v>
      </c>
      <c r="C17" s="17" t="str">
        <f t="shared" ref="C17:C18" si="0">D$7</f>
        <v>$</v>
      </c>
      <c r="D17" s="26">
        <v>50</v>
      </c>
      <c r="E17" s="1"/>
      <c r="F17" s="18" t="s">
        <v>83</v>
      </c>
    </row>
    <row r="18" spans="1:6" ht="17.25" customHeight="1">
      <c r="A18" s="1"/>
      <c r="B18" s="16" t="str">
        <f>"Average Revenue per Order, repeat Customer"</f>
        <v>Average Revenue per Order, repeat Customer</v>
      </c>
      <c r="C18" s="17" t="str">
        <f t="shared" si="0"/>
        <v>$</v>
      </c>
      <c r="D18" s="26">
        <f>D17*0.8</f>
        <v>40</v>
      </c>
      <c r="E18" s="1"/>
      <c r="F18" s="1" t="s">
        <v>84</v>
      </c>
    </row>
    <row r="19" spans="1:6" ht="17.25" customHeight="1">
      <c r="A19" s="1"/>
      <c r="B19" s="16" t="str">
        <f>"Baseline rate of change in "&amp;B18</f>
        <v>Baseline rate of change in Average Revenue per Order, repeat Customer</v>
      </c>
      <c r="C19" s="17" t="s">
        <v>85</v>
      </c>
      <c r="D19" s="27">
        <v>0.1</v>
      </c>
      <c r="E19" s="18"/>
      <c r="F19" s="1" t="s">
        <v>86</v>
      </c>
    </row>
    <row r="20" spans="1:6" ht="17.25" customHeight="1">
      <c r="A20" s="1"/>
      <c r="B20" s="16" t="str">
        <f>"… where the rate "&amp;IF(D20&lt;0,"declines %",IF(D20&gt;0,"increases %","stays the same"))&amp;" per month"</f>
        <v>… where the rate declines % per month</v>
      </c>
      <c r="C20" s="17" t="s">
        <v>85</v>
      </c>
      <c r="D20" s="27">
        <v>-0.05</v>
      </c>
      <c r="E20" s="18"/>
      <c r="F20" s="1" t="s">
        <v>87</v>
      </c>
    </row>
    <row r="21" spans="1:6" ht="17.25" customHeight="1">
      <c r="A21" s="1"/>
      <c r="B21" s="16"/>
      <c r="C21" s="17"/>
      <c r="D21" s="1"/>
      <c r="E21" s="1"/>
      <c r="F21" s="18"/>
    </row>
    <row r="22" spans="1:6" ht="17.25" customHeight="1">
      <c r="A22" s="1"/>
      <c r="B22" s="16" t="s">
        <v>88</v>
      </c>
      <c r="C22" s="17" t="s">
        <v>85</v>
      </c>
      <c r="D22" s="27">
        <v>0.25</v>
      </c>
      <c r="E22" s="1"/>
      <c r="F22" s="18" t="s">
        <v>89</v>
      </c>
    </row>
    <row r="23" spans="1:6" ht="17.25" customHeight="1">
      <c r="A23" s="1"/>
      <c r="B23" s="16" t="s">
        <v>90</v>
      </c>
      <c r="C23" s="17" t="s">
        <v>85</v>
      </c>
      <c r="D23" s="27">
        <v>0.1</v>
      </c>
      <c r="E23" s="1"/>
      <c r="F23" s="18" t="s">
        <v>89</v>
      </c>
    </row>
    <row r="24" spans="1:6" ht="17.25" customHeight="1">
      <c r="A24" s="1"/>
      <c r="B24" s="16" t="s">
        <v>90</v>
      </c>
      <c r="C24" s="17" t="s">
        <v>85</v>
      </c>
      <c r="D24" s="27">
        <v>0</v>
      </c>
      <c r="E24" s="1"/>
      <c r="F24" s="18" t="s">
        <v>89</v>
      </c>
    </row>
    <row r="25" spans="1:6" ht="17.25" customHeight="1">
      <c r="A25" s="1"/>
      <c r="B25" s="16" t="str">
        <f>"Baseline rate of change in "&amp;B24</f>
        <v>Baseline rate of change in Additional Cost of Sales</v>
      </c>
      <c r="C25" s="17" t="s">
        <v>85</v>
      </c>
      <c r="D25" s="27">
        <v>0</v>
      </c>
      <c r="E25" s="18"/>
      <c r="F25" s="1" t="s">
        <v>86</v>
      </c>
    </row>
    <row r="26" spans="1:6" ht="17.25" customHeight="1">
      <c r="A26" s="1"/>
      <c r="B26" s="16" t="str">
        <f>"… where the rate "&amp;IF(D26&lt;0,"declines %",IF(D26&gt;0,"increases %","stays the same"))&amp;" per month"</f>
        <v>… where the rate stays the same per month</v>
      </c>
      <c r="C26" s="17" t="s">
        <v>85</v>
      </c>
      <c r="D26" s="27">
        <v>0</v>
      </c>
      <c r="E26" s="18"/>
      <c r="F26" s="1" t="s">
        <v>87</v>
      </c>
    </row>
    <row r="27" spans="1:6" ht="17.25" customHeight="1">
      <c r="A27" s="1"/>
      <c r="B27" s="16"/>
      <c r="C27" s="17"/>
      <c r="D27" s="1"/>
      <c r="E27" s="1"/>
      <c r="F27" s="18"/>
    </row>
    <row r="28" spans="1:6" ht="17.25" customHeight="1">
      <c r="A28" s="1"/>
      <c r="B28" s="16" t="s">
        <v>91</v>
      </c>
      <c r="C28" s="17" t="str">
        <f t="shared" ref="C28:C29" si="1">D$7</f>
        <v>$</v>
      </c>
      <c r="D28" s="28">
        <v>0</v>
      </c>
      <c r="E28" s="1"/>
      <c r="F28" s="18" t="s">
        <v>92</v>
      </c>
    </row>
    <row r="29" spans="1:6" ht="17.25" customHeight="1">
      <c r="A29" s="1"/>
      <c r="B29" s="16" t="s">
        <v>93</v>
      </c>
      <c r="C29" s="17" t="str">
        <f t="shared" si="1"/>
        <v>$</v>
      </c>
      <c r="D29" s="28">
        <v>0</v>
      </c>
      <c r="E29" s="1"/>
      <c r="F29" s="18" t="s">
        <v>94</v>
      </c>
    </row>
    <row r="30" spans="1:6" ht="17.25" customHeight="1">
      <c r="A30" s="1"/>
      <c r="B30" s="16"/>
      <c r="C30" s="17"/>
      <c r="D30" s="1"/>
      <c r="E30" s="1"/>
      <c r="F30" s="18"/>
    </row>
    <row r="31" spans="1:6" ht="17.25" customHeight="1">
      <c r="A31" s="1"/>
      <c r="B31" s="16" t="s">
        <v>95</v>
      </c>
      <c r="C31" s="17" t="str">
        <f t="shared" ref="C31:C32" si="2">D$7</f>
        <v>$</v>
      </c>
      <c r="D31" s="26">
        <v>30</v>
      </c>
      <c r="E31" s="1"/>
      <c r="F31" s="18" t="str">
        <f>"Customer acquisition cost, per new order"</f>
        <v>Customer acquisition cost, per new order</v>
      </c>
    </row>
    <row r="32" spans="1:6" ht="17.25" customHeight="1">
      <c r="A32" s="1"/>
      <c r="B32" s="16" t="s">
        <v>96</v>
      </c>
      <c r="C32" s="17" t="str">
        <f t="shared" si="2"/>
        <v>$</v>
      </c>
      <c r="D32" s="26">
        <v>10</v>
      </c>
      <c r="E32" s="1"/>
      <c r="F32" s="1" t="s">
        <v>97</v>
      </c>
    </row>
    <row r="33" spans="1:6" ht="17.25" customHeight="1">
      <c r="A33" s="1"/>
      <c r="B33" s="16" t="str">
        <f>"Baseline rate of change in "&amp;B32</f>
        <v>Baseline rate of change in Customer Acquisition Cost (CAC), repeat customer</v>
      </c>
      <c r="C33" s="17" t="s">
        <v>85</v>
      </c>
      <c r="D33" s="27">
        <v>0</v>
      </c>
      <c r="E33" s="18"/>
      <c r="F33" s="1" t="s">
        <v>98</v>
      </c>
    </row>
    <row r="34" spans="1:6" ht="17.25" customHeight="1">
      <c r="A34" s="1"/>
      <c r="B34" s="16" t="str">
        <f>"… where the rate "&amp;IF(D34&lt;0,"declines %",IF(D34&gt;0,"increases %","stays the same"))&amp;" per month"</f>
        <v>… where the rate stays the same per month</v>
      </c>
      <c r="C34" s="17" t="s">
        <v>85</v>
      </c>
      <c r="D34" s="27">
        <v>0</v>
      </c>
      <c r="E34" s="18"/>
      <c r="F34" s="1" t="s">
        <v>99</v>
      </c>
    </row>
    <row r="35" spans="1:6" ht="17.25" customHeight="1">
      <c r="A35" s="1"/>
      <c r="B35" s="16"/>
      <c r="C35" s="17"/>
      <c r="D35" s="1"/>
      <c r="E35" s="1"/>
      <c r="F35" s="1"/>
    </row>
    <row r="36" spans="1:6" ht="17.25" customHeight="1">
      <c r="A36" s="1"/>
      <c r="B36" s="22" t="s">
        <v>100</v>
      </c>
      <c r="C36" s="17"/>
      <c r="D36" s="1"/>
      <c r="E36" s="1"/>
      <c r="F36" s="1"/>
    </row>
    <row r="37" spans="1:6" ht="17.25" customHeight="1">
      <c r="A37" s="1"/>
      <c r="B37" s="16" t="s">
        <v>101</v>
      </c>
      <c r="C37" s="17"/>
      <c r="D37" s="24">
        <f>D8</f>
        <v>45658</v>
      </c>
      <c r="E37" s="18"/>
      <c r="F37" s="1" t="s">
        <v>102</v>
      </c>
    </row>
    <row r="38" spans="1:6" ht="17.25" customHeight="1">
      <c r="A38" s="1"/>
      <c r="B38" s="16" t="s">
        <v>103</v>
      </c>
      <c r="C38" s="17" t="s">
        <v>104</v>
      </c>
      <c r="D38" s="29">
        <v>550</v>
      </c>
      <c r="E38" s="18"/>
      <c r="F38" s="1" t="s">
        <v>105</v>
      </c>
    </row>
    <row r="39" spans="1:6" ht="17.25" customHeight="1">
      <c r="A39" s="1"/>
      <c r="B39" s="16" t="str">
        <f>"Baseline growth rate in "&amp;B38</f>
        <v>Baseline growth rate in New Customers</v>
      </c>
      <c r="C39" s="17" t="s">
        <v>85</v>
      </c>
      <c r="D39" s="30">
        <v>0.9</v>
      </c>
      <c r="E39" s="18"/>
      <c r="F39" s="1" t="s">
        <v>86</v>
      </c>
    </row>
    <row r="40" spans="1:6" ht="17.25" customHeight="1">
      <c r="A40" s="1"/>
      <c r="B40" s="16" t="str">
        <f>"… where the growth rate "&amp;IF(D40&lt;0,"declines %",IF(D40&gt;0,"increases %","stays the same"))&amp;" per month"</f>
        <v>… where the growth rate declines % per month</v>
      </c>
      <c r="C40" s="17" t="s">
        <v>85</v>
      </c>
      <c r="D40" s="30">
        <v>-0.15</v>
      </c>
      <c r="E40" s="18"/>
      <c r="F40" s="1" t="s">
        <v>87</v>
      </c>
    </row>
    <row r="41" spans="1:6" ht="17.25" customHeight="1">
      <c r="A41" s="1"/>
      <c r="B41" s="16" t="s">
        <v>106</v>
      </c>
      <c r="C41" s="17" t="s">
        <v>85</v>
      </c>
      <c r="D41" s="30">
        <v>0.02</v>
      </c>
      <c r="E41" s="18"/>
      <c r="F41" s="1" t="s">
        <v>107</v>
      </c>
    </row>
    <row r="42" spans="1:6" ht="17.25" customHeight="1">
      <c r="A42" s="1"/>
      <c r="B42" s="16" t="s">
        <v>108</v>
      </c>
      <c r="C42" s="17" t="s">
        <v>104</v>
      </c>
      <c r="D42" s="29">
        <v>0</v>
      </c>
      <c r="E42" s="18"/>
      <c r="F42" s="1" t="s">
        <v>109</v>
      </c>
    </row>
    <row r="43" spans="1:6" ht="17.25" customHeight="1">
      <c r="A43" s="1"/>
      <c r="B43" s="16" t="s">
        <v>110</v>
      </c>
      <c r="C43" s="17" t="s">
        <v>85</v>
      </c>
      <c r="D43" s="30">
        <v>0.5</v>
      </c>
      <c r="E43" s="1"/>
      <c r="F43" s="1" t="s">
        <v>111</v>
      </c>
    </row>
    <row r="44" spans="1:6" ht="17.25" customHeight="1">
      <c r="A44" s="1"/>
      <c r="B44" s="16" t="s">
        <v>112</v>
      </c>
      <c r="C44" s="17" t="s">
        <v>104</v>
      </c>
      <c r="D44" s="29">
        <v>3</v>
      </c>
      <c r="E44" s="1"/>
      <c r="F44" s="1" t="s">
        <v>113</v>
      </c>
    </row>
    <row r="45" spans="1:6" ht="17.25" customHeight="1">
      <c r="A45" s="1"/>
      <c r="B45" s="16" t="s">
        <v>114</v>
      </c>
      <c r="C45" s="17"/>
      <c r="D45" s="1"/>
      <c r="E45" s="1"/>
      <c r="F45" s="1" t="s">
        <v>115</v>
      </c>
    </row>
    <row r="46" spans="1:6" ht="17.25" customHeight="1">
      <c r="A46" s="1"/>
      <c r="B46" s="16"/>
      <c r="C46" s="17"/>
      <c r="D46" s="1"/>
      <c r="E46" s="1"/>
      <c r="F46" s="18"/>
    </row>
    <row r="47" spans="1:6" ht="17.25" customHeight="1">
      <c r="A47" s="1"/>
      <c r="B47" s="16" t="s">
        <v>116</v>
      </c>
      <c r="C47" s="17" t="s">
        <v>104</v>
      </c>
      <c r="D47" s="26">
        <v>0</v>
      </c>
      <c r="E47" s="1"/>
      <c r="F47" s="18" t="s">
        <v>117</v>
      </c>
    </row>
    <row r="48" spans="1:6" ht="17.25" customHeight="1">
      <c r="A48" s="1"/>
      <c r="B48" s="16" t="s">
        <v>118</v>
      </c>
      <c r="C48" s="17" t="s">
        <v>104</v>
      </c>
      <c r="D48" s="31">
        <v>1</v>
      </c>
      <c r="E48" s="1"/>
      <c r="F48" s="18" t="s">
        <v>119</v>
      </c>
    </row>
    <row r="49" spans="1:6" ht="17.25" customHeight="1">
      <c r="A49" s="1"/>
      <c r="B49" s="16"/>
      <c r="C49" s="17"/>
      <c r="D49" s="1"/>
      <c r="E49" s="1"/>
      <c r="F49" s="18"/>
    </row>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52"/>
  <sheetViews>
    <sheetView showGridLines="0" workbookViewId="0"/>
  </sheetViews>
  <sheetFormatPr baseColWidth="10" defaultColWidth="10.140625" defaultRowHeight="15" customHeight="1"/>
  <cols>
    <col min="1" max="1" width="3.85546875" customWidth="1"/>
    <col min="2" max="7" width="9" customWidth="1"/>
    <col min="8" max="8" width="14.85546875" customWidth="1"/>
    <col min="9" max="13" width="9" customWidth="1"/>
    <col min="14" max="15" width="21.42578125" customWidth="1"/>
  </cols>
  <sheetData>
    <row r="1" spans="1:15" ht="15.75" customHeight="1">
      <c r="A1" s="1"/>
      <c r="B1" s="16"/>
      <c r="C1" s="32"/>
      <c r="D1" s="32"/>
      <c r="E1" s="32"/>
      <c r="F1" s="32"/>
      <c r="G1" s="1"/>
      <c r="H1" s="1"/>
      <c r="I1" s="1"/>
      <c r="J1" s="1"/>
      <c r="K1" s="1"/>
      <c r="L1" s="1"/>
      <c r="M1" s="1"/>
      <c r="N1" s="1"/>
      <c r="O1" s="1"/>
    </row>
    <row r="2" spans="1:15" ht="15.75" customHeight="1">
      <c r="A2" s="1"/>
      <c r="B2" s="33"/>
      <c r="C2" s="1"/>
      <c r="D2" s="1"/>
      <c r="E2" s="1"/>
      <c r="F2" s="1"/>
      <c r="G2" s="1"/>
      <c r="H2" s="1"/>
      <c r="I2" s="33"/>
      <c r="J2" s="1"/>
      <c r="K2" s="1"/>
      <c r="L2" s="1"/>
      <c r="M2" s="1"/>
      <c r="N2" s="1"/>
      <c r="O2" s="1"/>
    </row>
    <row r="3" spans="1:15" ht="15.75" customHeight="1">
      <c r="A3" s="1"/>
      <c r="B3" s="16"/>
      <c r="C3" s="1"/>
      <c r="D3" s="1"/>
      <c r="E3" s="1"/>
      <c r="F3" s="1"/>
      <c r="G3" s="1"/>
      <c r="H3" s="1"/>
      <c r="I3" s="1"/>
      <c r="J3" s="1"/>
      <c r="K3" s="1"/>
      <c r="L3" s="1"/>
      <c r="M3" s="1"/>
      <c r="N3" s="1"/>
      <c r="O3" s="1"/>
    </row>
    <row r="4" spans="1:15" ht="15.75" customHeight="1">
      <c r="A4" s="1"/>
      <c r="B4" s="16"/>
      <c r="C4" s="1"/>
      <c r="D4" s="1"/>
      <c r="E4" s="1"/>
      <c r="F4" s="1"/>
      <c r="G4" s="1"/>
      <c r="H4" s="1"/>
      <c r="I4" s="1"/>
      <c r="J4" s="1"/>
      <c r="K4" s="1"/>
      <c r="L4" s="1"/>
      <c r="M4" s="1"/>
      <c r="N4" s="1"/>
      <c r="O4" s="1"/>
    </row>
    <row r="5" spans="1:15" ht="15.75" customHeight="1">
      <c r="A5" s="1"/>
      <c r="B5" s="16"/>
      <c r="C5" s="1"/>
      <c r="D5" s="1"/>
      <c r="E5" s="1"/>
      <c r="F5" s="1"/>
      <c r="G5" s="1"/>
      <c r="H5" s="1"/>
      <c r="I5" s="1"/>
      <c r="J5" s="1"/>
      <c r="K5" s="1"/>
      <c r="L5" s="1"/>
      <c r="M5" s="1"/>
      <c r="N5" s="1"/>
      <c r="O5" s="1"/>
    </row>
    <row r="6" spans="1:15" ht="15.75" customHeight="1">
      <c r="A6" s="1"/>
      <c r="B6" s="16"/>
      <c r="C6" s="1"/>
      <c r="D6" s="1"/>
      <c r="E6" s="1"/>
      <c r="F6" s="1"/>
      <c r="G6" s="1"/>
      <c r="H6" s="1"/>
      <c r="I6" s="1"/>
      <c r="J6" s="1"/>
      <c r="K6" s="1"/>
      <c r="L6" s="1"/>
      <c r="M6" s="1"/>
      <c r="N6" s="1"/>
      <c r="O6" s="1"/>
    </row>
    <row r="7" spans="1:15" ht="15.75" customHeight="1">
      <c r="A7" s="1"/>
      <c r="B7" s="16"/>
      <c r="C7" s="1"/>
      <c r="D7" s="1"/>
      <c r="E7" s="1"/>
      <c r="F7" s="1"/>
      <c r="G7" s="1"/>
      <c r="H7" s="1"/>
      <c r="I7" s="1"/>
      <c r="J7" s="1"/>
      <c r="K7" s="1"/>
      <c r="L7" s="1"/>
      <c r="M7" s="1"/>
      <c r="N7" s="1"/>
      <c r="O7" s="1"/>
    </row>
    <row r="8" spans="1:15" ht="15.75" customHeight="1">
      <c r="A8" s="1"/>
      <c r="B8" s="16"/>
      <c r="C8" s="1"/>
      <c r="D8" s="1"/>
      <c r="E8" s="1"/>
      <c r="F8" s="1"/>
      <c r="G8" s="1"/>
      <c r="H8" s="1"/>
      <c r="I8" s="1"/>
      <c r="J8" s="1"/>
      <c r="K8" s="1"/>
      <c r="L8" s="1"/>
      <c r="M8" s="1"/>
      <c r="N8" s="1"/>
      <c r="O8" s="1"/>
    </row>
    <row r="9" spans="1:15" ht="15.75" customHeight="1">
      <c r="A9" s="1"/>
      <c r="B9" s="16"/>
      <c r="C9" s="1"/>
      <c r="D9" s="1"/>
      <c r="E9" s="1"/>
      <c r="F9" s="1"/>
      <c r="G9" s="1"/>
      <c r="H9" s="1"/>
      <c r="I9" s="1"/>
      <c r="J9" s="1"/>
      <c r="K9" s="1"/>
      <c r="L9" s="1"/>
      <c r="M9" s="1"/>
      <c r="N9" s="1"/>
      <c r="O9" s="1"/>
    </row>
    <row r="10" spans="1:15" ht="15.75" customHeight="1">
      <c r="A10" s="1"/>
      <c r="B10" s="16"/>
      <c r="C10" s="1"/>
      <c r="D10" s="1"/>
      <c r="E10" s="1"/>
      <c r="F10" s="1"/>
      <c r="G10" s="1"/>
      <c r="H10" s="1"/>
      <c r="I10" s="1"/>
      <c r="J10" s="1"/>
      <c r="K10" s="1"/>
      <c r="L10" s="1"/>
      <c r="M10" s="1"/>
      <c r="N10" s="1"/>
      <c r="O10" s="1"/>
    </row>
    <row r="11" spans="1:15" ht="15.75" customHeight="1">
      <c r="A11" s="1"/>
      <c r="B11" s="16"/>
      <c r="C11" s="1"/>
      <c r="D11" s="1"/>
      <c r="E11" s="1"/>
      <c r="F11" s="1"/>
      <c r="G11" s="1"/>
      <c r="H11" s="1"/>
      <c r="I11" s="1"/>
      <c r="J11" s="1"/>
      <c r="K11" s="1"/>
      <c r="L11" s="1"/>
      <c r="M11" s="1"/>
      <c r="N11" s="1"/>
      <c r="O11" s="1"/>
    </row>
    <row r="12" spans="1:15" ht="15.75" customHeight="1">
      <c r="A12" s="1"/>
      <c r="B12" s="16"/>
      <c r="C12" s="1"/>
      <c r="D12" s="1"/>
      <c r="E12" s="1"/>
      <c r="F12" s="1"/>
      <c r="G12" s="1"/>
      <c r="H12" s="1"/>
      <c r="I12" s="1"/>
      <c r="J12" s="1"/>
      <c r="K12" s="1"/>
      <c r="L12" s="1"/>
      <c r="M12" s="1"/>
      <c r="N12" s="1"/>
      <c r="O12" s="1"/>
    </row>
    <row r="13" spans="1:15" ht="15.75" customHeight="1">
      <c r="A13" s="1"/>
      <c r="B13" s="16"/>
      <c r="C13" s="1"/>
      <c r="D13" s="1"/>
      <c r="E13" s="1"/>
      <c r="F13" s="1"/>
      <c r="G13" s="1"/>
      <c r="H13" s="1"/>
      <c r="I13" s="1"/>
      <c r="J13" s="1"/>
      <c r="K13" s="1"/>
      <c r="L13" s="1"/>
      <c r="M13" s="1"/>
      <c r="N13" s="1"/>
      <c r="O13" s="1"/>
    </row>
    <row r="14" spans="1:15" ht="15.75" customHeight="1">
      <c r="A14" s="1"/>
      <c r="B14" s="16"/>
      <c r="C14" s="1"/>
      <c r="D14" s="1"/>
      <c r="E14" s="1"/>
      <c r="F14" s="1"/>
      <c r="G14" s="1"/>
      <c r="H14" s="1"/>
      <c r="I14" s="1"/>
      <c r="J14" s="1"/>
      <c r="K14" s="1"/>
      <c r="L14" s="1"/>
      <c r="M14" s="1"/>
      <c r="N14" s="1"/>
      <c r="O14" s="1"/>
    </row>
    <row r="15" spans="1:15" ht="15.75" customHeight="1">
      <c r="A15" s="1"/>
      <c r="B15" s="16"/>
      <c r="C15" s="1"/>
      <c r="D15" s="1"/>
      <c r="E15" s="1"/>
      <c r="F15" s="1"/>
      <c r="G15" s="1"/>
      <c r="H15" s="1"/>
      <c r="I15" s="1"/>
      <c r="J15" s="1"/>
      <c r="K15" s="1"/>
      <c r="L15" s="1"/>
      <c r="M15" s="1"/>
      <c r="N15" s="1"/>
      <c r="O15" s="1"/>
    </row>
    <row r="16" spans="1:15" ht="15.75" customHeight="1">
      <c r="A16" s="1"/>
      <c r="B16" s="16"/>
      <c r="C16" s="1"/>
      <c r="D16" s="1"/>
      <c r="E16" s="1"/>
      <c r="F16" s="1"/>
      <c r="G16" s="1"/>
      <c r="H16" s="1"/>
      <c r="I16" s="1"/>
      <c r="J16" s="1"/>
      <c r="K16" s="1"/>
      <c r="L16" s="1"/>
      <c r="M16" s="1"/>
      <c r="N16" s="1"/>
      <c r="O16" s="1"/>
    </row>
    <row r="17" spans="1:15" ht="15.75" customHeight="1">
      <c r="A17" s="1"/>
      <c r="B17" s="16"/>
      <c r="C17" s="1"/>
      <c r="D17" s="1"/>
      <c r="E17" s="1"/>
      <c r="F17" s="1"/>
      <c r="G17" s="1"/>
      <c r="H17" s="1"/>
      <c r="I17" s="1"/>
      <c r="J17" s="1"/>
      <c r="K17" s="1"/>
      <c r="L17" s="1"/>
      <c r="M17" s="1"/>
      <c r="N17" s="1"/>
      <c r="O17" s="1"/>
    </row>
    <row r="18" spans="1:15" ht="15.75" customHeight="1">
      <c r="A18" s="1"/>
      <c r="B18" s="16"/>
      <c r="C18" s="1"/>
      <c r="D18" s="1"/>
      <c r="E18" s="1"/>
      <c r="F18" s="1"/>
      <c r="G18" s="1"/>
      <c r="H18" s="1"/>
      <c r="I18" s="1"/>
      <c r="J18" s="1"/>
      <c r="K18" s="1"/>
      <c r="L18" s="1"/>
      <c r="M18" s="1"/>
      <c r="N18" s="1"/>
      <c r="O18" s="1"/>
    </row>
    <row r="19" spans="1:15" ht="15.75" customHeight="1">
      <c r="A19" s="1"/>
      <c r="B19" s="16"/>
      <c r="C19" s="1"/>
      <c r="D19" s="1"/>
      <c r="E19" s="1"/>
      <c r="F19" s="1"/>
      <c r="G19" s="1"/>
      <c r="H19" s="1"/>
      <c r="I19" s="1"/>
      <c r="J19" s="1"/>
      <c r="K19" s="1"/>
      <c r="L19" s="1"/>
      <c r="M19" s="1"/>
      <c r="N19" s="1"/>
      <c r="O19" s="1"/>
    </row>
    <row r="20" spans="1:15" ht="15.75" customHeight="1">
      <c r="A20" s="1"/>
      <c r="B20" s="16"/>
      <c r="C20" s="1"/>
      <c r="D20" s="1"/>
      <c r="E20" s="1"/>
      <c r="F20" s="1"/>
      <c r="G20" s="1"/>
      <c r="H20" s="1"/>
      <c r="I20" s="1"/>
      <c r="J20" s="1"/>
      <c r="K20" s="1"/>
      <c r="L20" s="1"/>
      <c r="M20" s="1"/>
      <c r="N20" s="1"/>
      <c r="O20" s="1"/>
    </row>
    <row r="21" spans="1:15" ht="15.75" customHeight="1">
      <c r="A21" s="1"/>
      <c r="B21" s="16"/>
      <c r="C21" s="1"/>
      <c r="D21" s="1"/>
      <c r="E21" s="1"/>
      <c r="F21" s="1"/>
      <c r="G21" s="1"/>
      <c r="H21" s="1"/>
      <c r="I21" s="1"/>
      <c r="J21" s="1"/>
      <c r="K21" s="1"/>
      <c r="L21" s="1"/>
      <c r="M21" s="1"/>
      <c r="N21" s="1"/>
      <c r="O21" s="1"/>
    </row>
    <row r="22" spans="1:15" ht="15.75" customHeight="1">
      <c r="A22" s="1"/>
      <c r="B22" s="16"/>
      <c r="C22" s="1"/>
      <c r="D22" s="1"/>
      <c r="E22" s="1"/>
      <c r="F22" s="1"/>
      <c r="G22" s="1"/>
      <c r="H22" s="1"/>
      <c r="I22" s="1"/>
      <c r="J22" s="1"/>
      <c r="K22" s="1"/>
      <c r="L22" s="1"/>
      <c r="M22" s="1"/>
      <c r="N22" s="1"/>
      <c r="O22" s="1"/>
    </row>
    <row r="23" spans="1:15" ht="15.75" customHeight="1">
      <c r="A23" s="1"/>
      <c r="B23" s="16"/>
      <c r="C23" s="1"/>
      <c r="D23" s="1"/>
      <c r="E23" s="1"/>
      <c r="F23" s="1"/>
      <c r="G23" s="1"/>
      <c r="H23" s="1"/>
      <c r="I23" s="1"/>
      <c r="J23" s="1"/>
      <c r="K23" s="1"/>
      <c r="L23" s="1"/>
      <c r="M23" s="1"/>
      <c r="N23" s="1"/>
      <c r="O23" s="1"/>
    </row>
    <row r="24" spans="1:15" ht="15.75" customHeight="1">
      <c r="A24" s="1"/>
      <c r="B24" s="34" t="s">
        <v>120</v>
      </c>
      <c r="C24" s="1"/>
      <c r="D24" s="1"/>
      <c r="E24" s="1"/>
      <c r="F24" s="1"/>
      <c r="G24" s="1"/>
      <c r="H24" s="1"/>
      <c r="I24" s="34" t="s">
        <v>121</v>
      </c>
      <c r="J24" s="1"/>
      <c r="K24" s="1"/>
      <c r="L24" s="1"/>
      <c r="M24" s="1"/>
      <c r="N24" s="1"/>
      <c r="O24" s="1"/>
    </row>
    <row r="25" spans="1:15" ht="15.75" customHeight="1">
      <c r="A25" s="1"/>
      <c r="B25" s="33" t="s">
        <v>122</v>
      </c>
      <c r="C25" s="1"/>
      <c r="D25" s="1"/>
      <c r="E25" s="1"/>
      <c r="F25" s="1"/>
      <c r="G25" s="1"/>
      <c r="H25" s="1"/>
      <c r="I25" s="33" t="s">
        <v>123</v>
      </c>
      <c r="J25" s="1"/>
      <c r="K25" s="1"/>
      <c r="L25" s="1"/>
      <c r="M25" s="1"/>
      <c r="N25" s="1"/>
      <c r="O25" s="1"/>
    </row>
    <row r="26" spans="1:15" ht="15.75" customHeight="1">
      <c r="A26" s="1"/>
      <c r="B26" s="1"/>
      <c r="C26" s="1"/>
      <c r="D26" s="1"/>
      <c r="E26" s="1"/>
      <c r="F26" s="1"/>
      <c r="G26" s="1"/>
      <c r="H26" s="1"/>
      <c r="I26" s="16"/>
      <c r="J26" s="1"/>
      <c r="K26" s="1"/>
      <c r="L26" s="1"/>
      <c r="M26" s="1"/>
      <c r="N26" s="1"/>
      <c r="O26" s="1"/>
    </row>
    <row r="27" spans="1:15" ht="15.75" customHeight="1">
      <c r="A27" s="1"/>
      <c r="B27" s="16"/>
      <c r="C27" s="1"/>
      <c r="D27" s="1"/>
      <c r="E27" s="1"/>
      <c r="F27" s="1"/>
      <c r="G27" s="1"/>
      <c r="H27" s="1"/>
      <c r="I27" s="1"/>
      <c r="J27" s="1"/>
      <c r="K27" s="1"/>
      <c r="L27" s="1"/>
      <c r="M27" s="1"/>
      <c r="N27" s="1"/>
      <c r="O27" s="1"/>
    </row>
    <row r="28" spans="1:15" ht="15.75" customHeight="1">
      <c r="A28" s="1"/>
      <c r="B28" s="16"/>
      <c r="C28" s="1"/>
      <c r="D28" s="1"/>
      <c r="E28" s="1"/>
      <c r="F28" s="1"/>
      <c r="G28" s="1"/>
      <c r="H28" s="1"/>
      <c r="I28" s="1"/>
      <c r="J28" s="1"/>
      <c r="K28" s="1"/>
      <c r="L28" s="1"/>
      <c r="M28" s="1"/>
      <c r="N28" s="1"/>
      <c r="O28" s="1"/>
    </row>
    <row r="29" spans="1:15" ht="15.75" customHeight="1">
      <c r="A29" s="1"/>
      <c r="B29" s="16"/>
      <c r="C29" s="1"/>
      <c r="D29" s="1"/>
      <c r="E29" s="1"/>
      <c r="F29" s="1"/>
      <c r="G29" s="1"/>
      <c r="H29" s="1"/>
      <c r="I29" s="1"/>
      <c r="J29" s="1"/>
      <c r="K29" s="1"/>
      <c r="L29" s="1"/>
      <c r="M29" s="1"/>
      <c r="N29" s="1"/>
      <c r="O29" s="1"/>
    </row>
    <row r="30" spans="1:15" ht="15.75" customHeight="1">
      <c r="A30" s="1"/>
      <c r="B30" s="16"/>
      <c r="C30" s="1"/>
      <c r="D30" s="1"/>
      <c r="E30" s="1"/>
      <c r="F30" s="1"/>
      <c r="G30" s="1"/>
      <c r="H30" s="1"/>
      <c r="I30" s="1"/>
      <c r="J30" s="1"/>
      <c r="K30" s="1"/>
      <c r="L30" s="1"/>
      <c r="M30" s="1"/>
      <c r="N30" s="1"/>
      <c r="O30" s="1"/>
    </row>
    <row r="31" spans="1:15" ht="15.75" customHeight="1">
      <c r="A31" s="1"/>
      <c r="B31" s="16"/>
      <c r="C31" s="1"/>
      <c r="D31" s="1"/>
      <c r="E31" s="1"/>
      <c r="F31" s="1"/>
      <c r="G31" s="1"/>
      <c r="H31" s="1"/>
      <c r="I31" s="1"/>
      <c r="J31" s="1"/>
      <c r="K31" s="1"/>
      <c r="L31" s="1"/>
      <c r="M31" s="1"/>
      <c r="N31" s="1"/>
      <c r="O31" s="1"/>
    </row>
    <row r="32" spans="1:15" ht="15.75" customHeight="1">
      <c r="A32" s="1"/>
      <c r="B32" s="16"/>
      <c r="C32" s="1"/>
      <c r="D32" s="1"/>
      <c r="E32" s="1"/>
      <c r="F32" s="1"/>
      <c r="G32" s="1"/>
      <c r="H32" s="1"/>
      <c r="I32" s="1"/>
      <c r="J32" s="1"/>
      <c r="K32" s="1"/>
      <c r="L32" s="1"/>
      <c r="M32" s="1"/>
      <c r="N32" s="1"/>
      <c r="O32" s="1"/>
    </row>
    <row r="33" spans="1:15" ht="15.75" customHeight="1">
      <c r="A33" s="1"/>
      <c r="B33" s="16"/>
      <c r="C33" s="1"/>
      <c r="D33" s="1"/>
      <c r="E33" s="1"/>
      <c r="F33" s="1"/>
      <c r="G33" s="1"/>
      <c r="H33" s="1"/>
      <c r="I33" s="1"/>
      <c r="J33" s="1"/>
      <c r="K33" s="1"/>
      <c r="L33" s="1"/>
      <c r="M33" s="1"/>
      <c r="N33" s="1"/>
      <c r="O33" s="1"/>
    </row>
    <row r="34" spans="1:15" ht="15.75" customHeight="1">
      <c r="A34" s="1"/>
      <c r="B34" s="16"/>
      <c r="C34" s="1"/>
      <c r="D34" s="1"/>
      <c r="E34" s="1"/>
      <c r="F34" s="1"/>
      <c r="G34" s="1"/>
      <c r="H34" s="1"/>
      <c r="I34" s="1"/>
      <c r="J34" s="1"/>
      <c r="K34" s="1"/>
      <c r="L34" s="1"/>
      <c r="M34" s="1"/>
      <c r="N34" s="1"/>
      <c r="O34" s="1"/>
    </row>
    <row r="35" spans="1:15" ht="15.75" customHeight="1">
      <c r="A35" s="1"/>
      <c r="B35" s="16"/>
      <c r="C35" s="1"/>
      <c r="D35" s="1"/>
      <c r="E35" s="1"/>
      <c r="F35" s="1"/>
      <c r="G35" s="1"/>
      <c r="H35" s="1"/>
      <c r="I35" s="1"/>
      <c r="J35" s="1"/>
      <c r="K35" s="1"/>
      <c r="L35" s="1"/>
      <c r="M35" s="1"/>
      <c r="N35" s="1"/>
      <c r="O35" s="1"/>
    </row>
    <row r="36" spans="1:15" ht="15.75" customHeight="1">
      <c r="A36" s="1"/>
      <c r="B36" s="16"/>
      <c r="C36" s="1"/>
      <c r="D36" s="1"/>
      <c r="E36" s="1"/>
      <c r="F36" s="1"/>
      <c r="G36" s="1"/>
      <c r="H36" s="1"/>
      <c r="I36" s="1"/>
      <c r="J36" s="1"/>
      <c r="K36" s="1"/>
      <c r="L36" s="1"/>
      <c r="M36" s="1"/>
      <c r="N36" s="1"/>
      <c r="O36" s="1"/>
    </row>
    <row r="37" spans="1:15" ht="15.75" customHeight="1">
      <c r="A37" s="1"/>
      <c r="B37" s="16"/>
      <c r="C37" s="1"/>
      <c r="D37" s="1"/>
      <c r="E37" s="1"/>
      <c r="F37" s="1"/>
      <c r="G37" s="1"/>
      <c r="H37" s="1"/>
      <c r="I37" s="1"/>
      <c r="J37" s="1"/>
      <c r="K37" s="1"/>
      <c r="L37" s="1"/>
      <c r="M37" s="1"/>
      <c r="N37" s="1"/>
      <c r="O37" s="1"/>
    </row>
    <row r="38" spans="1:15" ht="15.75" customHeight="1">
      <c r="A38" s="1"/>
      <c r="B38" s="16"/>
      <c r="C38" s="1"/>
      <c r="D38" s="1"/>
      <c r="E38" s="1"/>
      <c r="F38" s="1"/>
      <c r="G38" s="1"/>
      <c r="H38" s="1"/>
      <c r="I38" s="1"/>
      <c r="J38" s="1"/>
      <c r="K38" s="1"/>
      <c r="L38" s="1"/>
      <c r="M38" s="1"/>
      <c r="N38" s="1"/>
      <c r="O38" s="1"/>
    </row>
    <row r="39" spans="1:15" ht="15.75" customHeight="1">
      <c r="A39" s="1"/>
      <c r="B39" s="16"/>
      <c r="C39" s="1"/>
      <c r="D39" s="1"/>
      <c r="E39" s="1"/>
      <c r="F39" s="1"/>
      <c r="G39" s="1"/>
      <c r="H39" s="1"/>
      <c r="I39" s="1"/>
      <c r="J39" s="1"/>
      <c r="K39" s="1"/>
      <c r="L39" s="1"/>
      <c r="M39" s="1"/>
      <c r="N39" s="1"/>
      <c r="O39" s="1"/>
    </row>
    <row r="40" spans="1:15" ht="15.75" customHeight="1">
      <c r="A40" s="1"/>
      <c r="B40" s="16"/>
      <c r="C40" s="1"/>
      <c r="D40" s="1"/>
      <c r="E40" s="1"/>
      <c r="F40" s="1"/>
      <c r="G40" s="1"/>
      <c r="H40" s="1"/>
      <c r="I40" s="1"/>
      <c r="J40" s="1"/>
      <c r="K40" s="1"/>
      <c r="L40" s="1"/>
      <c r="M40" s="1"/>
      <c r="N40" s="1"/>
      <c r="O40" s="1"/>
    </row>
    <row r="41" spans="1:15" ht="15.75" customHeight="1">
      <c r="A41" s="1"/>
      <c r="B41" s="16"/>
      <c r="C41" s="1"/>
      <c r="D41" s="1"/>
      <c r="E41" s="1"/>
      <c r="F41" s="1"/>
      <c r="G41" s="1"/>
      <c r="H41" s="1"/>
      <c r="I41" s="1"/>
      <c r="J41" s="1"/>
      <c r="K41" s="1"/>
      <c r="L41" s="1"/>
      <c r="M41" s="1"/>
      <c r="N41" s="1"/>
      <c r="O41" s="1"/>
    </row>
    <row r="42" spans="1:15" ht="15.75" customHeight="1">
      <c r="A42" s="1"/>
      <c r="B42" s="16"/>
      <c r="C42" s="1"/>
      <c r="D42" s="1"/>
      <c r="E42" s="1"/>
      <c r="F42" s="1"/>
      <c r="G42" s="1"/>
      <c r="H42" s="1"/>
      <c r="I42" s="1"/>
      <c r="J42" s="1"/>
      <c r="K42" s="1"/>
      <c r="L42" s="1"/>
      <c r="M42" s="1"/>
      <c r="N42" s="1"/>
      <c r="O42" s="1"/>
    </row>
    <row r="43" spans="1:15" ht="15.75" customHeight="1">
      <c r="A43" s="1"/>
      <c r="B43" s="16"/>
      <c r="C43" s="1"/>
      <c r="D43" s="1"/>
      <c r="E43" s="1"/>
      <c r="F43" s="1"/>
      <c r="G43" s="1"/>
      <c r="H43" s="1"/>
      <c r="I43" s="1"/>
      <c r="J43" s="1"/>
      <c r="K43" s="1"/>
      <c r="L43" s="1"/>
      <c r="M43" s="1"/>
      <c r="N43" s="1"/>
      <c r="O43" s="1"/>
    </row>
    <row r="44" spans="1:15" ht="15.75" customHeight="1">
      <c r="A44" s="1"/>
      <c r="B44" s="16"/>
      <c r="C44" s="1"/>
      <c r="D44" s="1"/>
      <c r="E44" s="1"/>
      <c r="F44" s="1"/>
      <c r="G44" s="1"/>
      <c r="H44" s="1"/>
      <c r="I44" s="1"/>
      <c r="J44" s="1"/>
      <c r="K44" s="1"/>
      <c r="L44" s="1"/>
      <c r="M44" s="1"/>
      <c r="N44" s="1"/>
      <c r="O44" s="1"/>
    </row>
    <row r="45" spans="1:15" ht="15.75" customHeight="1">
      <c r="A45" s="1"/>
      <c r="B45" s="16"/>
      <c r="C45" s="1"/>
      <c r="D45" s="1"/>
      <c r="E45" s="1"/>
      <c r="F45" s="1"/>
      <c r="G45" s="1"/>
      <c r="H45" s="1"/>
      <c r="I45" s="1"/>
      <c r="J45" s="1"/>
      <c r="K45" s="1"/>
      <c r="L45" s="1"/>
      <c r="M45" s="1"/>
      <c r="N45" s="1"/>
      <c r="O45" s="1"/>
    </row>
    <row r="46" spans="1:15" ht="15.75" customHeight="1">
      <c r="A46" s="1"/>
      <c r="B46" s="16"/>
      <c r="C46" s="1"/>
      <c r="D46" s="1"/>
      <c r="E46" s="1"/>
      <c r="F46" s="1"/>
      <c r="G46" s="1"/>
      <c r="H46" s="1"/>
      <c r="I46" s="1"/>
      <c r="J46" s="1"/>
      <c r="K46" s="1"/>
      <c r="L46" s="1"/>
      <c r="M46" s="1"/>
      <c r="N46" s="1"/>
      <c r="O46" s="1"/>
    </row>
    <row r="47" spans="1:15" ht="15.75" customHeight="1">
      <c r="A47" s="1"/>
      <c r="B47" s="16"/>
      <c r="C47" s="1"/>
      <c r="D47" s="1"/>
      <c r="E47" s="1"/>
      <c r="F47" s="1"/>
      <c r="G47" s="1"/>
      <c r="H47" s="1"/>
      <c r="I47" s="1"/>
      <c r="J47" s="1"/>
      <c r="K47" s="1"/>
      <c r="L47" s="1"/>
      <c r="M47" s="1"/>
      <c r="N47" s="1"/>
      <c r="O47" s="1"/>
    </row>
    <row r="48" spans="1:15" ht="15.75" customHeight="1">
      <c r="A48" s="1"/>
      <c r="B48" s="16"/>
      <c r="C48" s="1"/>
      <c r="D48" s="1"/>
      <c r="E48" s="1"/>
      <c r="F48" s="1"/>
      <c r="G48" s="1"/>
      <c r="H48" s="1"/>
      <c r="I48" s="1"/>
      <c r="J48" s="1"/>
      <c r="K48" s="1"/>
      <c r="L48" s="1"/>
      <c r="M48" s="1"/>
      <c r="N48" s="1"/>
      <c r="O48" s="1"/>
    </row>
    <row r="49" spans="1:15" ht="15.75" customHeight="1">
      <c r="A49" s="1"/>
      <c r="B49" s="16"/>
      <c r="C49" s="1"/>
      <c r="D49" s="1"/>
      <c r="E49" s="1"/>
      <c r="F49" s="1"/>
      <c r="G49" s="1"/>
      <c r="H49" s="1"/>
      <c r="I49" s="1"/>
      <c r="J49" s="1"/>
      <c r="K49" s="1"/>
      <c r="L49" s="1"/>
      <c r="M49" s="1"/>
      <c r="N49" s="1"/>
      <c r="O49" s="1"/>
    </row>
    <row r="50" spans="1:15" ht="15.75" customHeight="1">
      <c r="A50" s="1"/>
      <c r="B50" s="16"/>
      <c r="C50" s="1"/>
      <c r="D50" s="1"/>
      <c r="E50" s="1"/>
      <c r="F50" s="1"/>
      <c r="G50" s="1"/>
      <c r="H50" s="1"/>
      <c r="I50" s="1"/>
      <c r="J50" s="1"/>
      <c r="K50" s="1"/>
      <c r="L50" s="1"/>
      <c r="M50" s="1"/>
      <c r="N50" s="1"/>
      <c r="O50" s="1"/>
    </row>
    <row r="51" spans="1:15" ht="15.75" customHeight="1">
      <c r="A51" s="1"/>
      <c r="B51" s="16"/>
      <c r="C51" s="1"/>
      <c r="D51" s="1"/>
      <c r="E51" s="1"/>
      <c r="F51" s="1"/>
      <c r="G51" s="1"/>
      <c r="H51" s="1"/>
      <c r="I51" s="1"/>
      <c r="J51" s="1"/>
      <c r="K51" s="1"/>
      <c r="L51" s="1"/>
      <c r="M51" s="1"/>
      <c r="N51" s="1"/>
      <c r="O51" s="1"/>
    </row>
    <row r="52" spans="1:15" ht="15.75" customHeight="1">
      <c r="A52" s="1"/>
      <c r="B52" s="16"/>
      <c r="C52" s="1"/>
      <c r="D52" s="1"/>
      <c r="E52" s="1"/>
      <c r="F52" s="1"/>
      <c r="G52" s="1"/>
      <c r="H52" s="1"/>
      <c r="I52" s="1"/>
      <c r="J52" s="1"/>
      <c r="K52" s="1"/>
      <c r="L52" s="1"/>
      <c r="M52" s="1"/>
      <c r="N52" s="1"/>
      <c r="O52" s="1"/>
    </row>
  </sheetData>
  <pageMargins left="0.75" right="0.75" top="1" bottom="1"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O199"/>
  <sheetViews>
    <sheetView showGridLines="0" topLeftCell="A16" workbookViewId="0"/>
  </sheetViews>
  <sheetFormatPr baseColWidth="10" defaultColWidth="10.140625" defaultRowHeight="15" customHeight="1" outlineLevelRow="1"/>
  <cols>
    <col min="1" max="1" width="3.42578125" customWidth="1"/>
    <col min="2" max="2" width="21.7109375" customWidth="1"/>
    <col min="3" max="3" width="5.140625" customWidth="1"/>
    <col min="4" max="4" width="14.28515625" customWidth="1"/>
    <col min="5" max="5" width="2" customWidth="1"/>
    <col min="6" max="6" width="4.7109375" customWidth="1"/>
    <col min="7" max="7" width="2" customWidth="1"/>
    <col min="8" max="8" width="7.42578125" customWidth="1"/>
    <col min="9" max="9" width="10.140625" customWidth="1"/>
    <col min="10" max="18" width="1.42578125" customWidth="1"/>
    <col min="19" max="19" width="5.7109375" customWidth="1"/>
    <col min="20" max="67" width="8.28515625" customWidth="1"/>
  </cols>
  <sheetData>
    <row r="1" spans="1:67" ht="16.5" customHeight="1">
      <c r="A1" s="1"/>
      <c r="B1" s="16"/>
      <c r="C1" s="17"/>
      <c r="D1" s="16"/>
      <c r="E1" s="16"/>
      <c r="F1" s="16"/>
      <c r="G1" s="16"/>
      <c r="H1" s="16"/>
      <c r="I1" s="16"/>
      <c r="J1" s="16"/>
      <c r="K1" s="16"/>
      <c r="L1" s="16"/>
      <c r="M1" s="16"/>
      <c r="N1" s="16"/>
      <c r="O1" s="16"/>
      <c r="P1" s="16"/>
      <c r="Q1" s="16"/>
      <c r="R1" s="16"/>
      <c r="S1" s="16"/>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ht="16.5" customHeight="1">
      <c r="A2" s="1"/>
      <c r="B2" s="35" t="s">
        <v>24</v>
      </c>
      <c r="C2" s="17"/>
      <c r="D2" s="16"/>
      <c r="E2" s="16"/>
      <c r="F2" s="16"/>
      <c r="G2" s="16"/>
      <c r="H2" s="16"/>
      <c r="I2" s="16"/>
      <c r="J2" s="16"/>
      <c r="K2" s="16"/>
      <c r="L2" s="16"/>
      <c r="M2" s="16"/>
      <c r="N2" s="16"/>
      <c r="O2" s="16"/>
      <c r="P2" s="16"/>
      <c r="Q2" s="16"/>
      <c r="R2" s="16"/>
      <c r="S2" s="16"/>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16.5" customHeight="1">
      <c r="A3" s="1"/>
      <c r="B3" s="34"/>
      <c r="C3" s="17"/>
      <c r="D3" s="16"/>
      <c r="E3" s="16"/>
      <c r="F3" s="16"/>
      <c r="G3" s="16"/>
      <c r="H3" s="16"/>
      <c r="I3" s="16"/>
      <c r="J3" s="16"/>
      <c r="K3" s="16"/>
      <c r="L3" s="16"/>
      <c r="M3" s="16"/>
      <c r="N3" s="16"/>
      <c r="O3" s="16"/>
      <c r="P3" s="16"/>
      <c r="Q3" s="16"/>
      <c r="R3" s="16"/>
      <c r="S3" s="16"/>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16.5" customHeight="1">
      <c r="A4" s="1"/>
      <c r="B4" s="36" t="s">
        <v>124</v>
      </c>
      <c r="C4" s="37" t="s">
        <v>125</v>
      </c>
      <c r="D4" s="38" t="s">
        <v>126</v>
      </c>
      <c r="E4" s="37"/>
      <c r="F4" s="37"/>
      <c r="G4" s="37"/>
      <c r="H4" s="37"/>
      <c r="I4" s="36"/>
      <c r="J4" s="36"/>
      <c r="K4" s="36"/>
      <c r="L4" s="36"/>
      <c r="M4" s="36"/>
      <c r="N4" s="36"/>
      <c r="O4" s="36"/>
      <c r="P4" s="36"/>
      <c r="Q4" s="36"/>
      <c r="R4" s="36"/>
      <c r="S4" s="36"/>
      <c r="T4" s="39">
        <f>EOMONTH('Get Started'!D8,0)</f>
        <v>45688</v>
      </c>
      <c r="U4" s="39">
        <f t="shared" ref="U4:BO4" si="0">EOMONTH(EDATE(T4,1),0)</f>
        <v>45716</v>
      </c>
      <c r="V4" s="39">
        <f t="shared" si="0"/>
        <v>45747</v>
      </c>
      <c r="W4" s="39">
        <f t="shared" si="0"/>
        <v>45777</v>
      </c>
      <c r="X4" s="39">
        <f t="shared" si="0"/>
        <v>45808</v>
      </c>
      <c r="Y4" s="39">
        <f t="shared" si="0"/>
        <v>45838</v>
      </c>
      <c r="Z4" s="39">
        <f t="shared" si="0"/>
        <v>45869</v>
      </c>
      <c r="AA4" s="39">
        <f t="shared" si="0"/>
        <v>45900</v>
      </c>
      <c r="AB4" s="39">
        <f t="shared" si="0"/>
        <v>45930</v>
      </c>
      <c r="AC4" s="39">
        <f t="shared" si="0"/>
        <v>45961</v>
      </c>
      <c r="AD4" s="39">
        <f t="shared" si="0"/>
        <v>45991</v>
      </c>
      <c r="AE4" s="39">
        <f t="shared" si="0"/>
        <v>46022</v>
      </c>
      <c r="AF4" s="39">
        <f t="shared" si="0"/>
        <v>46053</v>
      </c>
      <c r="AG4" s="39">
        <f t="shared" si="0"/>
        <v>46081</v>
      </c>
      <c r="AH4" s="39">
        <f t="shared" si="0"/>
        <v>46112</v>
      </c>
      <c r="AI4" s="39">
        <f t="shared" si="0"/>
        <v>46142</v>
      </c>
      <c r="AJ4" s="39">
        <f t="shared" si="0"/>
        <v>46173</v>
      </c>
      <c r="AK4" s="39">
        <f t="shared" si="0"/>
        <v>46203</v>
      </c>
      <c r="AL4" s="39">
        <f t="shared" si="0"/>
        <v>46234</v>
      </c>
      <c r="AM4" s="39">
        <f t="shared" si="0"/>
        <v>46265</v>
      </c>
      <c r="AN4" s="39">
        <f t="shared" si="0"/>
        <v>46295</v>
      </c>
      <c r="AO4" s="39">
        <f t="shared" si="0"/>
        <v>46326</v>
      </c>
      <c r="AP4" s="39">
        <f t="shared" si="0"/>
        <v>46356</v>
      </c>
      <c r="AQ4" s="39">
        <f t="shared" si="0"/>
        <v>46387</v>
      </c>
      <c r="AR4" s="39">
        <f t="shared" si="0"/>
        <v>46418</v>
      </c>
      <c r="AS4" s="39">
        <f t="shared" si="0"/>
        <v>46446</v>
      </c>
      <c r="AT4" s="39">
        <f t="shared" si="0"/>
        <v>46477</v>
      </c>
      <c r="AU4" s="39">
        <f t="shared" si="0"/>
        <v>46507</v>
      </c>
      <c r="AV4" s="39">
        <f t="shared" si="0"/>
        <v>46538</v>
      </c>
      <c r="AW4" s="39">
        <f t="shared" si="0"/>
        <v>46568</v>
      </c>
      <c r="AX4" s="39">
        <f t="shared" si="0"/>
        <v>46599</v>
      </c>
      <c r="AY4" s="39">
        <f t="shared" si="0"/>
        <v>46630</v>
      </c>
      <c r="AZ4" s="39">
        <f t="shared" si="0"/>
        <v>46660</v>
      </c>
      <c r="BA4" s="39">
        <f t="shared" si="0"/>
        <v>46691</v>
      </c>
      <c r="BB4" s="39">
        <f t="shared" si="0"/>
        <v>46721</v>
      </c>
      <c r="BC4" s="39">
        <f t="shared" si="0"/>
        <v>46752</v>
      </c>
      <c r="BD4" s="39">
        <f t="shared" si="0"/>
        <v>46783</v>
      </c>
      <c r="BE4" s="39">
        <f t="shared" si="0"/>
        <v>46812</v>
      </c>
      <c r="BF4" s="39">
        <f t="shared" si="0"/>
        <v>46843</v>
      </c>
      <c r="BG4" s="39">
        <f t="shared" si="0"/>
        <v>46873</v>
      </c>
      <c r="BH4" s="39">
        <f t="shared" si="0"/>
        <v>46904</v>
      </c>
      <c r="BI4" s="39">
        <f t="shared" si="0"/>
        <v>46934</v>
      </c>
      <c r="BJ4" s="39">
        <f t="shared" si="0"/>
        <v>46965</v>
      </c>
      <c r="BK4" s="39">
        <f t="shared" si="0"/>
        <v>46996</v>
      </c>
      <c r="BL4" s="39">
        <f t="shared" si="0"/>
        <v>47026</v>
      </c>
      <c r="BM4" s="39">
        <f t="shared" si="0"/>
        <v>47057</v>
      </c>
      <c r="BN4" s="39">
        <f t="shared" si="0"/>
        <v>47087</v>
      </c>
      <c r="BO4" s="39">
        <f t="shared" si="0"/>
        <v>47118</v>
      </c>
    </row>
    <row r="5" spans="1:67" ht="16.5" customHeight="1">
      <c r="A5" s="1"/>
      <c r="B5" s="16" t="s">
        <v>127</v>
      </c>
      <c r="C5" s="17" t="s">
        <v>104</v>
      </c>
      <c r="D5" s="40" t="s">
        <v>128</v>
      </c>
      <c r="E5" s="17"/>
      <c r="F5" s="17"/>
      <c r="G5" s="17"/>
      <c r="H5" s="17"/>
      <c r="I5" s="16"/>
      <c r="J5" s="16"/>
      <c r="K5" s="16"/>
      <c r="L5" s="16"/>
      <c r="M5" s="16"/>
      <c r="N5" s="16"/>
      <c r="O5" s="16"/>
      <c r="P5" s="16"/>
      <c r="Q5" s="16"/>
      <c r="R5" s="16"/>
      <c r="S5" s="16"/>
      <c r="T5" s="41">
        <v>0</v>
      </c>
      <c r="U5" s="41">
        <f t="shared" ref="U5:BO5" si="1">T5+1</f>
        <v>1</v>
      </c>
      <c r="V5" s="41">
        <f t="shared" si="1"/>
        <v>2</v>
      </c>
      <c r="W5" s="41">
        <f t="shared" si="1"/>
        <v>3</v>
      </c>
      <c r="X5" s="41">
        <f t="shared" si="1"/>
        <v>4</v>
      </c>
      <c r="Y5" s="41">
        <f t="shared" si="1"/>
        <v>5</v>
      </c>
      <c r="Z5" s="41">
        <f t="shared" si="1"/>
        <v>6</v>
      </c>
      <c r="AA5" s="41">
        <f t="shared" si="1"/>
        <v>7</v>
      </c>
      <c r="AB5" s="41">
        <f t="shared" si="1"/>
        <v>8</v>
      </c>
      <c r="AC5" s="41">
        <f t="shared" si="1"/>
        <v>9</v>
      </c>
      <c r="AD5" s="41">
        <f t="shared" si="1"/>
        <v>10</v>
      </c>
      <c r="AE5" s="41">
        <f t="shared" si="1"/>
        <v>11</v>
      </c>
      <c r="AF5" s="41">
        <f t="shared" si="1"/>
        <v>12</v>
      </c>
      <c r="AG5" s="41">
        <f t="shared" si="1"/>
        <v>13</v>
      </c>
      <c r="AH5" s="41">
        <f t="shared" si="1"/>
        <v>14</v>
      </c>
      <c r="AI5" s="41">
        <f t="shared" si="1"/>
        <v>15</v>
      </c>
      <c r="AJ5" s="41">
        <f t="shared" si="1"/>
        <v>16</v>
      </c>
      <c r="AK5" s="41">
        <f t="shared" si="1"/>
        <v>17</v>
      </c>
      <c r="AL5" s="41">
        <f t="shared" si="1"/>
        <v>18</v>
      </c>
      <c r="AM5" s="41">
        <f t="shared" si="1"/>
        <v>19</v>
      </c>
      <c r="AN5" s="41">
        <f t="shared" si="1"/>
        <v>20</v>
      </c>
      <c r="AO5" s="41">
        <f t="shared" si="1"/>
        <v>21</v>
      </c>
      <c r="AP5" s="41">
        <f t="shared" si="1"/>
        <v>22</v>
      </c>
      <c r="AQ5" s="41">
        <f t="shared" si="1"/>
        <v>23</v>
      </c>
      <c r="AR5" s="41">
        <f t="shared" si="1"/>
        <v>24</v>
      </c>
      <c r="AS5" s="41">
        <f t="shared" si="1"/>
        <v>25</v>
      </c>
      <c r="AT5" s="41">
        <f t="shared" si="1"/>
        <v>26</v>
      </c>
      <c r="AU5" s="41">
        <f t="shared" si="1"/>
        <v>27</v>
      </c>
      <c r="AV5" s="41">
        <f t="shared" si="1"/>
        <v>28</v>
      </c>
      <c r="AW5" s="41">
        <f t="shared" si="1"/>
        <v>29</v>
      </c>
      <c r="AX5" s="41">
        <f t="shared" si="1"/>
        <v>30</v>
      </c>
      <c r="AY5" s="41">
        <f t="shared" si="1"/>
        <v>31</v>
      </c>
      <c r="AZ5" s="41">
        <f t="shared" si="1"/>
        <v>32</v>
      </c>
      <c r="BA5" s="41">
        <f t="shared" si="1"/>
        <v>33</v>
      </c>
      <c r="BB5" s="41">
        <f t="shared" si="1"/>
        <v>34</v>
      </c>
      <c r="BC5" s="41">
        <f t="shared" si="1"/>
        <v>35</v>
      </c>
      <c r="BD5" s="41">
        <f t="shared" si="1"/>
        <v>36</v>
      </c>
      <c r="BE5" s="41">
        <f t="shared" si="1"/>
        <v>37</v>
      </c>
      <c r="BF5" s="41">
        <f t="shared" si="1"/>
        <v>38</v>
      </c>
      <c r="BG5" s="41">
        <f t="shared" si="1"/>
        <v>39</v>
      </c>
      <c r="BH5" s="41">
        <f t="shared" si="1"/>
        <v>40</v>
      </c>
      <c r="BI5" s="41">
        <f t="shared" si="1"/>
        <v>41</v>
      </c>
      <c r="BJ5" s="41">
        <f t="shared" si="1"/>
        <v>42</v>
      </c>
      <c r="BK5" s="41">
        <f t="shared" si="1"/>
        <v>43</v>
      </c>
      <c r="BL5" s="41">
        <f t="shared" si="1"/>
        <v>44</v>
      </c>
      <c r="BM5" s="41">
        <f t="shared" si="1"/>
        <v>45</v>
      </c>
      <c r="BN5" s="41">
        <f t="shared" si="1"/>
        <v>46</v>
      </c>
      <c r="BO5" s="41">
        <f t="shared" si="1"/>
        <v>47</v>
      </c>
    </row>
    <row r="6" spans="1:67" ht="16.5" customHeight="1">
      <c r="A6" s="1"/>
      <c r="B6" s="16" t="s">
        <v>129</v>
      </c>
      <c r="C6" s="17" t="s">
        <v>104</v>
      </c>
      <c r="D6" s="16" t="str">
        <f>"the model structure runs for "&amp;BO6&amp;" months. Month 0 is a pre-structure month, meant to capture opening items that help calculate the first month"</f>
        <v>the model structure runs for 48 months. Month 0 is a pre-structure month, meant to capture opening items that help calculate the first month</v>
      </c>
      <c r="E6" s="1"/>
      <c r="F6" s="1"/>
      <c r="G6" s="1"/>
      <c r="H6" s="1"/>
      <c r="I6" s="17"/>
      <c r="J6" s="17"/>
      <c r="K6" s="17"/>
      <c r="L6" s="17"/>
      <c r="M6" s="17"/>
      <c r="N6" s="17"/>
      <c r="O6" s="17"/>
      <c r="P6" s="17"/>
      <c r="Q6" s="17"/>
      <c r="R6" s="17"/>
      <c r="S6" s="41"/>
      <c r="T6" s="41">
        <v>1</v>
      </c>
      <c r="U6" s="41">
        <f t="shared" ref="U6:BO6" si="2">T6+1</f>
        <v>2</v>
      </c>
      <c r="V6" s="41">
        <f t="shared" si="2"/>
        <v>3</v>
      </c>
      <c r="W6" s="41">
        <f t="shared" si="2"/>
        <v>4</v>
      </c>
      <c r="X6" s="41">
        <f t="shared" si="2"/>
        <v>5</v>
      </c>
      <c r="Y6" s="41">
        <f t="shared" si="2"/>
        <v>6</v>
      </c>
      <c r="Z6" s="41">
        <f t="shared" si="2"/>
        <v>7</v>
      </c>
      <c r="AA6" s="41">
        <f t="shared" si="2"/>
        <v>8</v>
      </c>
      <c r="AB6" s="41">
        <f t="shared" si="2"/>
        <v>9</v>
      </c>
      <c r="AC6" s="41">
        <f t="shared" si="2"/>
        <v>10</v>
      </c>
      <c r="AD6" s="41">
        <f t="shared" si="2"/>
        <v>11</v>
      </c>
      <c r="AE6" s="41">
        <f t="shared" si="2"/>
        <v>12</v>
      </c>
      <c r="AF6" s="41">
        <f t="shared" si="2"/>
        <v>13</v>
      </c>
      <c r="AG6" s="41">
        <f t="shared" si="2"/>
        <v>14</v>
      </c>
      <c r="AH6" s="41">
        <f t="shared" si="2"/>
        <v>15</v>
      </c>
      <c r="AI6" s="41">
        <f t="shared" si="2"/>
        <v>16</v>
      </c>
      <c r="AJ6" s="41">
        <f t="shared" si="2"/>
        <v>17</v>
      </c>
      <c r="AK6" s="41">
        <f t="shared" si="2"/>
        <v>18</v>
      </c>
      <c r="AL6" s="41">
        <f t="shared" si="2"/>
        <v>19</v>
      </c>
      <c r="AM6" s="41">
        <f t="shared" si="2"/>
        <v>20</v>
      </c>
      <c r="AN6" s="41">
        <f t="shared" si="2"/>
        <v>21</v>
      </c>
      <c r="AO6" s="41">
        <f t="shared" si="2"/>
        <v>22</v>
      </c>
      <c r="AP6" s="41">
        <f t="shared" si="2"/>
        <v>23</v>
      </c>
      <c r="AQ6" s="41">
        <f t="shared" si="2"/>
        <v>24</v>
      </c>
      <c r="AR6" s="41">
        <f t="shared" si="2"/>
        <v>25</v>
      </c>
      <c r="AS6" s="41">
        <f t="shared" si="2"/>
        <v>26</v>
      </c>
      <c r="AT6" s="41">
        <f t="shared" si="2"/>
        <v>27</v>
      </c>
      <c r="AU6" s="41">
        <f t="shared" si="2"/>
        <v>28</v>
      </c>
      <c r="AV6" s="41">
        <f t="shared" si="2"/>
        <v>29</v>
      </c>
      <c r="AW6" s="41">
        <f t="shared" si="2"/>
        <v>30</v>
      </c>
      <c r="AX6" s="41">
        <f t="shared" si="2"/>
        <v>31</v>
      </c>
      <c r="AY6" s="41">
        <f t="shared" si="2"/>
        <v>32</v>
      </c>
      <c r="AZ6" s="41">
        <f t="shared" si="2"/>
        <v>33</v>
      </c>
      <c r="BA6" s="41">
        <f t="shared" si="2"/>
        <v>34</v>
      </c>
      <c r="BB6" s="41">
        <f t="shared" si="2"/>
        <v>35</v>
      </c>
      <c r="BC6" s="41">
        <f t="shared" si="2"/>
        <v>36</v>
      </c>
      <c r="BD6" s="41">
        <f t="shared" si="2"/>
        <v>37</v>
      </c>
      <c r="BE6" s="41">
        <f t="shared" si="2"/>
        <v>38</v>
      </c>
      <c r="BF6" s="41">
        <f t="shared" si="2"/>
        <v>39</v>
      </c>
      <c r="BG6" s="41">
        <f t="shared" si="2"/>
        <v>40</v>
      </c>
      <c r="BH6" s="41">
        <f t="shared" si="2"/>
        <v>41</v>
      </c>
      <c r="BI6" s="41">
        <f t="shared" si="2"/>
        <v>42</v>
      </c>
      <c r="BJ6" s="41">
        <f t="shared" si="2"/>
        <v>43</v>
      </c>
      <c r="BK6" s="41">
        <f t="shared" si="2"/>
        <v>44</v>
      </c>
      <c r="BL6" s="41">
        <f t="shared" si="2"/>
        <v>45</v>
      </c>
      <c r="BM6" s="41">
        <f t="shared" si="2"/>
        <v>46</v>
      </c>
      <c r="BN6" s="41">
        <f t="shared" si="2"/>
        <v>47</v>
      </c>
      <c r="BO6" s="41">
        <f t="shared" si="2"/>
        <v>48</v>
      </c>
    </row>
    <row r="7" spans="1:67" ht="16.5" hidden="1" customHeight="1" outlineLevel="1">
      <c r="A7" s="1"/>
      <c r="B7" s="16" t="s">
        <v>130</v>
      </c>
      <c r="C7" s="42" t="s">
        <v>104</v>
      </c>
      <c r="D7" s="16" t="s">
        <v>131</v>
      </c>
      <c r="E7" s="16"/>
      <c r="F7" s="16"/>
      <c r="G7" s="16"/>
      <c r="H7" s="16"/>
      <c r="I7" s="16"/>
      <c r="J7" s="16"/>
      <c r="K7" s="16"/>
      <c r="L7" s="16"/>
      <c r="M7" s="16"/>
      <c r="N7" s="16"/>
      <c r="O7" s="16"/>
      <c r="P7" s="16"/>
      <c r="Q7" s="16"/>
      <c r="R7" s="16"/>
      <c r="S7" s="16"/>
      <c r="T7" s="1">
        <f t="array" ref="T7">IF(EOMONTH(T4,0)&lt;=EOMONTH('Get Started'!$D9,0),YEAR('Get Started'!$D9),IF(T6&lt;=(MONTH('Get Started'!$D9)-MONTH('Get Started'!$D8)),YEAR('Get Started'!$D9),IF(T6&lt;=12,YEAR('Get Started'!$D9)+1,IFERROR(INDEX(S7:$T7,0,MATCH(T5-12,S5:$T5,0)),0)+1)))</f>
        <v>2025</v>
      </c>
      <c r="U7" s="1">
        <f t="array" ref="U7">IF(EOMONTH(U4,0)&lt;=EOMONTH('Get Started'!$D9,0),YEAR('Get Started'!$D9),IF(U6&lt;=(MONTH('Get Started'!$D9)-MONTH('Get Started'!$D8)),YEAR('Get Started'!$D9),IF(U6&lt;=12,YEAR('Get Started'!$D9)+1,IFERROR(INDEX(T7:$T7,0,MATCH(U5-12,T5:$T5,0)),0)+1)))</f>
        <v>2025</v>
      </c>
      <c r="V7" s="1">
        <f t="array" ref="V7">IF(EOMONTH(V4,0)&lt;=EOMONTH('Get Started'!$D9,0),YEAR('Get Started'!$D9),IF(V6&lt;=(MONTH('Get Started'!$D9)-MONTH('Get Started'!$D8)),YEAR('Get Started'!$D9),IF(V6&lt;=12,YEAR('Get Started'!$D9)+1,IFERROR(INDEX($T7:U7,0,MATCH(V5-12,$T5:U5,0)),0)+1)))</f>
        <v>2025</v>
      </c>
      <c r="W7" s="1">
        <f t="array" ref="W7">IF(EOMONTH(W4,0)&lt;=EOMONTH('Get Started'!$D9,0),YEAR('Get Started'!$D9),IF(W6&lt;=(MONTH('Get Started'!$D9)-MONTH('Get Started'!$D8)),YEAR('Get Started'!$D9),IF(W6&lt;=12,YEAR('Get Started'!$D9)+1,IFERROR(INDEX($T7:V7,0,MATCH(W5-12,$T5:V5,0)),0)+1)))</f>
        <v>2025</v>
      </c>
      <c r="X7" s="1">
        <f t="array" ref="X7">IF(EOMONTH(X4,0)&lt;=EOMONTH('Get Started'!$D9,0),YEAR('Get Started'!$D9),IF(X6&lt;=(MONTH('Get Started'!$D9)-MONTH('Get Started'!$D8)),YEAR('Get Started'!$D9),IF(X6&lt;=12,YEAR('Get Started'!$D9)+1,IFERROR(INDEX($T7:W7,0,MATCH(X5-12,$T5:W5,0)),0)+1)))</f>
        <v>2025</v>
      </c>
      <c r="Y7" s="1">
        <f t="array" ref="Y7">IF(EOMONTH(Y4,0)&lt;=EOMONTH('Get Started'!$D9,0),YEAR('Get Started'!$D9),IF(Y6&lt;=(MONTH('Get Started'!$D9)-MONTH('Get Started'!$D8)),YEAR('Get Started'!$D9),IF(Y6&lt;=12,YEAR('Get Started'!$D9)+1,IFERROR(INDEX($T7:X7,0,MATCH(Y5-12,$T5:X5,0)),0)+1)))</f>
        <v>2025</v>
      </c>
      <c r="Z7" s="1">
        <f t="array" ref="Z7">IF(EOMONTH(Z4,0)&lt;=EOMONTH('Get Started'!$D9,0),YEAR('Get Started'!$D9),IF(Z6&lt;=(MONTH('Get Started'!$D9)-MONTH('Get Started'!$D8)),YEAR('Get Started'!$D9),IF(Z6&lt;=12,YEAR('Get Started'!$D9)+1,IFERROR(INDEX($T7:Y7,0,MATCH(Z5-12,$T5:Y5,0)),0)+1)))</f>
        <v>2025</v>
      </c>
      <c r="AA7" s="1">
        <f t="array" ref="AA7">IF(EOMONTH(AA4,0)&lt;=EOMONTH('Get Started'!$D9,0),YEAR('Get Started'!$D9),IF(AA6&lt;=(MONTH('Get Started'!$D9)-MONTH('Get Started'!$D8)),YEAR('Get Started'!$D9),IF(AA6&lt;=12,YEAR('Get Started'!$D9)+1,IFERROR(INDEX($T7:Z7,0,MATCH(AA5-12,$T5:Z5,0)),0)+1)))</f>
        <v>2025</v>
      </c>
      <c r="AB7" s="1">
        <f t="array" ref="AB7">IF(EOMONTH(AB4,0)&lt;=EOMONTH('Get Started'!$D9,0),YEAR('Get Started'!$D9),IF(AB6&lt;=(MONTH('Get Started'!$D9)-MONTH('Get Started'!$D8)),YEAR('Get Started'!$D9),IF(AB6&lt;=12,YEAR('Get Started'!$D9)+1,IFERROR(INDEX($T7:AA7,0,MATCH(AB5-12,$T5:AA5,0)),0)+1)))</f>
        <v>2025</v>
      </c>
      <c r="AC7" s="1">
        <f t="array" ref="AC7">IF(EOMONTH(AC4,0)&lt;=EOMONTH('Get Started'!$D9,0),YEAR('Get Started'!$D9),IF(AC6&lt;=(MONTH('Get Started'!$D9)-MONTH('Get Started'!$D8)),YEAR('Get Started'!$D9),IF(AC6&lt;=12,YEAR('Get Started'!$D9)+1,IFERROR(INDEX($T7:AB7,0,MATCH(AC5-12,$T5:AB5,0)),0)+1)))</f>
        <v>2025</v>
      </c>
      <c r="AD7" s="1">
        <f t="array" ref="AD7">IF(EOMONTH(AD4,0)&lt;=EOMONTH('Get Started'!$D9,0),YEAR('Get Started'!$D9),IF(AD6&lt;=(MONTH('Get Started'!$D9)-MONTH('Get Started'!$D8)),YEAR('Get Started'!$D9),IF(AD6&lt;=12,YEAR('Get Started'!$D9)+1,IFERROR(INDEX($T7:AC7,0,MATCH(AD5-12,$T5:AC5,0)),0)+1)))</f>
        <v>2025</v>
      </c>
      <c r="AE7" s="1">
        <f t="array" ref="AE7">IF(EOMONTH(AE4,0)&lt;=EOMONTH('Get Started'!$D9,0),YEAR('Get Started'!$D9),IF(AE6&lt;=(MONTH('Get Started'!$D9)-MONTH('Get Started'!$D8)),YEAR('Get Started'!$D9),IF(AE6&lt;=12,YEAR('Get Started'!$D9)+1,IFERROR(INDEX($T7:AD7,0,MATCH(AE5-12,$T5:AD5,0)),0)+1)))</f>
        <v>2025</v>
      </c>
      <c r="AF7" s="1">
        <f t="array" ref="AF7">IF(EOMONTH(AF4,0)&lt;=EOMONTH('Get Started'!$D9,0),YEAR('Get Started'!$D9),IF(AF6&lt;=(MONTH('Get Started'!$D9)-MONTH('Get Started'!$D8)),YEAR('Get Started'!$D9),IF(AF6&lt;=12,YEAR('Get Started'!$D9)+1,IFERROR(INDEX($T7:AE7,0,MATCH(AF5-12,$T5:AE5,0)),0)+1)))</f>
        <v>2026</v>
      </c>
      <c r="AG7" s="1">
        <f t="array" ref="AG7">IF(EOMONTH(AG4,0)&lt;=EOMONTH('Get Started'!$D9,0),YEAR('Get Started'!$D9),IF(AG6&lt;=(MONTH('Get Started'!$D9)-MONTH('Get Started'!$D8)),YEAR('Get Started'!$D9),IF(AG6&lt;=12,YEAR('Get Started'!$D9)+1,IFERROR(INDEX($T7:AF7,0,MATCH(AG5-12,$T5:AF5,0)),0)+1)))</f>
        <v>2026</v>
      </c>
      <c r="AH7" s="1">
        <f t="array" ref="AH7">IF(EOMONTH(AH4,0)&lt;=EOMONTH('Get Started'!$D9,0),YEAR('Get Started'!$D9),IF(AH6&lt;=(MONTH('Get Started'!$D9)-MONTH('Get Started'!$D8)),YEAR('Get Started'!$D9),IF(AH6&lt;=12,YEAR('Get Started'!$D9)+1,IFERROR(INDEX($T7:AG7,0,MATCH(AH5-12,$T5:AG5,0)),0)+1)))</f>
        <v>2026</v>
      </c>
      <c r="AI7" s="1">
        <f t="array" ref="AI7">IF(EOMONTH(AI4,0)&lt;=EOMONTH('Get Started'!$D9,0),YEAR('Get Started'!$D9),IF(AI6&lt;=(MONTH('Get Started'!$D9)-MONTH('Get Started'!$D8)),YEAR('Get Started'!$D9),IF(AI6&lt;=12,YEAR('Get Started'!$D9)+1,IFERROR(INDEX($T7:AH7,0,MATCH(AI5-12,$T5:AH5,0)),0)+1)))</f>
        <v>2026</v>
      </c>
      <c r="AJ7" s="1">
        <f t="array" ref="AJ7">IF(EOMONTH(AJ4,0)&lt;=EOMONTH('Get Started'!$D9,0),YEAR('Get Started'!$D9),IF(AJ6&lt;=(MONTH('Get Started'!$D9)-MONTH('Get Started'!$D8)),YEAR('Get Started'!$D9),IF(AJ6&lt;=12,YEAR('Get Started'!$D9)+1,IFERROR(INDEX($T7:AI7,0,MATCH(AJ5-12,$T5:AI5,0)),0)+1)))</f>
        <v>2026</v>
      </c>
      <c r="AK7" s="1">
        <f t="array" ref="AK7">IF(EOMONTH(AK4,0)&lt;=EOMONTH('Get Started'!$D9,0),YEAR('Get Started'!$D9),IF(AK6&lt;=(MONTH('Get Started'!$D9)-MONTH('Get Started'!$D8)),YEAR('Get Started'!$D9),IF(AK6&lt;=12,YEAR('Get Started'!$D9)+1,IFERROR(INDEX($T7:AJ7,0,MATCH(AK5-12,$T5:AJ5,0)),0)+1)))</f>
        <v>2026</v>
      </c>
      <c r="AL7" s="1">
        <f t="array" ref="AL7">IF(EOMONTH(AL4,0)&lt;=EOMONTH('Get Started'!$D9,0),YEAR('Get Started'!$D9),IF(AL6&lt;=(MONTH('Get Started'!$D9)-MONTH('Get Started'!$D8)),YEAR('Get Started'!$D9),IF(AL6&lt;=12,YEAR('Get Started'!$D9)+1,IFERROR(INDEX($T7:AK7,0,MATCH(AL5-12,$T5:AK5,0)),0)+1)))</f>
        <v>2026</v>
      </c>
      <c r="AM7" s="1">
        <f t="array" ref="AM7">IF(EOMONTH(AM4,0)&lt;=EOMONTH('Get Started'!$D9,0),YEAR('Get Started'!$D9),IF(AM6&lt;=(MONTH('Get Started'!$D9)-MONTH('Get Started'!$D8)),YEAR('Get Started'!$D9),IF(AM6&lt;=12,YEAR('Get Started'!$D9)+1,IFERROR(INDEX($T7:AL7,0,MATCH(AM5-12,$T5:AL5,0)),0)+1)))</f>
        <v>2026</v>
      </c>
      <c r="AN7" s="1">
        <f t="array" ref="AN7">IF(EOMONTH(AN4,0)&lt;=EOMONTH('Get Started'!$D9,0),YEAR('Get Started'!$D9),IF(AN6&lt;=(MONTH('Get Started'!$D9)-MONTH('Get Started'!$D8)),YEAR('Get Started'!$D9),IF(AN6&lt;=12,YEAR('Get Started'!$D9)+1,IFERROR(INDEX($T7:AM7,0,MATCH(AN5-12,$T5:AM5,0)),0)+1)))</f>
        <v>2026</v>
      </c>
      <c r="AO7" s="1">
        <f t="array" ref="AO7">IF(EOMONTH(AO4,0)&lt;=EOMONTH('Get Started'!$D9,0),YEAR('Get Started'!$D9),IF(AO6&lt;=(MONTH('Get Started'!$D9)-MONTH('Get Started'!$D8)),YEAR('Get Started'!$D9),IF(AO6&lt;=12,YEAR('Get Started'!$D9)+1,IFERROR(INDEX($T7:AN7,0,MATCH(AO5-12,$T5:AN5,0)),0)+1)))</f>
        <v>2026</v>
      </c>
      <c r="AP7" s="1">
        <f t="array" ref="AP7">IF(EOMONTH(AP4,0)&lt;=EOMONTH('Get Started'!$D9,0),YEAR('Get Started'!$D9),IF(AP6&lt;=(MONTH('Get Started'!$D9)-MONTH('Get Started'!$D8)),YEAR('Get Started'!$D9),IF(AP6&lt;=12,YEAR('Get Started'!$D9)+1,IFERROR(INDEX($T7:AO7,0,MATCH(AP5-12,$T5:AO5,0)),0)+1)))</f>
        <v>2026</v>
      </c>
      <c r="AQ7" s="1">
        <f t="array" ref="AQ7">IF(EOMONTH(AQ4,0)&lt;=EOMONTH('Get Started'!$D9,0),YEAR('Get Started'!$D9),IF(AQ6&lt;=(MONTH('Get Started'!$D9)-MONTH('Get Started'!$D8)),YEAR('Get Started'!$D9),IF(AQ6&lt;=12,YEAR('Get Started'!$D9)+1,IFERROR(INDEX($T7:AP7,0,MATCH(AQ5-12,$T5:AP5,0)),0)+1)))</f>
        <v>2026</v>
      </c>
      <c r="AR7" s="1">
        <f t="array" ref="AR7">IF(EOMONTH(AR4,0)&lt;=EOMONTH('Get Started'!$D9,0),YEAR('Get Started'!$D9),IF(AR6&lt;=(MONTH('Get Started'!$D9)-MONTH('Get Started'!$D8)),YEAR('Get Started'!$D9),IF(AR6&lt;=12,YEAR('Get Started'!$D9)+1,IFERROR(INDEX($T7:AQ7,0,MATCH(AR5-12,$T5:AQ5,0)),0)+1)))</f>
        <v>2027</v>
      </c>
      <c r="AS7" s="1">
        <f t="array" ref="AS7">IF(EOMONTH(AS4,0)&lt;=EOMONTH('Get Started'!$D9,0),YEAR('Get Started'!$D9),IF(AS6&lt;=(MONTH('Get Started'!$D9)-MONTH('Get Started'!$D8)),YEAR('Get Started'!$D9),IF(AS6&lt;=12,YEAR('Get Started'!$D9)+1,IFERROR(INDEX($T7:AR7,0,MATCH(AS5-12,$T5:AR5,0)),0)+1)))</f>
        <v>2027</v>
      </c>
      <c r="AT7" s="1">
        <f t="array" ref="AT7">IF(EOMONTH(AT4,0)&lt;=EOMONTH('Get Started'!$D9,0),YEAR('Get Started'!$D9),IF(AT6&lt;=(MONTH('Get Started'!$D9)-MONTH('Get Started'!$D8)),YEAR('Get Started'!$D9),IF(AT6&lt;=12,YEAR('Get Started'!$D9)+1,IFERROR(INDEX($T7:AS7,0,MATCH(AT5-12,$T5:AS5,0)),0)+1)))</f>
        <v>2027</v>
      </c>
      <c r="AU7" s="1">
        <f t="array" ref="AU7">IF(EOMONTH(AU4,0)&lt;=EOMONTH('Get Started'!$D9,0),YEAR('Get Started'!$D9),IF(AU6&lt;=(MONTH('Get Started'!$D9)-MONTH('Get Started'!$D8)),YEAR('Get Started'!$D9),IF(AU6&lt;=12,YEAR('Get Started'!$D9)+1,IFERROR(INDEX($T7:AT7,0,MATCH(AU5-12,$T5:AT5,0)),0)+1)))</f>
        <v>2027</v>
      </c>
      <c r="AV7" s="1">
        <f t="array" ref="AV7">IF(EOMONTH(AV4,0)&lt;=EOMONTH('Get Started'!$D9,0),YEAR('Get Started'!$D9),IF(AV6&lt;=(MONTH('Get Started'!$D9)-MONTH('Get Started'!$D8)),YEAR('Get Started'!$D9),IF(AV6&lt;=12,YEAR('Get Started'!$D9)+1,IFERROR(INDEX($T7:AU7,0,MATCH(AV5-12,$T5:AU5,0)),0)+1)))</f>
        <v>2027</v>
      </c>
      <c r="AW7" s="1">
        <f t="array" ref="AW7">IF(EOMONTH(AW4,0)&lt;=EOMONTH('Get Started'!$D9,0),YEAR('Get Started'!$D9),IF(AW6&lt;=(MONTH('Get Started'!$D9)-MONTH('Get Started'!$D8)),YEAR('Get Started'!$D9),IF(AW6&lt;=12,YEAR('Get Started'!$D9)+1,IFERROR(INDEX($T7:AV7,0,MATCH(AW5-12,$T5:AV5,0)),0)+1)))</f>
        <v>2027</v>
      </c>
      <c r="AX7" s="1">
        <f t="array" ref="AX7">IF(EOMONTH(AX4,0)&lt;=EOMONTH('Get Started'!$D9,0),YEAR('Get Started'!$D9),IF(AX6&lt;=(MONTH('Get Started'!$D9)-MONTH('Get Started'!$D8)),YEAR('Get Started'!$D9),IF(AX6&lt;=12,YEAR('Get Started'!$D9)+1,IFERROR(INDEX($T7:AW7,0,MATCH(AX5-12,$T5:AW5,0)),0)+1)))</f>
        <v>2027</v>
      </c>
      <c r="AY7" s="1">
        <f t="array" ref="AY7">IF(EOMONTH(AY4,0)&lt;=EOMONTH('Get Started'!$D9,0),YEAR('Get Started'!$D9),IF(AY6&lt;=(MONTH('Get Started'!$D9)-MONTH('Get Started'!$D8)),YEAR('Get Started'!$D9),IF(AY6&lt;=12,YEAR('Get Started'!$D9)+1,IFERROR(INDEX($T7:AX7,0,MATCH(AY5-12,$T5:AX5,0)),0)+1)))</f>
        <v>2027</v>
      </c>
      <c r="AZ7" s="1">
        <f t="array" ref="AZ7">IF(EOMONTH(AZ4,0)&lt;=EOMONTH('Get Started'!$D9,0),YEAR('Get Started'!$D9),IF(AZ6&lt;=(MONTH('Get Started'!$D9)-MONTH('Get Started'!$D8)),YEAR('Get Started'!$D9),IF(AZ6&lt;=12,YEAR('Get Started'!$D9)+1,IFERROR(INDEX($T7:AY7,0,MATCH(AZ5-12,$T5:AY5,0)),0)+1)))</f>
        <v>2027</v>
      </c>
      <c r="BA7" s="1">
        <f t="array" ref="BA7">IF(EOMONTH(BA4,0)&lt;=EOMONTH('Get Started'!$D9,0),YEAR('Get Started'!$D9),IF(BA6&lt;=(MONTH('Get Started'!$D9)-MONTH('Get Started'!$D8)),YEAR('Get Started'!$D9),IF(BA6&lt;=12,YEAR('Get Started'!$D9)+1,IFERROR(INDEX($T7:AZ7,0,MATCH(BA5-12,$T5:AZ5,0)),0)+1)))</f>
        <v>2027</v>
      </c>
      <c r="BB7" s="1">
        <f t="array" ref="BB7">IF(EOMONTH(BB4,0)&lt;=EOMONTH('Get Started'!$D9,0),YEAR('Get Started'!$D9),IF(BB6&lt;=(MONTH('Get Started'!$D9)-MONTH('Get Started'!$D8)),YEAR('Get Started'!$D9),IF(BB6&lt;=12,YEAR('Get Started'!$D9)+1,IFERROR(INDEX($T7:BA7,0,MATCH(BB5-12,$T5:BA5,0)),0)+1)))</f>
        <v>2027</v>
      </c>
      <c r="BC7" s="1">
        <f t="array" ref="BC7">IF(EOMONTH(BC4,0)&lt;=EOMONTH('Get Started'!$D9,0),YEAR('Get Started'!$D9),IF(BC6&lt;=(MONTH('Get Started'!$D9)-MONTH('Get Started'!$D8)),YEAR('Get Started'!$D9),IF(BC6&lt;=12,YEAR('Get Started'!$D9)+1,IFERROR(INDEX($T7:BB7,0,MATCH(BC5-12,$T5:BB5,0)),0)+1)))</f>
        <v>2027</v>
      </c>
      <c r="BD7" s="1">
        <f t="array" ref="BD7">IF(EOMONTH(BD4,0)&lt;=EOMONTH('Get Started'!$D9,0),YEAR('Get Started'!$D9),IF(BD6&lt;=(MONTH('Get Started'!$D9)-MONTH('Get Started'!$D8)),YEAR('Get Started'!$D9),IF(BD6&lt;=12,YEAR('Get Started'!$D9)+1,IFERROR(INDEX($T7:BC7,0,MATCH(BD5-12,$T5:BC5,0)),0)+1)))</f>
        <v>2028</v>
      </c>
      <c r="BE7" s="1">
        <f t="array" ref="BE7">IF(EOMONTH(BE4,0)&lt;=EOMONTH('Get Started'!$D9,0),YEAR('Get Started'!$D9),IF(BE6&lt;=(MONTH('Get Started'!$D9)-MONTH('Get Started'!$D8)),YEAR('Get Started'!$D9),IF(BE6&lt;=12,YEAR('Get Started'!$D9)+1,IFERROR(INDEX($T7:BD7,0,MATCH(BE5-12,$T5:BD5,0)),0)+1)))</f>
        <v>2028</v>
      </c>
      <c r="BF7" s="1">
        <f t="array" ref="BF7">IF(EOMONTH(BF4,0)&lt;=EOMONTH('Get Started'!$D9,0),YEAR('Get Started'!$D9),IF(BF6&lt;=(MONTH('Get Started'!$D9)-MONTH('Get Started'!$D8)),YEAR('Get Started'!$D9),IF(BF6&lt;=12,YEAR('Get Started'!$D9)+1,IFERROR(INDEX($T7:BE7,0,MATCH(BF5-12,$T5:BE5,0)),0)+1)))</f>
        <v>2028</v>
      </c>
      <c r="BG7" s="1">
        <f t="array" ref="BG7">IF(EOMONTH(BG4,0)&lt;=EOMONTH('Get Started'!$D9,0),YEAR('Get Started'!$D9),IF(BG6&lt;=(MONTH('Get Started'!$D9)-MONTH('Get Started'!$D8)),YEAR('Get Started'!$D9),IF(BG6&lt;=12,YEAR('Get Started'!$D9)+1,IFERROR(INDEX($T7:BF7,0,MATCH(BG5-12,$T5:BF5,0)),0)+1)))</f>
        <v>2028</v>
      </c>
      <c r="BH7" s="1">
        <f t="array" ref="BH7">IF(EOMONTH(BH4,0)&lt;=EOMONTH('Get Started'!$D9,0),YEAR('Get Started'!$D9),IF(BH6&lt;=(MONTH('Get Started'!$D9)-MONTH('Get Started'!$D8)),YEAR('Get Started'!$D9),IF(BH6&lt;=12,YEAR('Get Started'!$D9)+1,IFERROR(INDEX($T7:BG7,0,MATCH(BH5-12,$T5:BG5,0)),0)+1)))</f>
        <v>2028</v>
      </c>
      <c r="BI7" s="1">
        <f t="array" ref="BI7">IF(EOMONTH(BI4,0)&lt;=EOMONTH('Get Started'!$D9,0),YEAR('Get Started'!$D9),IF(BI6&lt;=(MONTH('Get Started'!$D9)-MONTH('Get Started'!$D8)),YEAR('Get Started'!$D9),IF(BI6&lt;=12,YEAR('Get Started'!$D9)+1,IFERROR(INDEX($T7:BH7,0,MATCH(BI5-12,$T5:BH5,0)),0)+1)))</f>
        <v>2028</v>
      </c>
      <c r="BJ7" s="1">
        <f t="array" ref="BJ7">IF(EOMONTH(BJ4,0)&lt;=EOMONTH('Get Started'!$D9,0),YEAR('Get Started'!$D9),IF(BJ6&lt;=(MONTH('Get Started'!$D9)-MONTH('Get Started'!$D8)),YEAR('Get Started'!$D9),IF(BJ6&lt;=12,YEAR('Get Started'!$D9)+1,IFERROR(INDEX($T7:BI7,0,MATCH(BJ5-12,$T5:BI5,0)),0)+1)))</f>
        <v>2028</v>
      </c>
      <c r="BK7" s="1">
        <f t="array" ref="BK7">IF(EOMONTH(BK4,0)&lt;=EOMONTH('Get Started'!$D9,0),YEAR('Get Started'!$D9),IF(BK6&lt;=(MONTH('Get Started'!$D9)-MONTH('Get Started'!$D8)),YEAR('Get Started'!$D9),IF(BK6&lt;=12,YEAR('Get Started'!$D9)+1,IFERROR(INDEX($T7:BJ7,0,MATCH(BK5-12,$T5:BJ5,0)),0)+1)))</f>
        <v>2028</v>
      </c>
      <c r="BL7" s="1">
        <f t="array" ref="BL7">IF(EOMONTH(BL4,0)&lt;=EOMONTH('Get Started'!$D9,0),YEAR('Get Started'!$D9),IF(BL6&lt;=(MONTH('Get Started'!$D9)-MONTH('Get Started'!$D8)),YEAR('Get Started'!$D9),IF(BL6&lt;=12,YEAR('Get Started'!$D9)+1,IFERROR(INDEX($T7:BK7,0,MATCH(BL5-12,$T5:BK5,0)),0)+1)))</f>
        <v>2028</v>
      </c>
      <c r="BM7" s="1">
        <f t="array" ref="BM7">IF(EOMONTH(BM4,0)&lt;=EOMONTH('Get Started'!$D9,0),YEAR('Get Started'!$D9),IF(BM6&lt;=(MONTH('Get Started'!$D9)-MONTH('Get Started'!$D8)),YEAR('Get Started'!$D9),IF(BM6&lt;=12,YEAR('Get Started'!$D9)+1,IFERROR(INDEX($T7:BL7,0,MATCH(BM5-12,$T5:BL5,0)),0)+1)))</f>
        <v>2028</v>
      </c>
      <c r="BN7" s="1">
        <f t="array" ref="BN7">IF(EOMONTH(BN4,0)&lt;=EOMONTH('Get Started'!$D9,0),YEAR('Get Started'!$D9),IF(BN6&lt;=(MONTH('Get Started'!$D9)-MONTH('Get Started'!$D8)),YEAR('Get Started'!$D9),IF(BN6&lt;=12,YEAR('Get Started'!$D9)+1,IFERROR(INDEX($T7:BM7,0,MATCH(BN5-12,$T5:BM5,0)),0)+1)))</f>
        <v>2028</v>
      </c>
      <c r="BO7" s="1">
        <f t="array" ref="BO7">IF(EOMONTH(BO4,0)&lt;=EOMONTH('Get Started'!$D9,0),YEAR('Get Started'!$D9),IF(BO6&lt;=(MONTH('Get Started'!$D9)-MONTH('Get Started'!$D8)),YEAR('Get Started'!$D9),IF(BO6&lt;=12,YEAR('Get Started'!$D9)+1,IFERROR(INDEX($T7:BN7,0,MATCH(BO5-12,$T5:BN5,0)),0)+1)))</f>
        <v>2028</v>
      </c>
    </row>
    <row r="8" spans="1:67" ht="16.5" hidden="1" customHeight="1" outlineLevel="1">
      <c r="A8" s="1"/>
      <c r="B8" s="16" t="s">
        <v>132</v>
      </c>
      <c r="C8" s="17" t="s">
        <v>133</v>
      </c>
      <c r="D8" s="16" t="s">
        <v>134</v>
      </c>
      <c r="E8" s="16"/>
      <c r="F8" s="16"/>
      <c r="G8" s="16"/>
      <c r="H8" s="16"/>
      <c r="I8" s="16"/>
      <c r="J8" s="16"/>
      <c r="K8" s="16"/>
      <c r="L8" s="16"/>
      <c r="M8" s="16"/>
      <c r="N8" s="16"/>
      <c r="O8" s="16"/>
      <c r="P8" s="16"/>
      <c r="Q8" s="16"/>
      <c r="R8" s="16"/>
      <c r="S8" s="16"/>
      <c r="T8" s="43" t="str">
        <f t="shared" ref="T8:BO8" si="3">IF(OR(T11=3,T11=2,T11=1),"Q1",IF(OR(T11=6,T11=5,T11=4),"Q2",IF(OR(T11=9,T11=8,T11=7),"Q3","Q4")))</f>
        <v>Q1</v>
      </c>
      <c r="U8" s="43" t="str">
        <f t="shared" si="3"/>
        <v>Q1</v>
      </c>
      <c r="V8" s="43" t="str">
        <f t="shared" si="3"/>
        <v>Q1</v>
      </c>
      <c r="W8" s="43" t="str">
        <f t="shared" si="3"/>
        <v>Q2</v>
      </c>
      <c r="X8" s="43" t="str">
        <f t="shared" si="3"/>
        <v>Q2</v>
      </c>
      <c r="Y8" s="43" t="str">
        <f t="shared" si="3"/>
        <v>Q2</v>
      </c>
      <c r="Z8" s="43" t="str">
        <f t="shared" si="3"/>
        <v>Q3</v>
      </c>
      <c r="AA8" s="43" t="str">
        <f t="shared" si="3"/>
        <v>Q3</v>
      </c>
      <c r="AB8" s="43" t="str">
        <f t="shared" si="3"/>
        <v>Q3</v>
      </c>
      <c r="AC8" s="43" t="str">
        <f t="shared" si="3"/>
        <v>Q4</v>
      </c>
      <c r="AD8" s="43" t="str">
        <f t="shared" si="3"/>
        <v>Q4</v>
      </c>
      <c r="AE8" s="43" t="str">
        <f t="shared" si="3"/>
        <v>Q4</v>
      </c>
      <c r="AF8" s="43" t="str">
        <f t="shared" si="3"/>
        <v>Q1</v>
      </c>
      <c r="AG8" s="43" t="str">
        <f t="shared" si="3"/>
        <v>Q1</v>
      </c>
      <c r="AH8" s="43" t="str">
        <f t="shared" si="3"/>
        <v>Q1</v>
      </c>
      <c r="AI8" s="43" t="str">
        <f t="shared" si="3"/>
        <v>Q2</v>
      </c>
      <c r="AJ8" s="43" t="str">
        <f t="shared" si="3"/>
        <v>Q2</v>
      </c>
      <c r="AK8" s="43" t="str">
        <f t="shared" si="3"/>
        <v>Q2</v>
      </c>
      <c r="AL8" s="43" t="str">
        <f t="shared" si="3"/>
        <v>Q3</v>
      </c>
      <c r="AM8" s="43" t="str">
        <f t="shared" si="3"/>
        <v>Q3</v>
      </c>
      <c r="AN8" s="43" t="str">
        <f t="shared" si="3"/>
        <v>Q3</v>
      </c>
      <c r="AO8" s="43" t="str">
        <f t="shared" si="3"/>
        <v>Q4</v>
      </c>
      <c r="AP8" s="43" t="str">
        <f t="shared" si="3"/>
        <v>Q4</v>
      </c>
      <c r="AQ8" s="43" t="str">
        <f t="shared" si="3"/>
        <v>Q4</v>
      </c>
      <c r="AR8" s="43" t="str">
        <f t="shared" si="3"/>
        <v>Q1</v>
      </c>
      <c r="AS8" s="43" t="str">
        <f t="shared" si="3"/>
        <v>Q1</v>
      </c>
      <c r="AT8" s="43" t="str">
        <f t="shared" si="3"/>
        <v>Q1</v>
      </c>
      <c r="AU8" s="43" t="str">
        <f t="shared" si="3"/>
        <v>Q2</v>
      </c>
      <c r="AV8" s="43" t="str">
        <f t="shared" si="3"/>
        <v>Q2</v>
      </c>
      <c r="AW8" s="43" t="str">
        <f t="shared" si="3"/>
        <v>Q2</v>
      </c>
      <c r="AX8" s="43" t="str">
        <f t="shared" si="3"/>
        <v>Q3</v>
      </c>
      <c r="AY8" s="43" t="str">
        <f t="shared" si="3"/>
        <v>Q3</v>
      </c>
      <c r="AZ8" s="43" t="str">
        <f t="shared" si="3"/>
        <v>Q3</v>
      </c>
      <c r="BA8" s="43" t="str">
        <f t="shared" si="3"/>
        <v>Q4</v>
      </c>
      <c r="BB8" s="43" t="str">
        <f t="shared" si="3"/>
        <v>Q4</v>
      </c>
      <c r="BC8" s="43" t="str">
        <f t="shared" si="3"/>
        <v>Q4</v>
      </c>
      <c r="BD8" s="43" t="str">
        <f t="shared" si="3"/>
        <v>Q1</v>
      </c>
      <c r="BE8" s="43" t="str">
        <f t="shared" si="3"/>
        <v>Q1</v>
      </c>
      <c r="BF8" s="43" t="str">
        <f t="shared" si="3"/>
        <v>Q1</v>
      </c>
      <c r="BG8" s="43" t="str">
        <f t="shared" si="3"/>
        <v>Q2</v>
      </c>
      <c r="BH8" s="43" t="str">
        <f t="shared" si="3"/>
        <v>Q2</v>
      </c>
      <c r="BI8" s="43" t="str">
        <f t="shared" si="3"/>
        <v>Q2</v>
      </c>
      <c r="BJ8" s="43" t="str">
        <f t="shared" si="3"/>
        <v>Q3</v>
      </c>
      <c r="BK8" s="43" t="str">
        <f t="shared" si="3"/>
        <v>Q3</v>
      </c>
      <c r="BL8" s="43" t="str">
        <f t="shared" si="3"/>
        <v>Q3</v>
      </c>
      <c r="BM8" s="43" t="str">
        <f t="shared" si="3"/>
        <v>Q4</v>
      </c>
      <c r="BN8" s="43" t="str">
        <f t="shared" si="3"/>
        <v>Q4</v>
      </c>
      <c r="BO8" s="43" t="str">
        <f t="shared" si="3"/>
        <v>Q4</v>
      </c>
    </row>
    <row r="9" spans="1:67" ht="16.5" hidden="1" customHeight="1" outlineLevel="1">
      <c r="A9" s="1"/>
      <c r="B9" s="16" t="s">
        <v>135</v>
      </c>
      <c r="C9" s="17" t="s">
        <v>133</v>
      </c>
      <c r="D9" s="16" t="s">
        <v>136</v>
      </c>
      <c r="E9" s="34"/>
      <c r="F9" s="34"/>
      <c r="G9" s="34"/>
      <c r="H9" s="34"/>
      <c r="I9" s="34"/>
      <c r="J9" s="34"/>
      <c r="K9" s="34"/>
      <c r="L9" s="34"/>
      <c r="M9" s="34"/>
      <c r="N9" s="34"/>
      <c r="O9" s="34"/>
      <c r="P9" s="34"/>
      <c r="Q9" s="34"/>
      <c r="R9" s="34"/>
      <c r="S9" s="34"/>
      <c r="T9" s="44" t="str">
        <f t="shared" ref="T9:BO9" si="4">T8&amp;" "&amp;T7</f>
        <v>Q1 2025</v>
      </c>
      <c r="U9" s="44" t="str">
        <f t="shared" si="4"/>
        <v>Q1 2025</v>
      </c>
      <c r="V9" s="44" t="str">
        <f t="shared" si="4"/>
        <v>Q1 2025</v>
      </c>
      <c r="W9" s="44" t="str">
        <f t="shared" si="4"/>
        <v>Q2 2025</v>
      </c>
      <c r="X9" s="44" t="str">
        <f t="shared" si="4"/>
        <v>Q2 2025</v>
      </c>
      <c r="Y9" s="44" t="str">
        <f t="shared" si="4"/>
        <v>Q2 2025</v>
      </c>
      <c r="Z9" s="44" t="str">
        <f t="shared" si="4"/>
        <v>Q3 2025</v>
      </c>
      <c r="AA9" s="44" t="str">
        <f t="shared" si="4"/>
        <v>Q3 2025</v>
      </c>
      <c r="AB9" s="44" t="str">
        <f t="shared" si="4"/>
        <v>Q3 2025</v>
      </c>
      <c r="AC9" s="44" t="str">
        <f t="shared" si="4"/>
        <v>Q4 2025</v>
      </c>
      <c r="AD9" s="44" t="str">
        <f t="shared" si="4"/>
        <v>Q4 2025</v>
      </c>
      <c r="AE9" s="44" t="str">
        <f t="shared" si="4"/>
        <v>Q4 2025</v>
      </c>
      <c r="AF9" s="44" t="str">
        <f t="shared" si="4"/>
        <v>Q1 2026</v>
      </c>
      <c r="AG9" s="44" t="str">
        <f t="shared" si="4"/>
        <v>Q1 2026</v>
      </c>
      <c r="AH9" s="44" t="str">
        <f t="shared" si="4"/>
        <v>Q1 2026</v>
      </c>
      <c r="AI9" s="44" t="str">
        <f t="shared" si="4"/>
        <v>Q2 2026</v>
      </c>
      <c r="AJ9" s="44" t="str">
        <f t="shared" si="4"/>
        <v>Q2 2026</v>
      </c>
      <c r="AK9" s="44" t="str">
        <f t="shared" si="4"/>
        <v>Q2 2026</v>
      </c>
      <c r="AL9" s="44" t="str">
        <f t="shared" si="4"/>
        <v>Q3 2026</v>
      </c>
      <c r="AM9" s="44" t="str">
        <f t="shared" si="4"/>
        <v>Q3 2026</v>
      </c>
      <c r="AN9" s="44" t="str">
        <f t="shared" si="4"/>
        <v>Q3 2026</v>
      </c>
      <c r="AO9" s="44" t="str">
        <f t="shared" si="4"/>
        <v>Q4 2026</v>
      </c>
      <c r="AP9" s="44" t="str">
        <f t="shared" si="4"/>
        <v>Q4 2026</v>
      </c>
      <c r="AQ9" s="44" t="str">
        <f t="shared" si="4"/>
        <v>Q4 2026</v>
      </c>
      <c r="AR9" s="44" t="str">
        <f t="shared" si="4"/>
        <v>Q1 2027</v>
      </c>
      <c r="AS9" s="44" t="str">
        <f t="shared" si="4"/>
        <v>Q1 2027</v>
      </c>
      <c r="AT9" s="44" t="str">
        <f t="shared" si="4"/>
        <v>Q1 2027</v>
      </c>
      <c r="AU9" s="44" t="str">
        <f t="shared" si="4"/>
        <v>Q2 2027</v>
      </c>
      <c r="AV9" s="44" t="str">
        <f t="shared" si="4"/>
        <v>Q2 2027</v>
      </c>
      <c r="AW9" s="44" t="str">
        <f t="shared" si="4"/>
        <v>Q2 2027</v>
      </c>
      <c r="AX9" s="44" t="str">
        <f t="shared" si="4"/>
        <v>Q3 2027</v>
      </c>
      <c r="AY9" s="44" t="str">
        <f t="shared" si="4"/>
        <v>Q3 2027</v>
      </c>
      <c r="AZ9" s="44" t="str">
        <f t="shared" si="4"/>
        <v>Q3 2027</v>
      </c>
      <c r="BA9" s="44" t="str">
        <f t="shared" si="4"/>
        <v>Q4 2027</v>
      </c>
      <c r="BB9" s="44" t="str">
        <f t="shared" si="4"/>
        <v>Q4 2027</v>
      </c>
      <c r="BC9" s="44" t="str">
        <f t="shared" si="4"/>
        <v>Q4 2027</v>
      </c>
      <c r="BD9" s="44" t="str">
        <f t="shared" si="4"/>
        <v>Q1 2028</v>
      </c>
      <c r="BE9" s="44" t="str">
        <f t="shared" si="4"/>
        <v>Q1 2028</v>
      </c>
      <c r="BF9" s="44" t="str">
        <f t="shared" si="4"/>
        <v>Q1 2028</v>
      </c>
      <c r="BG9" s="44" t="str">
        <f t="shared" si="4"/>
        <v>Q2 2028</v>
      </c>
      <c r="BH9" s="44" t="str">
        <f t="shared" si="4"/>
        <v>Q2 2028</v>
      </c>
      <c r="BI9" s="44" t="str">
        <f t="shared" si="4"/>
        <v>Q2 2028</v>
      </c>
      <c r="BJ9" s="44" t="str">
        <f t="shared" si="4"/>
        <v>Q3 2028</v>
      </c>
      <c r="BK9" s="44" t="str">
        <f t="shared" si="4"/>
        <v>Q3 2028</v>
      </c>
      <c r="BL9" s="44" t="str">
        <f t="shared" si="4"/>
        <v>Q3 2028</v>
      </c>
      <c r="BM9" s="44" t="str">
        <f t="shared" si="4"/>
        <v>Q4 2028</v>
      </c>
      <c r="BN9" s="44" t="str">
        <f t="shared" si="4"/>
        <v>Q4 2028</v>
      </c>
      <c r="BO9" s="44" t="str">
        <f t="shared" si="4"/>
        <v>Q4 2028</v>
      </c>
    </row>
    <row r="10" spans="1:67" ht="16.5" hidden="1" customHeight="1" outlineLevel="1">
      <c r="A10" s="41"/>
      <c r="B10" s="16" t="s">
        <v>137</v>
      </c>
      <c r="C10" s="17" t="s">
        <v>133</v>
      </c>
      <c r="D10" s="16" t="s">
        <v>138</v>
      </c>
      <c r="E10" s="16"/>
      <c r="F10" s="16"/>
      <c r="G10" s="16"/>
      <c r="H10" s="16"/>
      <c r="I10" s="16"/>
      <c r="J10" s="16"/>
      <c r="K10" s="16"/>
      <c r="L10" s="16"/>
      <c r="M10" s="16"/>
      <c r="N10" s="16"/>
      <c r="O10" s="16"/>
      <c r="P10" s="16"/>
      <c r="Q10" s="16"/>
      <c r="R10" s="16"/>
      <c r="S10" s="16"/>
      <c r="T10" s="45" t="str">
        <f t="shared" ref="T10:BO10" si="5">TEXT(T4,"mmmm")</f>
        <v>January</v>
      </c>
      <c r="U10" s="45" t="str">
        <f t="shared" si="5"/>
        <v>February</v>
      </c>
      <c r="V10" s="45" t="str">
        <f t="shared" si="5"/>
        <v>March</v>
      </c>
      <c r="W10" s="45" t="str">
        <f t="shared" si="5"/>
        <v>April</v>
      </c>
      <c r="X10" s="45" t="str">
        <f t="shared" si="5"/>
        <v>May</v>
      </c>
      <c r="Y10" s="45" t="str">
        <f t="shared" si="5"/>
        <v>June</v>
      </c>
      <c r="Z10" s="45" t="str">
        <f t="shared" si="5"/>
        <v>July</v>
      </c>
      <c r="AA10" s="45" t="str">
        <f t="shared" si="5"/>
        <v>August</v>
      </c>
      <c r="AB10" s="45" t="str">
        <f t="shared" si="5"/>
        <v>September</v>
      </c>
      <c r="AC10" s="45" t="str">
        <f t="shared" si="5"/>
        <v>October</v>
      </c>
      <c r="AD10" s="45" t="str">
        <f t="shared" si="5"/>
        <v>November</v>
      </c>
      <c r="AE10" s="45" t="str">
        <f t="shared" si="5"/>
        <v>December</v>
      </c>
      <c r="AF10" s="45" t="str">
        <f t="shared" si="5"/>
        <v>January</v>
      </c>
      <c r="AG10" s="45" t="str">
        <f t="shared" si="5"/>
        <v>February</v>
      </c>
      <c r="AH10" s="45" t="str">
        <f t="shared" si="5"/>
        <v>March</v>
      </c>
      <c r="AI10" s="45" t="str">
        <f t="shared" si="5"/>
        <v>April</v>
      </c>
      <c r="AJ10" s="45" t="str">
        <f t="shared" si="5"/>
        <v>May</v>
      </c>
      <c r="AK10" s="45" t="str">
        <f t="shared" si="5"/>
        <v>June</v>
      </c>
      <c r="AL10" s="45" t="str">
        <f t="shared" si="5"/>
        <v>July</v>
      </c>
      <c r="AM10" s="45" t="str">
        <f t="shared" si="5"/>
        <v>August</v>
      </c>
      <c r="AN10" s="45" t="str">
        <f t="shared" si="5"/>
        <v>September</v>
      </c>
      <c r="AO10" s="45" t="str">
        <f t="shared" si="5"/>
        <v>October</v>
      </c>
      <c r="AP10" s="45" t="str">
        <f t="shared" si="5"/>
        <v>November</v>
      </c>
      <c r="AQ10" s="45" t="str">
        <f t="shared" si="5"/>
        <v>December</v>
      </c>
      <c r="AR10" s="45" t="str">
        <f t="shared" si="5"/>
        <v>January</v>
      </c>
      <c r="AS10" s="45" t="str">
        <f t="shared" si="5"/>
        <v>February</v>
      </c>
      <c r="AT10" s="45" t="str">
        <f t="shared" si="5"/>
        <v>March</v>
      </c>
      <c r="AU10" s="45" t="str">
        <f t="shared" si="5"/>
        <v>April</v>
      </c>
      <c r="AV10" s="45" t="str">
        <f t="shared" si="5"/>
        <v>May</v>
      </c>
      <c r="AW10" s="45" t="str">
        <f t="shared" si="5"/>
        <v>June</v>
      </c>
      <c r="AX10" s="45" t="str">
        <f t="shared" si="5"/>
        <v>July</v>
      </c>
      <c r="AY10" s="45" t="str">
        <f t="shared" si="5"/>
        <v>August</v>
      </c>
      <c r="AZ10" s="45" t="str">
        <f t="shared" si="5"/>
        <v>September</v>
      </c>
      <c r="BA10" s="45" t="str">
        <f t="shared" si="5"/>
        <v>October</v>
      </c>
      <c r="BB10" s="45" t="str">
        <f t="shared" si="5"/>
        <v>November</v>
      </c>
      <c r="BC10" s="45" t="str">
        <f t="shared" si="5"/>
        <v>December</v>
      </c>
      <c r="BD10" s="45" t="str">
        <f t="shared" si="5"/>
        <v>January</v>
      </c>
      <c r="BE10" s="45" t="str">
        <f t="shared" si="5"/>
        <v>February</v>
      </c>
      <c r="BF10" s="45" t="str">
        <f t="shared" si="5"/>
        <v>March</v>
      </c>
      <c r="BG10" s="45" t="str">
        <f t="shared" si="5"/>
        <v>April</v>
      </c>
      <c r="BH10" s="45" t="str">
        <f t="shared" si="5"/>
        <v>May</v>
      </c>
      <c r="BI10" s="45" t="str">
        <f t="shared" si="5"/>
        <v>June</v>
      </c>
      <c r="BJ10" s="45" t="str">
        <f t="shared" si="5"/>
        <v>July</v>
      </c>
      <c r="BK10" s="45" t="str">
        <f t="shared" si="5"/>
        <v>August</v>
      </c>
      <c r="BL10" s="45" t="str">
        <f t="shared" si="5"/>
        <v>September</v>
      </c>
      <c r="BM10" s="45" t="str">
        <f t="shared" si="5"/>
        <v>October</v>
      </c>
      <c r="BN10" s="45" t="str">
        <f t="shared" si="5"/>
        <v>November</v>
      </c>
      <c r="BO10" s="45" t="str">
        <f t="shared" si="5"/>
        <v>December</v>
      </c>
    </row>
    <row r="11" spans="1:67" ht="16.5" hidden="1" customHeight="1" outlineLevel="1">
      <c r="A11" s="41"/>
      <c r="B11" s="32" t="s">
        <v>139</v>
      </c>
      <c r="C11" s="17" t="s">
        <v>104</v>
      </c>
      <c r="D11" s="16" t="s">
        <v>140</v>
      </c>
      <c r="E11" s="16"/>
      <c r="F11" s="16"/>
      <c r="G11" s="16"/>
      <c r="H11" s="16"/>
      <c r="I11" s="16"/>
      <c r="J11" s="16"/>
      <c r="K11" s="16"/>
      <c r="L11" s="16"/>
      <c r="M11" s="16"/>
      <c r="N11" s="16"/>
      <c r="O11" s="16"/>
      <c r="P11" s="16"/>
      <c r="Q11" s="16"/>
      <c r="R11" s="16"/>
      <c r="S11" s="16"/>
      <c r="T11" s="1">
        <f>IF(MOD(MONTH(T4)+12-MONTH('Get Started'!$D9),12)=0,12,MOD(MONTH(T4)+12-MONTH('Get Started'!$D9),12))</f>
        <v>1</v>
      </c>
      <c r="U11" s="1">
        <f>IF(MOD(MONTH(U4)+12-MONTH('Get Started'!$D9),12)=0,12,MOD(MONTH(U4)+12-MONTH('Get Started'!$D9),12))</f>
        <v>2</v>
      </c>
      <c r="V11" s="1">
        <f>IF(MOD(MONTH(V4)+12-MONTH('Get Started'!$D9),12)=0,12,MOD(MONTH(V4)+12-MONTH('Get Started'!$D9),12))</f>
        <v>3</v>
      </c>
      <c r="W11" s="1">
        <f>IF(MOD(MONTH(W4)+12-MONTH('Get Started'!$D9),12)=0,12,MOD(MONTH(W4)+12-MONTH('Get Started'!$D9),12))</f>
        <v>4</v>
      </c>
      <c r="X11" s="1">
        <f>IF(MOD(MONTH(X4)+12-MONTH('Get Started'!$D9),12)=0,12,MOD(MONTH(X4)+12-MONTH('Get Started'!$D9),12))</f>
        <v>5</v>
      </c>
      <c r="Y11" s="1">
        <f>IF(MOD(MONTH(Y4)+12-MONTH('Get Started'!$D9),12)=0,12,MOD(MONTH(Y4)+12-MONTH('Get Started'!$D9),12))</f>
        <v>6</v>
      </c>
      <c r="Z11" s="1">
        <f>IF(MOD(MONTH(Z4)+12-MONTH('Get Started'!$D9),12)=0,12,MOD(MONTH(Z4)+12-MONTH('Get Started'!$D9),12))</f>
        <v>7</v>
      </c>
      <c r="AA11" s="1">
        <f>IF(MOD(MONTH(AA4)+12-MONTH('Get Started'!$D9),12)=0,12,MOD(MONTH(AA4)+12-MONTH('Get Started'!$D9),12))</f>
        <v>8</v>
      </c>
      <c r="AB11" s="1">
        <f>IF(MOD(MONTH(AB4)+12-MONTH('Get Started'!$D9),12)=0,12,MOD(MONTH(AB4)+12-MONTH('Get Started'!$D9),12))</f>
        <v>9</v>
      </c>
      <c r="AC11" s="1">
        <f>IF(MOD(MONTH(AC4)+12-MONTH('Get Started'!$D9),12)=0,12,MOD(MONTH(AC4)+12-MONTH('Get Started'!$D9),12))</f>
        <v>10</v>
      </c>
      <c r="AD11" s="1">
        <f>IF(MOD(MONTH(AD4)+12-MONTH('Get Started'!$D9),12)=0,12,MOD(MONTH(AD4)+12-MONTH('Get Started'!$D9),12))</f>
        <v>11</v>
      </c>
      <c r="AE11" s="1">
        <f>IF(MOD(MONTH(AE4)+12-MONTH('Get Started'!$D9),12)=0,12,MOD(MONTH(AE4)+12-MONTH('Get Started'!$D9),12))</f>
        <v>12</v>
      </c>
      <c r="AF11" s="1">
        <f>IF(MOD(MONTH(AF4)+12-MONTH('Get Started'!$D9),12)=0,12,MOD(MONTH(AF4)+12-MONTH('Get Started'!$D9),12))</f>
        <v>1</v>
      </c>
      <c r="AG11" s="1">
        <f>IF(MOD(MONTH(AG4)+12-MONTH('Get Started'!$D9),12)=0,12,MOD(MONTH(AG4)+12-MONTH('Get Started'!$D9),12))</f>
        <v>2</v>
      </c>
      <c r="AH11" s="1">
        <f>IF(MOD(MONTH(AH4)+12-MONTH('Get Started'!$D9),12)=0,12,MOD(MONTH(AH4)+12-MONTH('Get Started'!$D9),12))</f>
        <v>3</v>
      </c>
      <c r="AI11" s="1">
        <f>IF(MOD(MONTH(AI4)+12-MONTH('Get Started'!$D9),12)=0,12,MOD(MONTH(AI4)+12-MONTH('Get Started'!$D9),12))</f>
        <v>4</v>
      </c>
      <c r="AJ11" s="1">
        <f>IF(MOD(MONTH(AJ4)+12-MONTH('Get Started'!$D9),12)=0,12,MOD(MONTH(AJ4)+12-MONTH('Get Started'!$D9),12))</f>
        <v>5</v>
      </c>
      <c r="AK11" s="1">
        <f>IF(MOD(MONTH(AK4)+12-MONTH('Get Started'!$D9),12)=0,12,MOD(MONTH(AK4)+12-MONTH('Get Started'!$D9),12))</f>
        <v>6</v>
      </c>
      <c r="AL11" s="1">
        <f>IF(MOD(MONTH(AL4)+12-MONTH('Get Started'!$D9),12)=0,12,MOD(MONTH(AL4)+12-MONTH('Get Started'!$D9),12))</f>
        <v>7</v>
      </c>
      <c r="AM11" s="1">
        <f>IF(MOD(MONTH(AM4)+12-MONTH('Get Started'!$D9),12)=0,12,MOD(MONTH(AM4)+12-MONTH('Get Started'!$D9),12))</f>
        <v>8</v>
      </c>
      <c r="AN11" s="1">
        <f>IF(MOD(MONTH(AN4)+12-MONTH('Get Started'!$D9),12)=0,12,MOD(MONTH(AN4)+12-MONTH('Get Started'!$D9),12))</f>
        <v>9</v>
      </c>
      <c r="AO11" s="1">
        <f>IF(MOD(MONTH(AO4)+12-MONTH('Get Started'!$D9),12)=0,12,MOD(MONTH(AO4)+12-MONTH('Get Started'!$D9),12))</f>
        <v>10</v>
      </c>
      <c r="AP11" s="1">
        <f>IF(MOD(MONTH(AP4)+12-MONTH('Get Started'!$D9),12)=0,12,MOD(MONTH(AP4)+12-MONTH('Get Started'!$D9),12))</f>
        <v>11</v>
      </c>
      <c r="AQ11" s="1">
        <f>IF(MOD(MONTH(AQ4)+12-MONTH('Get Started'!$D9),12)=0,12,MOD(MONTH(AQ4)+12-MONTH('Get Started'!$D9),12))</f>
        <v>12</v>
      </c>
      <c r="AR11" s="1">
        <f>IF(MOD(MONTH(AR4)+12-MONTH('Get Started'!$D9),12)=0,12,MOD(MONTH(AR4)+12-MONTH('Get Started'!$D9),12))</f>
        <v>1</v>
      </c>
      <c r="AS11" s="1">
        <f>IF(MOD(MONTH(AS4)+12-MONTH('Get Started'!$D9),12)=0,12,MOD(MONTH(AS4)+12-MONTH('Get Started'!$D9),12))</f>
        <v>2</v>
      </c>
      <c r="AT11" s="1">
        <f>IF(MOD(MONTH(AT4)+12-MONTH('Get Started'!$D9),12)=0,12,MOD(MONTH(AT4)+12-MONTH('Get Started'!$D9),12))</f>
        <v>3</v>
      </c>
      <c r="AU11" s="1">
        <f>IF(MOD(MONTH(AU4)+12-MONTH('Get Started'!$D9),12)=0,12,MOD(MONTH(AU4)+12-MONTH('Get Started'!$D9),12))</f>
        <v>4</v>
      </c>
      <c r="AV11" s="1">
        <f>IF(MOD(MONTH(AV4)+12-MONTH('Get Started'!$D9),12)=0,12,MOD(MONTH(AV4)+12-MONTH('Get Started'!$D9),12))</f>
        <v>5</v>
      </c>
      <c r="AW11" s="1">
        <f>IF(MOD(MONTH(AW4)+12-MONTH('Get Started'!$D9),12)=0,12,MOD(MONTH(AW4)+12-MONTH('Get Started'!$D9),12))</f>
        <v>6</v>
      </c>
      <c r="AX11" s="1">
        <f>IF(MOD(MONTH(AX4)+12-MONTH('Get Started'!$D9),12)=0,12,MOD(MONTH(AX4)+12-MONTH('Get Started'!$D9),12))</f>
        <v>7</v>
      </c>
      <c r="AY11" s="1">
        <f>IF(MOD(MONTH(AY4)+12-MONTH('Get Started'!$D9),12)=0,12,MOD(MONTH(AY4)+12-MONTH('Get Started'!$D9),12))</f>
        <v>8</v>
      </c>
      <c r="AZ11" s="1">
        <f>IF(MOD(MONTH(AZ4)+12-MONTH('Get Started'!$D9),12)=0,12,MOD(MONTH(AZ4)+12-MONTH('Get Started'!$D9),12))</f>
        <v>9</v>
      </c>
      <c r="BA11" s="1">
        <f>IF(MOD(MONTH(BA4)+12-MONTH('Get Started'!$D9),12)=0,12,MOD(MONTH(BA4)+12-MONTH('Get Started'!$D9),12))</f>
        <v>10</v>
      </c>
      <c r="BB11" s="1">
        <f>IF(MOD(MONTH(BB4)+12-MONTH('Get Started'!$D9),12)=0,12,MOD(MONTH(BB4)+12-MONTH('Get Started'!$D9),12))</f>
        <v>11</v>
      </c>
      <c r="BC11" s="1">
        <f>IF(MOD(MONTH(BC4)+12-MONTH('Get Started'!$D9),12)=0,12,MOD(MONTH(BC4)+12-MONTH('Get Started'!$D9),12))</f>
        <v>12</v>
      </c>
      <c r="BD11" s="1">
        <f>IF(MOD(MONTH(BD4)+12-MONTH('Get Started'!$D9),12)=0,12,MOD(MONTH(BD4)+12-MONTH('Get Started'!$D9),12))</f>
        <v>1</v>
      </c>
      <c r="BE11" s="1">
        <f>IF(MOD(MONTH(BE4)+12-MONTH('Get Started'!$D9),12)=0,12,MOD(MONTH(BE4)+12-MONTH('Get Started'!$D9),12))</f>
        <v>2</v>
      </c>
      <c r="BF11" s="1">
        <f>IF(MOD(MONTH(BF4)+12-MONTH('Get Started'!$D9),12)=0,12,MOD(MONTH(BF4)+12-MONTH('Get Started'!$D9),12))</f>
        <v>3</v>
      </c>
      <c r="BG11" s="1">
        <f>IF(MOD(MONTH(BG4)+12-MONTH('Get Started'!$D9),12)=0,12,MOD(MONTH(BG4)+12-MONTH('Get Started'!$D9),12))</f>
        <v>4</v>
      </c>
      <c r="BH11" s="1">
        <f>IF(MOD(MONTH(BH4)+12-MONTH('Get Started'!$D9),12)=0,12,MOD(MONTH(BH4)+12-MONTH('Get Started'!$D9),12))</f>
        <v>5</v>
      </c>
      <c r="BI11" s="1">
        <f>IF(MOD(MONTH(BI4)+12-MONTH('Get Started'!$D9),12)=0,12,MOD(MONTH(BI4)+12-MONTH('Get Started'!$D9),12))</f>
        <v>6</v>
      </c>
      <c r="BJ11" s="1">
        <f>IF(MOD(MONTH(BJ4)+12-MONTH('Get Started'!$D9),12)=0,12,MOD(MONTH(BJ4)+12-MONTH('Get Started'!$D9),12))</f>
        <v>7</v>
      </c>
      <c r="BK11" s="1">
        <f>IF(MOD(MONTH(BK4)+12-MONTH('Get Started'!$D9),12)=0,12,MOD(MONTH(BK4)+12-MONTH('Get Started'!$D9),12))</f>
        <v>8</v>
      </c>
      <c r="BL11" s="1">
        <f>IF(MOD(MONTH(BL4)+12-MONTH('Get Started'!$D9),12)=0,12,MOD(MONTH(BL4)+12-MONTH('Get Started'!$D9),12))</f>
        <v>9</v>
      </c>
      <c r="BM11" s="1">
        <f>IF(MOD(MONTH(BM4)+12-MONTH('Get Started'!$D9),12)=0,12,MOD(MONTH(BM4)+12-MONTH('Get Started'!$D9),12))</f>
        <v>10</v>
      </c>
      <c r="BN11" s="1">
        <f>IF(MOD(MONTH(BN4)+12-MONTH('Get Started'!$D9),12)=0,12,MOD(MONTH(BN4)+12-MONTH('Get Started'!$D9),12))</f>
        <v>11</v>
      </c>
      <c r="BO11" s="1">
        <f>IF(MOD(MONTH(BO4)+12-MONTH('Get Started'!$D9),12)=0,12,MOD(MONTH(BO4)+12-MONTH('Get Started'!$D9),12))</f>
        <v>12</v>
      </c>
    </row>
    <row r="12" spans="1:67" ht="16.5" hidden="1" customHeight="1" outlineLevel="1">
      <c r="A12" s="1"/>
      <c r="B12" s="16" t="s">
        <v>141</v>
      </c>
      <c r="C12" s="17" t="s">
        <v>104</v>
      </c>
      <c r="D12" s="16" t="s">
        <v>142</v>
      </c>
      <c r="E12" s="16"/>
      <c r="F12" s="16"/>
      <c r="G12" s="16"/>
      <c r="H12" s="16"/>
      <c r="I12" s="16"/>
      <c r="J12" s="16"/>
      <c r="K12" s="16"/>
      <c r="L12" s="16"/>
      <c r="M12" s="16"/>
      <c r="N12" s="16"/>
      <c r="O12" s="16"/>
      <c r="P12" s="16"/>
      <c r="Q12" s="16"/>
      <c r="R12" s="16"/>
      <c r="S12" s="16"/>
      <c r="T12" s="1">
        <v>1</v>
      </c>
      <c r="U12" s="1">
        <f t="shared" ref="U12:AE12" si="6">T12</f>
        <v>1</v>
      </c>
      <c r="V12" s="1">
        <f t="shared" si="6"/>
        <v>1</v>
      </c>
      <c r="W12" s="1">
        <f t="shared" si="6"/>
        <v>1</v>
      </c>
      <c r="X12" s="1">
        <f t="shared" si="6"/>
        <v>1</v>
      </c>
      <c r="Y12" s="1">
        <f t="shared" si="6"/>
        <v>1</v>
      </c>
      <c r="Z12" s="1">
        <f t="shared" si="6"/>
        <v>1</v>
      </c>
      <c r="AA12" s="1">
        <f t="shared" si="6"/>
        <v>1</v>
      </c>
      <c r="AB12" s="1">
        <f t="shared" si="6"/>
        <v>1</v>
      </c>
      <c r="AC12" s="1">
        <f t="shared" si="6"/>
        <v>1</v>
      </c>
      <c r="AD12" s="1">
        <f t="shared" si="6"/>
        <v>1</v>
      </c>
      <c r="AE12" s="1">
        <f t="shared" si="6"/>
        <v>1</v>
      </c>
      <c r="AF12" s="1">
        <f t="shared" ref="AF12:BO12" si="7">T12+1</f>
        <v>2</v>
      </c>
      <c r="AG12" s="1">
        <f t="shared" si="7"/>
        <v>2</v>
      </c>
      <c r="AH12" s="1">
        <f t="shared" si="7"/>
        <v>2</v>
      </c>
      <c r="AI12" s="1">
        <f t="shared" si="7"/>
        <v>2</v>
      </c>
      <c r="AJ12" s="1">
        <f t="shared" si="7"/>
        <v>2</v>
      </c>
      <c r="AK12" s="1">
        <f t="shared" si="7"/>
        <v>2</v>
      </c>
      <c r="AL12" s="1">
        <f t="shared" si="7"/>
        <v>2</v>
      </c>
      <c r="AM12" s="1">
        <f t="shared" si="7"/>
        <v>2</v>
      </c>
      <c r="AN12" s="1">
        <f t="shared" si="7"/>
        <v>2</v>
      </c>
      <c r="AO12" s="1">
        <f t="shared" si="7"/>
        <v>2</v>
      </c>
      <c r="AP12" s="1">
        <f t="shared" si="7"/>
        <v>2</v>
      </c>
      <c r="AQ12" s="1">
        <f t="shared" si="7"/>
        <v>2</v>
      </c>
      <c r="AR12" s="1">
        <f t="shared" si="7"/>
        <v>3</v>
      </c>
      <c r="AS12" s="1">
        <f t="shared" si="7"/>
        <v>3</v>
      </c>
      <c r="AT12" s="1">
        <f t="shared" si="7"/>
        <v>3</v>
      </c>
      <c r="AU12" s="1">
        <f t="shared" si="7"/>
        <v>3</v>
      </c>
      <c r="AV12" s="1">
        <f t="shared" si="7"/>
        <v>3</v>
      </c>
      <c r="AW12" s="1">
        <f t="shared" si="7"/>
        <v>3</v>
      </c>
      <c r="AX12" s="1">
        <f t="shared" si="7"/>
        <v>3</v>
      </c>
      <c r="AY12" s="1">
        <f t="shared" si="7"/>
        <v>3</v>
      </c>
      <c r="AZ12" s="1">
        <f t="shared" si="7"/>
        <v>3</v>
      </c>
      <c r="BA12" s="1">
        <f t="shared" si="7"/>
        <v>3</v>
      </c>
      <c r="BB12" s="1">
        <f t="shared" si="7"/>
        <v>3</v>
      </c>
      <c r="BC12" s="1">
        <f t="shared" si="7"/>
        <v>3</v>
      </c>
      <c r="BD12" s="1">
        <f t="shared" si="7"/>
        <v>4</v>
      </c>
      <c r="BE12" s="1">
        <f t="shared" si="7"/>
        <v>4</v>
      </c>
      <c r="BF12" s="1">
        <f t="shared" si="7"/>
        <v>4</v>
      </c>
      <c r="BG12" s="1">
        <f t="shared" si="7"/>
        <v>4</v>
      </c>
      <c r="BH12" s="1">
        <f t="shared" si="7"/>
        <v>4</v>
      </c>
      <c r="BI12" s="1">
        <f t="shared" si="7"/>
        <v>4</v>
      </c>
      <c r="BJ12" s="1">
        <f t="shared" si="7"/>
        <v>4</v>
      </c>
      <c r="BK12" s="1">
        <f t="shared" si="7"/>
        <v>4</v>
      </c>
      <c r="BL12" s="1">
        <f t="shared" si="7"/>
        <v>4</v>
      </c>
      <c r="BM12" s="1">
        <f t="shared" si="7"/>
        <v>4</v>
      </c>
      <c r="BN12" s="1">
        <f t="shared" si="7"/>
        <v>4</v>
      </c>
      <c r="BO12" s="1">
        <f t="shared" si="7"/>
        <v>4</v>
      </c>
    </row>
    <row r="13" spans="1:67" ht="16.5" hidden="1" customHeight="1" outlineLevel="1">
      <c r="A13" s="1"/>
      <c r="B13" s="16"/>
      <c r="C13" s="17"/>
      <c r="D13" s="16"/>
      <c r="E13" s="16"/>
      <c r="F13" s="16"/>
      <c r="G13" s="16"/>
      <c r="H13" s="16"/>
      <c r="I13" s="16"/>
      <c r="J13" s="16"/>
      <c r="K13" s="16"/>
      <c r="L13" s="16"/>
      <c r="M13" s="16"/>
      <c r="N13" s="16"/>
      <c r="O13" s="16"/>
      <c r="P13" s="16"/>
      <c r="Q13" s="16"/>
      <c r="R13" s="16"/>
      <c r="S13" s="16"/>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row>
    <row r="14" spans="1:67" ht="16.5" customHeight="1" collapsed="1">
      <c r="A14" s="1"/>
      <c r="B14" s="16"/>
      <c r="C14" s="17"/>
      <c r="D14" s="16"/>
      <c r="E14" s="16"/>
      <c r="F14" s="16"/>
      <c r="G14" s="16"/>
      <c r="H14" s="16"/>
      <c r="I14" s="16"/>
      <c r="J14" s="16"/>
      <c r="K14" s="16"/>
      <c r="L14" s="16"/>
      <c r="M14" s="16"/>
      <c r="N14" s="16"/>
      <c r="O14" s="16"/>
      <c r="P14" s="16"/>
      <c r="Q14" s="16"/>
      <c r="R14" s="16"/>
      <c r="S14" s="16"/>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row>
    <row r="15" spans="1:67" ht="16.5" customHeight="1">
      <c r="A15" s="1"/>
      <c r="B15" s="22" t="s">
        <v>82</v>
      </c>
      <c r="C15" s="17"/>
      <c r="D15" s="16"/>
      <c r="E15" s="16"/>
      <c r="F15" s="16"/>
      <c r="G15" s="16"/>
      <c r="H15" s="16"/>
      <c r="I15" s="16"/>
      <c r="J15" s="16"/>
      <c r="K15" s="16"/>
      <c r="L15" s="16"/>
      <c r="M15" s="16"/>
      <c r="N15" s="16"/>
      <c r="O15" s="16"/>
      <c r="P15" s="16"/>
      <c r="Q15" s="16"/>
      <c r="R15" s="16"/>
      <c r="S15" s="16"/>
      <c r="T15" s="1"/>
      <c r="U15" s="1"/>
      <c r="V15" s="1"/>
      <c r="W15" s="16"/>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row>
    <row r="16" spans="1:67" ht="16.5" customHeight="1">
      <c r="A16" s="1"/>
      <c r="B16" s="16" t="str">
        <f>'Get Started'!B17</f>
        <v>Average Revenue per Order, new Customer</v>
      </c>
      <c r="C16" s="17" t="str">
        <f>'Get Started'!D$7</f>
        <v>$</v>
      </c>
      <c r="D16" s="16" t="str">
        <f>'Get Started'!F17</f>
        <v>Sales revenue per order, Average Order Value, or AOV</v>
      </c>
      <c r="E16" s="16"/>
      <c r="F16" s="16"/>
      <c r="G16" s="16"/>
      <c r="H16" s="16" t="s">
        <v>143</v>
      </c>
      <c r="I16" s="46">
        <f>IF(H16=Forecast!$H$195,T16,IF(H16=Forecast!$H$196,BO16,IF(H16=Forecast!$H$197,SUM(T16:BO16),IF(H16=Forecast!$H$198,AVERAGE(T16:BO16),0))))</f>
        <v>50</v>
      </c>
      <c r="J16" s="16"/>
      <c r="K16" s="16"/>
      <c r="L16" s="16"/>
      <c r="M16" s="16"/>
      <c r="N16" s="16"/>
      <c r="O16" s="16"/>
      <c r="P16" s="16"/>
      <c r="Q16" s="16"/>
      <c r="R16" s="16"/>
      <c r="S16" s="16"/>
      <c r="T16" s="47">
        <f>'Get Started'!$D17</f>
        <v>50</v>
      </c>
      <c r="U16" s="47">
        <f>'Get Started'!$D17</f>
        <v>50</v>
      </c>
      <c r="V16" s="47">
        <f>'Get Started'!$D17</f>
        <v>50</v>
      </c>
      <c r="W16" s="47">
        <f>'Get Started'!$D17</f>
        <v>50</v>
      </c>
      <c r="X16" s="47">
        <f>'Get Started'!$D17</f>
        <v>50</v>
      </c>
      <c r="Y16" s="47">
        <f>'Get Started'!$D17</f>
        <v>50</v>
      </c>
      <c r="Z16" s="47">
        <f>'Get Started'!$D17</f>
        <v>50</v>
      </c>
      <c r="AA16" s="47">
        <f>'Get Started'!$D17</f>
        <v>50</v>
      </c>
      <c r="AB16" s="47">
        <f>'Get Started'!$D17</f>
        <v>50</v>
      </c>
      <c r="AC16" s="47">
        <f>'Get Started'!$D17</f>
        <v>50</v>
      </c>
      <c r="AD16" s="47">
        <f>'Get Started'!$D17</f>
        <v>50</v>
      </c>
      <c r="AE16" s="47">
        <f>'Get Started'!$D17</f>
        <v>50</v>
      </c>
      <c r="AF16" s="47">
        <f>'Get Started'!$D17</f>
        <v>50</v>
      </c>
      <c r="AG16" s="47">
        <f>'Get Started'!$D17</f>
        <v>50</v>
      </c>
      <c r="AH16" s="47">
        <f>'Get Started'!$D17</f>
        <v>50</v>
      </c>
      <c r="AI16" s="47">
        <f>'Get Started'!$D17</f>
        <v>50</v>
      </c>
      <c r="AJ16" s="47">
        <f>'Get Started'!$D17</f>
        <v>50</v>
      </c>
      <c r="AK16" s="47">
        <f>'Get Started'!$D17</f>
        <v>50</v>
      </c>
      <c r="AL16" s="47">
        <f>'Get Started'!$D17</f>
        <v>50</v>
      </c>
      <c r="AM16" s="47">
        <f>'Get Started'!$D17</f>
        <v>50</v>
      </c>
      <c r="AN16" s="47">
        <f>'Get Started'!$D17</f>
        <v>50</v>
      </c>
      <c r="AO16" s="47">
        <f>'Get Started'!$D17</f>
        <v>50</v>
      </c>
      <c r="AP16" s="47">
        <f>'Get Started'!$D17</f>
        <v>50</v>
      </c>
      <c r="AQ16" s="47">
        <f>'Get Started'!$D17</f>
        <v>50</v>
      </c>
      <c r="AR16" s="47">
        <f>'Get Started'!$D17</f>
        <v>50</v>
      </c>
      <c r="AS16" s="47">
        <f>'Get Started'!$D17</f>
        <v>50</v>
      </c>
      <c r="AT16" s="47">
        <f>'Get Started'!$D17</f>
        <v>50</v>
      </c>
      <c r="AU16" s="47">
        <f>'Get Started'!$D17</f>
        <v>50</v>
      </c>
      <c r="AV16" s="47">
        <f>'Get Started'!$D17</f>
        <v>50</v>
      </c>
      <c r="AW16" s="47">
        <f>'Get Started'!$D17</f>
        <v>50</v>
      </c>
      <c r="AX16" s="47">
        <f>'Get Started'!$D17</f>
        <v>50</v>
      </c>
      <c r="AY16" s="47">
        <f>'Get Started'!$D17</f>
        <v>50</v>
      </c>
      <c r="AZ16" s="47">
        <f>'Get Started'!$D17</f>
        <v>50</v>
      </c>
      <c r="BA16" s="47">
        <f>'Get Started'!$D17</f>
        <v>50</v>
      </c>
      <c r="BB16" s="47">
        <f>'Get Started'!$D17</f>
        <v>50</v>
      </c>
      <c r="BC16" s="47">
        <f>'Get Started'!$D17</f>
        <v>50</v>
      </c>
      <c r="BD16" s="47">
        <f>'Get Started'!$D17</f>
        <v>50</v>
      </c>
      <c r="BE16" s="47">
        <f>'Get Started'!$D17</f>
        <v>50</v>
      </c>
      <c r="BF16" s="47">
        <f>'Get Started'!$D17</f>
        <v>50</v>
      </c>
      <c r="BG16" s="47">
        <f>'Get Started'!$D17</f>
        <v>50</v>
      </c>
      <c r="BH16" s="47">
        <f>'Get Started'!$D17</f>
        <v>50</v>
      </c>
      <c r="BI16" s="47">
        <f>'Get Started'!$D17</f>
        <v>50</v>
      </c>
      <c r="BJ16" s="47">
        <f>'Get Started'!$D17</f>
        <v>50</v>
      </c>
      <c r="BK16" s="47">
        <f>'Get Started'!$D17</f>
        <v>50</v>
      </c>
      <c r="BL16" s="47">
        <f>'Get Started'!$D17</f>
        <v>50</v>
      </c>
      <c r="BM16" s="47">
        <f>'Get Started'!$D17</f>
        <v>50</v>
      </c>
      <c r="BN16" s="47">
        <f>'Get Started'!$D17</f>
        <v>50</v>
      </c>
      <c r="BO16" s="47">
        <f>'Get Started'!$D17</f>
        <v>50</v>
      </c>
    </row>
    <row r="17" spans="1:67" ht="16.5" customHeight="1">
      <c r="A17" s="1"/>
      <c r="B17" s="16" t="str">
        <f>'Get Started'!B18</f>
        <v>Average Revenue per Order, repeat Customer</v>
      </c>
      <c r="C17" s="17" t="str">
        <f>'Get Started'!D$7</f>
        <v>$</v>
      </c>
      <c r="D17" s="16" t="str">
        <f>'Get Started'!F18</f>
        <v>This assumption breaks out the average order value between new and repeat customers. The 0.8 assumption is purely to show the impact of the different AOV, please change for your business.</v>
      </c>
      <c r="E17" s="16"/>
      <c r="F17" s="16"/>
      <c r="G17" s="16"/>
      <c r="H17" s="16" t="s">
        <v>143</v>
      </c>
      <c r="I17" s="46">
        <f>IF(H17=Forecast!$H$195,T17,IF(H17=Forecast!$H$196,BO17,IF(H17=Forecast!$H$197,SUM(T17:BO17),IF(H17=Forecast!$H$198,AVERAGE(T17:BO17),0))))</f>
        <v>40</v>
      </c>
      <c r="J17" s="16"/>
      <c r="K17" s="16"/>
      <c r="L17" s="16"/>
      <c r="M17" s="16"/>
      <c r="N17" s="16"/>
      <c r="O17" s="16"/>
      <c r="P17" s="16"/>
      <c r="Q17" s="16"/>
      <c r="R17" s="16"/>
      <c r="S17" s="16"/>
      <c r="T17" s="47">
        <f>'Get Started'!$D18</f>
        <v>40</v>
      </c>
      <c r="U17" s="47">
        <f>'Get Started'!$D18</f>
        <v>40</v>
      </c>
      <c r="V17" s="47">
        <f>'Get Started'!$D18</f>
        <v>40</v>
      </c>
      <c r="W17" s="47">
        <f>'Get Started'!$D18</f>
        <v>40</v>
      </c>
      <c r="X17" s="47">
        <f>'Get Started'!$D18</f>
        <v>40</v>
      </c>
      <c r="Y17" s="47">
        <f>'Get Started'!$D18</f>
        <v>40</v>
      </c>
      <c r="Z17" s="47">
        <f>'Get Started'!$D18</f>
        <v>40</v>
      </c>
      <c r="AA17" s="47">
        <f>'Get Started'!$D18</f>
        <v>40</v>
      </c>
      <c r="AB17" s="47">
        <f>'Get Started'!$D18</f>
        <v>40</v>
      </c>
      <c r="AC17" s="47">
        <f>'Get Started'!$D18</f>
        <v>40</v>
      </c>
      <c r="AD17" s="47">
        <f>'Get Started'!$D18</f>
        <v>40</v>
      </c>
      <c r="AE17" s="47">
        <f>'Get Started'!$D18</f>
        <v>40</v>
      </c>
      <c r="AF17" s="47">
        <f>'Get Started'!$D18</f>
        <v>40</v>
      </c>
      <c r="AG17" s="47">
        <f>'Get Started'!$D18</f>
        <v>40</v>
      </c>
      <c r="AH17" s="47">
        <f>'Get Started'!$D18</f>
        <v>40</v>
      </c>
      <c r="AI17" s="47">
        <f>'Get Started'!$D18</f>
        <v>40</v>
      </c>
      <c r="AJ17" s="47">
        <f>'Get Started'!$D18</f>
        <v>40</v>
      </c>
      <c r="AK17" s="47">
        <f>'Get Started'!$D18</f>
        <v>40</v>
      </c>
      <c r="AL17" s="47">
        <f>'Get Started'!$D18</f>
        <v>40</v>
      </c>
      <c r="AM17" s="47">
        <f>'Get Started'!$D18</f>
        <v>40</v>
      </c>
      <c r="AN17" s="47">
        <f>'Get Started'!$D18</f>
        <v>40</v>
      </c>
      <c r="AO17" s="47">
        <f>'Get Started'!$D18</f>
        <v>40</v>
      </c>
      <c r="AP17" s="47">
        <f>'Get Started'!$D18</f>
        <v>40</v>
      </c>
      <c r="AQ17" s="47">
        <f>'Get Started'!$D18</f>
        <v>40</v>
      </c>
      <c r="AR17" s="47">
        <f>'Get Started'!$D18</f>
        <v>40</v>
      </c>
      <c r="AS17" s="47">
        <f>'Get Started'!$D18</f>
        <v>40</v>
      </c>
      <c r="AT17" s="47">
        <f>'Get Started'!$D18</f>
        <v>40</v>
      </c>
      <c r="AU17" s="47">
        <f>'Get Started'!$D18</f>
        <v>40</v>
      </c>
      <c r="AV17" s="47">
        <f>'Get Started'!$D18</f>
        <v>40</v>
      </c>
      <c r="AW17" s="47">
        <f>'Get Started'!$D18</f>
        <v>40</v>
      </c>
      <c r="AX17" s="47">
        <f>'Get Started'!$D18</f>
        <v>40</v>
      </c>
      <c r="AY17" s="47">
        <f>'Get Started'!$D18</f>
        <v>40</v>
      </c>
      <c r="AZ17" s="47">
        <f>'Get Started'!$D18</f>
        <v>40</v>
      </c>
      <c r="BA17" s="47">
        <f>'Get Started'!$D18</f>
        <v>40</v>
      </c>
      <c r="BB17" s="47">
        <f>'Get Started'!$D18</f>
        <v>40</v>
      </c>
      <c r="BC17" s="47">
        <f>'Get Started'!$D18</f>
        <v>40</v>
      </c>
      <c r="BD17" s="47">
        <f>'Get Started'!$D18</f>
        <v>40</v>
      </c>
      <c r="BE17" s="47">
        <f>'Get Started'!$D18</f>
        <v>40</v>
      </c>
      <c r="BF17" s="47">
        <f>'Get Started'!$D18</f>
        <v>40</v>
      </c>
      <c r="BG17" s="47">
        <f>'Get Started'!$D18</f>
        <v>40</v>
      </c>
      <c r="BH17" s="47">
        <f>'Get Started'!$D18</f>
        <v>40</v>
      </c>
      <c r="BI17" s="47">
        <f>'Get Started'!$D18</f>
        <v>40</v>
      </c>
      <c r="BJ17" s="47">
        <f>'Get Started'!$D18</f>
        <v>40</v>
      </c>
      <c r="BK17" s="47">
        <f>'Get Started'!$D18</f>
        <v>40</v>
      </c>
      <c r="BL17" s="47">
        <f>'Get Started'!$D18</f>
        <v>40</v>
      </c>
      <c r="BM17" s="47">
        <f>'Get Started'!$D18</f>
        <v>40</v>
      </c>
      <c r="BN17" s="47">
        <f>'Get Started'!$D18</f>
        <v>40</v>
      </c>
      <c r="BO17" s="47">
        <f>'Get Started'!$D18</f>
        <v>40</v>
      </c>
    </row>
    <row r="18" spans="1:67" ht="16.5" customHeight="1">
      <c r="A18" s="1"/>
      <c r="B18" s="16" t="s">
        <v>144</v>
      </c>
      <c r="C18" s="17" t="s">
        <v>85</v>
      </c>
      <c r="D18" s="16" t="str">
        <f>'Get Started'!F19</f>
        <v>this assumes the growth rate in the first month after growth starts, as defined above</v>
      </c>
      <c r="E18" s="16"/>
      <c r="F18" s="16"/>
      <c r="G18" s="16"/>
      <c r="H18" s="16" t="s">
        <v>143</v>
      </c>
      <c r="I18" s="48">
        <f>IF(H18=Forecast!$H$195,T18,IF(H18=Forecast!$H$196,BO18,IF(H18=Forecast!$H$197,SUM(T18:BO18),IF(H18=Forecast!$H$198,AVERAGE(T18:BO18),0))))</f>
        <v>9.9999999999999978E-2</v>
      </c>
      <c r="J18" s="16"/>
      <c r="K18" s="16"/>
      <c r="L18" s="16"/>
      <c r="M18" s="16"/>
      <c r="N18" s="16"/>
      <c r="O18" s="16"/>
      <c r="P18" s="16"/>
      <c r="Q18" s="16"/>
      <c r="R18" s="16"/>
      <c r="S18" s="16"/>
      <c r="T18" s="48">
        <f>'Get Started'!$D19</f>
        <v>0.1</v>
      </c>
      <c r="U18" s="48">
        <f>'Get Started'!$D19</f>
        <v>0.1</v>
      </c>
      <c r="V18" s="48">
        <f>'Get Started'!$D19</f>
        <v>0.1</v>
      </c>
      <c r="W18" s="48">
        <f>'Get Started'!$D19</f>
        <v>0.1</v>
      </c>
      <c r="X18" s="48">
        <f>'Get Started'!$D19</f>
        <v>0.1</v>
      </c>
      <c r="Y18" s="48">
        <f>'Get Started'!$D19</f>
        <v>0.1</v>
      </c>
      <c r="Z18" s="48">
        <f>'Get Started'!$D19</f>
        <v>0.1</v>
      </c>
      <c r="AA18" s="48">
        <f>'Get Started'!$D19</f>
        <v>0.1</v>
      </c>
      <c r="AB18" s="48">
        <f>'Get Started'!$D19</f>
        <v>0.1</v>
      </c>
      <c r="AC18" s="48">
        <f>'Get Started'!$D19</f>
        <v>0.1</v>
      </c>
      <c r="AD18" s="48">
        <f>'Get Started'!$D19</f>
        <v>0.1</v>
      </c>
      <c r="AE18" s="48">
        <f>'Get Started'!$D19</f>
        <v>0.1</v>
      </c>
      <c r="AF18" s="48">
        <f>'Get Started'!$D19</f>
        <v>0.1</v>
      </c>
      <c r="AG18" s="48">
        <f>'Get Started'!$D19</f>
        <v>0.1</v>
      </c>
      <c r="AH18" s="48">
        <f>'Get Started'!$D19</f>
        <v>0.1</v>
      </c>
      <c r="AI18" s="48">
        <f>'Get Started'!$D19</f>
        <v>0.1</v>
      </c>
      <c r="AJ18" s="48">
        <f>'Get Started'!$D19</f>
        <v>0.1</v>
      </c>
      <c r="AK18" s="48">
        <f>'Get Started'!$D19</f>
        <v>0.1</v>
      </c>
      <c r="AL18" s="48">
        <f>'Get Started'!$D19</f>
        <v>0.1</v>
      </c>
      <c r="AM18" s="48">
        <f>'Get Started'!$D19</f>
        <v>0.1</v>
      </c>
      <c r="AN18" s="48">
        <f>'Get Started'!$D19</f>
        <v>0.1</v>
      </c>
      <c r="AO18" s="48">
        <f>'Get Started'!$D19</f>
        <v>0.1</v>
      </c>
      <c r="AP18" s="48">
        <f>'Get Started'!$D19</f>
        <v>0.1</v>
      </c>
      <c r="AQ18" s="48">
        <f>'Get Started'!$D19</f>
        <v>0.1</v>
      </c>
      <c r="AR18" s="48">
        <f>'Get Started'!$D19</f>
        <v>0.1</v>
      </c>
      <c r="AS18" s="48">
        <f>'Get Started'!$D19</f>
        <v>0.1</v>
      </c>
      <c r="AT18" s="48">
        <f>'Get Started'!$D19</f>
        <v>0.1</v>
      </c>
      <c r="AU18" s="48">
        <f>'Get Started'!$D19</f>
        <v>0.1</v>
      </c>
      <c r="AV18" s="48">
        <f>'Get Started'!$D19</f>
        <v>0.1</v>
      </c>
      <c r="AW18" s="48">
        <f>'Get Started'!$D19</f>
        <v>0.1</v>
      </c>
      <c r="AX18" s="48">
        <f>'Get Started'!$D19</f>
        <v>0.1</v>
      </c>
      <c r="AY18" s="48">
        <f>'Get Started'!$D19</f>
        <v>0.1</v>
      </c>
      <c r="AZ18" s="48">
        <f>'Get Started'!$D19</f>
        <v>0.1</v>
      </c>
      <c r="BA18" s="48">
        <f>'Get Started'!$D19</f>
        <v>0.1</v>
      </c>
      <c r="BB18" s="48">
        <f>'Get Started'!$D19</f>
        <v>0.1</v>
      </c>
      <c r="BC18" s="48">
        <f>'Get Started'!$D19</f>
        <v>0.1</v>
      </c>
      <c r="BD18" s="48">
        <f>'Get Started'!$D19</f>
        <v>0.1</v>
      </c>
      <c r="BE18" s="48">
        <f>'Get Started'!$D19</f>
        <v>0.1</v>
      </c>
      <c r="BF18" s="48">
        <f>'Get Started'!$D19</f>
        <v>0.1</v>
      </c>
      <c r="BG18" s="48">
        <f>'Get Started'!$D19</f>
        <v>0.1</v>
      </c>
      <c r="BH18" s="48">
        <f>'Get Started'!$D19</f>
        <v>0.1</v>
      </c>
      <c r="BI18" s="48">
        <f>'Get Started'!$D19</f>
        <v>0.1</v>
      </c>
      <c r="BJ18" s="48">
        <f>'Get Started'!$D19</f>
        <v>0.1</v>
      </c>
      <c r="BK18" s="48">
        <f>'Get Started'!$D19</f>
        <v>0.1</v>
      </c>
      <c r="BL18" s="48">
        <f>'Get Started'!$D19</f>
        <v>0.1</v>
      </c>
      <c r="BM18" s="48">
        <f>'Get Started'!$D19</f>
        <v>0.1</v>
      </c>
      <c r="BN18" s="48">
        <f>'Get Started'!$D19</f>
        <v>0.1</v>
      </c>
      <c r="BO18" s="48">
        <f>'Get Started'!$D19</f>
        <v>0.1</v>
      </c>
    </row>
    <row r="19" spans="1:67" ht="16.5" customHeight="1">
      <c r="A19" s="1"/>
      <c r="B19" s="16" t="s">
        <v>145</v>
      </c>
      <c r="C19" s="17" t="s">
        <v>85</v>
      </c>
      <c r="D19" s="16" t="str">
        <f>'Get Started'!F20</f>
        <v>this changes the growth rate over time: you can assume a growth rate that increases over time, stays the same, or decreases (most common)</v>
      </c>
      <c r="E19" s="16"/>
      <c r="F19" s="16"/>
      <c r="G19" s="16"/>
      <c r="H19" s="16" t="s">
        <v>143</v>
      </c>
      <c r="I19" s="48">
        <f>IF(H19=Forecast!$H$195,T19,IF(H19=Forecast!$H$196,BO19,IF(H19=Forecast!$H$197,SUM(T19:BO19),IF(H19=Forecast!$H$198,AVERAGE(T19:BO19),0))))</f>
        <v>-4.9999999999999989E-2</v>
      </c>
      <c r="J19" s="16"/>
      <c r="K19" s="16"/>
      <c r="L19" s="16"/>
      <c r="M19" s="16"/>
      <c r="N19" s="16"/>
      <c r="O19" s="16"/>
      <c r="P19" s="16"/>
      <c r="Q19" s="16"/>
      <c r="R19" s="16"/>
      <c r="S19" s="16"/>
      <c r="T19" s="48">
        <f>'Get Started'!$D20</f>
        <v>-0.05</v>
      </c>
      <c r="U19" s="48">
        <f>'Get Started'!$D20</f>
        <v>-0.05</v>
      </c>
      <c r="V19" s="48">
        <f>'Get Started'!$D20</f>
        <v>-0.05</v>
      </c>
      <c r="W19" s="48">
        <f>'Get Started'!$D20</f>
        <v>-0.05</v>
      </c>
      <c r="X19" s="48">
        <f>'Get Started'!$D20</f>
        <v>-0.05</v>
      </c>
      <c r="Y19" s="48">
        <f>'Get Started'!$D20</f>
        <v>-0.05</v>
      </c>
      <c r="Z19" s="48">
        <f>'Get Started'!$D20</f>
        <v>-0.05</v>
      </c>
      <c r="AA19" s="48">
        <f>'Get Started'!$D20</f>
        <v>-0.05</v>
      </c>
      <c r="AB19" s="48">
        <f>'Get Started'!$D20</f>
        <v>-0.05</v>
      </c>
      <c r="AC19" s="48">
        <f>'Get Started'!$D20</f>
        <v>-0.05</v>
      </c>
      <c r="AD19" s="48">
        <f>'Get Started'!$D20</f>
        <v>-0.05</v>
      </c>
      <c r="AE19" s="48">
        <f>'Get Started'!$D20</f>
        <v>-0.05</v>
      </c>
      <c r="AF19" s="48">
        <f>'Get Started'!$D20</f>
        <v>-0.05</v>
      </c>
      <c r="AG19" s="48">
        <f>'Get Started'!$D20</f>
        <v>-0.05</v>
      </c>
      <c r="AH19" s="48">
        <f>'Get Started'!$D20</f>
        <v>-0.05</v>
      </c>
      <c r="AI19" s="48">
        <f>'Get Started'!$D20</f>
        <v>-0.05</v>
      </c>
      <c r="AJ19" s="48">
        <f>'Get Started'!$D20</f>
        <v>-0.05</v>
      </c>
      <c r="AK19" s="48">
        <f>'Get Started'!$D20</f>
        <v>-0.05</v>
      </c>
      <c r="AL19" s="48">
        <f>'Get Started'!$D20</f>
        <v>-0.05</v>
      </c>
      <c r="AM19" s="48">
        <f>'Get Started'!$D20</f>
        <v>-0.05</v>
      </c>
      <c r="AN19" s="48">
        <f>'Get Started'!$D20</f>
        <v>-0.05</v>
      </c>
      <c r="AO19" s="48">
        <f>'Get Started'!$D20</f>
        <v>-0.05</v>
      </c>
      <c r="AP19" s="48">
        <f>'Get Started'!$D20</f>
        <v>-0.05</v>
      </c>
      <c r="AQ19" s="48">
        <f>'Get Started'!$D20</f>
        <v>-0.05</v>
      </c>
      <c r="AR19" s="48">
        <f>'Get Started'!$D20</f>
        <v>-0.05</v>
      </c>
      <c r="AS19" s="48">
        <f>'Get Started'!$D20</f>
        <v>-0.05</v>
      </c>
      <c r="AT19" s="48">
        <f>'Get Started'!$D20</f>
        <v>-0.05</v>
      </c>
      <c r="AU19" s="48">
        <f>'Get Started'!$D20</f>
        <v>-0.05</v>
      </c>
      <c r="AV19" s="48">
        <f>'Get Started'!$D20</f>
        <v>-0.05</v>
      </c>
      <c r="AW19" s="48">
        <f>'Get Started'!$D20</f>
        <v>-0.05</v>
      </c>
      <c r="AX19" s="48">
        <f>'Get Started'!$D20</f>
        <v>-0.05</v>
      </c>
      <c r="AY19" s="48">
        <f>'Get Started'!$D20</f>
        <v>-0.05</v>
      </c>
      <c r="AZ19" s="48">
        <f>'Get Started'!$D20</f>
        <v>-0.05</v>
      </c>
      <c r="BA19" s="48">
        <f>'Get Started'!$D20</f>
        <v>-0.05</v>
      </c>
      <c r="BB19" s="48">
        <f>'Get Started'!$D20</f>
        <v>-0.05</v>
      </c>
      <c r="BC19" s="48">
        <f>'Get Started'!$D20</f>
        <v>-0.05</v>
      </c>
      <c r="BD19" s="48">
        <f>'Get Started'!$D20</f>
        <v>-0.05</v>
      </c>
      <c r="BE19" s="48">
        <f>'Get Started'!$D20</f>
        <v>-0.05</v>
      </c>
      <c r="BF19" s="48">
        <f>'Get Started'!$D20</f>
        <v>-0.05</v>
      </c>
      <c r="BG19" s="48">
        <f>'Get Started'!$D20</f>
        <v>-0.05</v>
      </c>
      <c r="BH19" s="48">
        <f>'Get Started'!$D20</f>
        <v>-0.05</v>
      </c>
      <c r="BI19" s="48">
        <f>'Get Started'!$D20</f>
        <v>-0.05</v>
      </c>
      <c r="BJ19" s="48">
        <f>'Get Started'!$D20</f>
        <v>-0.05</v>
      </c>
      <c r="BK19" s="48">
        <f>'Get Started'!$D20</f>
        <v>-0.05</v>
      </c>
      <c r="BL19" s="48">
        <f>'Get Started'!$D20</f>
        <v>-0.05</v>
      </c>
      <c r="BM19" s="48">
        <f>'Get Started'!$D20</f>
        <v>-0.05</v>
      </c>
      <c r="BN19" s="48">
        <f>'Get Started'!$D20</f>
        <v>-0.05</v>
      </c>
      <c r="BO19" s="48">
        <f>'Get Started'!$D20</f>
        <v>-0.05</v>
      </c>
    </row>
    <row r="20" spans="1:67" ht="16.5" customHeight="1">
      <c r="A20" s="1"/>
      <c r="B20" s="16" t="str">
        <f>'Get Started'!B22</f>
        <v>Cost of Sales</v>
      </c>
      <c r="C20" s="17" t="s">
        <v>85</v>
      </c>
      <c r="D20" s="16" t="str">
        <f>'Get Started'!F22</f>
        <v>per order, as a % of revenues</v>
      </c>
      <c r="E20" s="16"/>
      <c r="F20" s="16"/>
      <c r="G20" s="16"/>
      <c r="H20" s="16" t="s">
        <v>143</v>
      </c>
      <c r="I20" s="48">
        <f>IF(H20=Forecast!$H$195,T20,IF(H20=Forecast!$H$196,BO20,IF(H20=Forecast!$H$197,SUM(T20:BO20),IF(H20=Forecast!$H$198,AVERAGE(T20:BO20),0))))</f>
        <v>0.25</v>
      </c>
      <c r="J20" s="16"/>
      <c r="K20" s="16"/>
      <c r="L20" s="16"/>
      <c r="M20" s="16"/>
      <c r="N20" s="16"/>
      <c r="O20" s="16"/>
      <c r="P20" s="16"/>
      <c r="Q20" s="16"/>
      <c r="R20" s="16"/>
      <c r="S20" s="16"/>
      <c r="T20" s="48">
        <f>'Get Started'!$D22</f>
        <v>0.25</v>
      </c>
      <c r="U20" s="48">
        <f>'Get Started'!$D22</f>
        <v>0.25</v>
      </c>
      <c r="V20" s="48">
        <f>'Get Started'!$D22</f>
        <v>0.25</v>
      </c>
      <c r="W20" s="48">
        <f>'Get Started'!$D22</f>
        <v>0.25</v>
      </c>
      <c r="X20" s="48">
        <f>'Get Started'!$D22</f>
        <v>0.25</v>
      </c>
      <c r="Y20" s="48">
        <f>'Get Started'!$D22</f>
        <v>0.25</v>
      </c>
      <c r="Z20" s="48">
        <f>'Get Started'!$D22</f>
        <v>0.25</v>
      </c>
      <c r="AA20" s="48">
        <f>'Get Started'!$D22</f>
        <v>0.25</v>
      </c>
      <c r="AB20" s="48">
        <f>'Get Started'!$D22</f>
        <v>0.25</v>
      </c>
      <c r="AC20" s="48">
        <f>'Get Started'!$D22</f>
        <v>0.25</v>
      </c>
      <c r="AD20" s="48">
        <f>'Get Started'!$D22</f>
        <v>0.25</v>
      </c>
      <c r="AE20" s="48">
        <f>'Get Started'!$D22</f>
        <v>0.25</v>
      </c>
      <c r="AF20" s="48">
        <f>'Get Started'!$D22</f>
        <v>0.25</v>
      </c>
      <c r="AG20" s="48">
        <f>'Get Started'!$D22</f>
        <v>0.25</v>
      </c>
      <c r="AH20" s="48">
        <f>'Get Started'!$D22</f>
        <v>0.25</v>
      </c>
      <c r="AI20" s="48">
        <f>'Get Started'!$D22</f>
        <v>0.25</v>
      </c>
      <c r="AJ20" s="48">
        <f>'Get Started'!$D22</f>
        <v>0.25</v>
      </c>
      <c r="AK20" s="48">
        <f>'Get Started'!$D22</f>
        <v>0.25</v>
      </c>
      <c r="AL20" s="48">
        <f>'Get Started'!$D22</f>
        <v>0.25</v>
      </c>
      <c r="AM20" s="48">
        <f>'Get Started'!$D22</f>
        <v>0.25</v>
      </c>
      <c r="AN20" s="48">
        <f>'Get Started'!$D22</f>
        <v>0.25</v>
      </c>
      <c r="AO20" s="48">
        <f>'Get Started'!$D22</f>
        <v>0.25</v>
      </c>
      <c r="AP20" s="48">
        <f>'Get Started'!$D22</f>
        <v>0.25</v>
      </c>
      <c r="AQ20" s="48">
        <f>'Get Started'!$D22</f>
        <v>0.25</v>
      </c>
      <c r="AR20" s="48">
        <f>'Get Started'!$D22</f>
        <v>0.25</v>
      </c>
      <c r="AS20" s="48">
        <f>'Get Started'!$D22</f>
        <v>0.25</v>
      </c>
      <c r="AT20" s="48">
        <f>'Get Started'!$D22</f>
        <v>0.25</v>
      </c>
      <c r="AU20" s="48">
        <f>'Get Started'!$D22</f>
        <v>0.25</v>
      </c>
      <c r="AV20" s="48">
        <f>'Get Started'!$D22</f>
        <v>0.25</v>
      </c>
      <c r="AW20" s="48">
        <f>'Get Started'!$D22</f>
        <v>0.25</v>
      </c>
      <c r="AX20" s="48">
        <f>'Get Started'!$D22</f>
        <v>0.25</v>
      </c>
      <c r="AY20" s="48">
        <f>'Get Started'!$D22</f>
        <v>0.25</v>
      </c>
      <c r="AZ20" s="48">
        <f>'Get Started'!$D22</f>
        <v>0.25</v>
      </c>
      <c r="BA20" s="48">
        <f>'Get Started'!$D22</f>
        <v>0.25</v>
      </c>
      <c r="BB20" s="48">
        <f>'Get Started'!$D22</f>
        <v>0.25</v>
      </c>
      <c r="BC20" s="48">
        <f>'Get Started'!$D22</f>
        <v>0.25</v>
      </c>
      <c r="BD20" s="48">
        <f>'Get Started'!$D22</f>
        <v>0.25</v>
      </c>
      <c r="BE20" s="48">
        <f>'Get Started'!$D22</f>
        <v>0.25</v>
      </c>
      <c r="BF20" s="48">
        <f>'Get Started'!$D22</f>
        <v>0.25</v>
      </c>
      <c r="BG20" s="48">
        <f>'Get Started'!$D22</f>
        <v>0.25</v>
      </c>
      <c r="BH20" s="48">
        <f>'Get Started'!$D22</f>
        <v>0.25</v>
      </c>
      <c r="BI20" s="48">
        <f>'Get Started'!$D22</f>
        <v>0.25</v>
      </c>
      <c r="BJ20" s="48">
        <f>'Get Started'!$D22</f>
        <v>0.25</v>
      </c>
      <c r="BK20" s="48">
        <f>'Get Started'!$D22</f>
        <v>0.25</v>
      </c>
      <c r="BL20" s="48">
        <f>'Get Started'!$D22</f>
        <v>0.25</v>
      </c>
      <c r="BM20" s="48">
        <f>'Get Started'!$D22</f>
        <v>0.25</v>
      </c>
      <c r="BN20" s="48">
        <f>'Get Started'!$D22</f>
        <v>0.25</v>
      </c>
      <c r="BO20" s="48">
        <f>'Get Started'!$D22</f>
        <v>0.25</v>
      </c>
    </row>
    <row r="21" spans="1:67" ht="16.5" customHeight="1">
      <c r="A21" s="1"/>
      <c r="B21" s="16" t="str">
        <f>'Get Started'!B23</f>
        <v>Additional Cost of Sales</v>
      </c>
      <c r="C21" s="17" t="s">
        <v>85</v>
      </c>
      <c r="D21" s="16" t="str">
        <f>'Get Started'!F23</f>
        <v>per order, as a % of revenues</v>
      </c>
      <c r="E21" s="16"/>
      <c r="F21" s="16"/>
      <c r="G21" s="16"/>
      <c r="H21" s="16" t="s">
        <v>143</v>
      </c>
      <c r="I21" s="48">
        <f>IF(H21=Forecast!$H$195,T21,IF(H21=Forecast!$H$196,BO21,IF(H21=Forecast!$H$197,SUM(T21:BO21),IF(H21=Forecast!$H$198,AVERAGE(T21:BO21),0))))</f>
        <v>9.9999999999999978E-2</v>
      </c>
      <c r="J21" s="16"/>
      <c r="K21" s="16"/>
      <c r="L21" s="16"/>
      <c r="M21" s="16"/>
      <c r="N21" s="16"/>
      <c r="O21" s="16"/>
      <c r="P21" s="16"/>
      <c r="Q21" s="16"/>
      <c r="R21" s="16"/>
      <c r="S21" s="16"/>
      <c r="T21" s="48">
        <f>'Get Started'!$D23</f>
        <v>0.1</v>
      </c>
      <c r="U21" s="48">
        <f>'Get Started'!$D23</f>
        <v>0.1</v>
      </c>
      <c r="V21" s="48">
        <f>'Get Started'!$D23</f>
        <v>0.1</v>
      </c>
      <c r="W21" s="48">
        <f>'Get Started'!$D23</f>
        <v>0.1</v>
      </c>
      <c r="X21" s="48">
        <f>'Get Started'!$D23</f>
        <v>0.1</v>
      </c>
      <c r="Y21" s="48">
        <f>'Get Started'!$D23</f>
        <v>0.1</v>
      </c>
      <c r="Z21" s="48">
        <f>'Get Started'!$D23</f>
        <v>0.1</v>
      </c>
      <c r="AA21" s="48">
        <f>'Get Started'!$D23</f>
        <v>0.1</v>
      </c>
      <c r="AB21" s="48">
        <f>'Get Started'!$D23</f>
        <v>0.1</v>
      </c>
      <c r="AC21" s="48">
        <f>'Get Started'!$D23</f>
        <v>0.1</v>
      </c>
      <c r="AD21" s="48">
        <f>'Get Started'!$D23</f>
        <v>0.1</v>
      </c>
      <c r="AE21" s="48">
        <f>'Get Started'!$D23</f>
        <v>0.1</v>
      </c>
      <c r="AF21" s="48">
        <f>'Get Started'!$D23</f>
        <v>0.1</v>
      </c>
      <c r="AG21" s="48">
        <f>'Get Started'!$D23</f>
        <v>0.1</v>
      </c>
      <c r="AH21" s="48">
        <f>'Get Started'!$D23</f>
        <v>0.1</v>
      </c>
      <c r="AI21" s="48">
        <f>'Get Started'!$D23</f>
        <v>0.1</v>
      </c>
      <c r="AJ21" s="48">
        <f>'Get Started'!$D23</f>
        <v>0.1</v>
      </c>
      <c r="AK21" s="48">
        <f>'Get Started'!$D23</f>
        <v>0.1</v>
      </c>
      <c r="AL21" s="48">
        <f>'Get Started'!$D23</f>
        <v>0.1</v>
      </c>
      <c r="AM21" s="48">
        <f>'Get Started'!$D23</f>
        <v>0.1</v>
      </c>
      <c r="AN21" s="48">
        <f>'Get Started'!$D23</f>
        <v>0.1</v>
      </c>
      <c r="AO21" s="48">
        <f>'Get Started'!$D23</f>
        <v>0.1</v>
      </c>
      <c r="AP21" s="48">
        <f>'Get Started'!$D23</f>
        <v>0.1</v>
      </c>
      <c r="AQ21" s="48">
        <f>'Get Started'!$D23</f>
        <v>0.1</v>
      </c>
      <c r="AR21" s="48">
        <f>'Get Started'!$D23</f>
        <v>0.1</v>
      </c>
      <c r="AS21" s="48">
        <f>'Get Started'!$D23</f>
        <v>0.1</v>
      </c>
      <c r="AT21" s="48">
        <f>'Get Started'!$D23</f>
        <v>0.1</v>
      </c>
      <c r="AU21" s="48">
        <f>'Get Started'!$D23</f>
        <v>0.1</v>
      </c>
      <c r="AV21" s="48">
        <f>'Get Started'!$D23</f>
        <v>0.1</v>
      </c>
      <c r="AW21" s="48">
        <f>'Get Started'!$D23</f>
        <v>0.1</v>
      </c>
      <c r="AX21" s="48">
        <f>'Get Started'!$D23</f>
        <v>0.1</v>
      </c>
      <c r="AY21" s="48">
        <f>'Get Started'!$D23</f>
        <v>0.1</v>
      </c>
      <c r="AZ21" s="48">
        <f>'Get Started'!$D23</f>
        <v>0.1</v>
      </c>
      <c r="BA21" s="48">
        <f>'Get Started'!$D23</f>
        <v>0.1</v>
      </c>
      <c r="BB21" s="48">
        <f>'Get Started'!$D23</f>
        <v>0.1</v>
      </c>
      <c r="BC21" s="48">
        <f>'Get Started'!$D23</f>
        <v>0.1</v>
      </c>
      <c r="BD21" s="48">
        <f>'Get Started'!$D23</f>
        <v>0.1</v>
      </c>
      <c r="BE21" s="48">
        <f>'Get Started'!$D23</f>
        <v>0.1</v>
      </c>
      <c r="BF21" s="48">
        <f>'Get Started'!$D23</f>
        <v>0.1</v>
      </c>
      <c r="BG21" s="48">
        <f>'Get Started'!$D23</f>
        <v>0.1</v>
      </c>
      <c r="BH21" s="48">
        <f>'Get Started'!$D23</f>
        <v>0.1</v>
      </c>
      <c r="BI21" s="48">
        <f>'Get Started'!$D23</f>
        <v>0.1</v>
      </c>
      <c r="BJ21" s="48">
        <f>'Get Started'!$D23</f>
        <v>0.1</v>
      </c>
      <c r="BK21" s="48">
        <f>'Get Started'!$D23</f>
        <v>0.1</v>
      </c>
      <c r="BL21" s="48">
        <f>'Get Started'!$D23</f>
        <v>0.1</v>
      </c>
      <c r="BM21" s="48">
        <f>'Get Started'!$D23</f>
        <v>0.1</v>
      </c>
      <c r="BN21" s="48">
        <f>'Get Started'!$D23</f>
        <v>0.1</v>
      </c>
      <c r="BO21" s="48">
        <f>'Get Started'!$D23</f>
        <v>0.1</v>
      </c>
    </row>
    <row r="22" spans="1:67" ht="16.5" customHeight="1">
      <c r="A22" s="1"/>
      <c r="B22" s="16" t="str">
        <f>'Get Started'!B24</f>
        <v>Additional Cost of Sales</v>
      </c>
      <c r="C22" s="17" t="s">
        <v>85</v>
      </c>
      <c r="D22" s="16" t="str">
        <f>'Get Started'!F24</f>
        <v>per order, as a % of revenues</v>
      </c>
      <c r="E22" s="16"/>
      <c r="F22" s="16"/>
      <c r="G22" s="16"/>
      <c r="H22" s="16" t="s">
        <v>143</v>
      </c>
      <c r="I22" s="48">
        <f>IF(H22=Forecast!$H$195,T22,IF(H22=Forecast!$H$196,BO22,IF(H22=Forecast!$H$197,SUM(T22:BO22),IF(H22=Forecast!$H$198,AVERAGE(T22:BO22),0))))</f>
        <v>0</v>
      </c>
      <c r="J22" s="16"/>
      <c r="K22" s="16"/>
      <c r="L22" s="16"/>
      <c r="M22" s="16"/>
      <c r="N22" s="16"/>
      <c r="O22" s="16"/>
      <c r="P22" s="16"/>
      <c r="Q22" s="16"/>
      <c r="R22" s="16"/>
      <c r="S22" s="16"/>
      <c r="T22" s="48">
        <f>'Get Started'!$D24</f>
        <v>0</v>
      </c>
      <c r="U22" s="48">
        <f>'Get Started'!$D24</f>
        <v>0</v>
      </c>
      <c r="V22" s="48">
        <f>'Get Started'!$D24</f>
        <v>0</v>
      </c>
      <c r="W22" s="48">
        <f>'Get Started'!$D24</f>
        <v>0</v>
      </c>
      <c r="X22" s="48">
        <f>'Get Started'!$D24</f>
        <v>0</v>
      </c>
      <c r="Y22" s="48">
        <f>'Get Started'!$D24</f>
        <v>0</v>
      </c>
      <c r="Z22" s="48">
        <f>'Get Started'!$D24</f>
        <v>0</v>
      </c>
      <c r="AA22" s="48">
        <f>'Get Started'!$D24</f>
        <v>0</v>
      </c>
      <c r="AB22" s="48">
        <f>'Get Started'!$D24</f>
        <v>0</v>
      </c>
      <c r="AC22" s="48">
        <f>'Get Started'!$D24</f>
        <v>0</v>
      </c>
      <c r="AD22" s="48">
        <f>'Get Started'!$D24</f>
        <v>0</v>
      </c>
      <c r="AE22" s="48">
        <f>'Get Started'!$D24</f>
        <v>0</v>
      </c>
      <c r="AF22" s="48">
        <f>'Get Started'!$D24</f>
        <v>0</v>
      </c>
      <c r="AG22" s="48">
        <f>'Get Started'!$D24</f>
        <v>0</v>
      </c>
      <c r="AH22" s="48">
        <f>'Get Started'!$D24</f>
        <v>0</v>
      </c>
      <c r="AI22" s="48">
        <f>'Get Started'!$D24</f>
        <v>0</v>
      </c>
      <c r="AJ22" s="48">
        <f>'Get Started'!$D24</f>
        <v>0</v>
      </c>
      <c r="AK22" s="48">
        <f>'Get Started'!$D24</f>
        <v>0</v>
      </c>
      <c r="AL22" s="48">
        <f>'Get Started'!$D24</f>
        <v>0</v>
      </c>
      <c r="AM22" s="48">
        <f>'Get Started'!$D24</f>
        <v>0</v>
      </c>
      <c r="AN22" s="48">
        <f>'Get Started'!$D24</f>
        <v>0</v>
      </c>
      <c r="AO22" s="48">
        <f>'Get Started'!$D24</f>
        <v>0</v>
      </c>
      <c r="AP22" s="48">
        <f>'Get Started'!$D24</f>
        <v>0</v>
      </c>
      <c r="AQ22" s="48">
        <f>'Get Started'!$D24</f>
        <v>0</v>
      </c>
      <c r="AR22" s="48">
        <f>'Get Started'!$D24</f>
        <v>0</v>
      </c>
      <c r="AS22" s="48">
        <f>'Get Started'!$D24</f>
        <v>0</v>
      </c>
      <c r="AT22" s="48">
        <f>'Get Started'!$D24</f>
        <v>0</v>
      </c>
      <c r="AU22" s="48">
        <f>'Get Started'!$D24</f>
        <v>0</v>
      </c>
      <c r="AV22" s="48">
        <f>'Get Started'!$D24</f>
        <v>0</v>
      </c>
      <c r="AW22" s="48">
        <f>'Get Started'!$D24</f>
        <v>0</v>
      </c>
      <c r="AX22" s="48">
        <f>'Get Started'!$D24</f>
        <v>0</v>
      </c>
      <c r="AY22" s="48">
        <f>'Get Started'!$D24</f>
        <v>0</v>
      </c>
      <c r="AZ22" s="48">
        <f>'Get Started'!$D24</f>
        <v>0</v>
      </c>
      <c r="BA22" s="48">
        <f>'Get Started'!$D24</f>
        <v>0</v>
      </c>
      <c r="BB22" s="48">
        <f>'Get Started'!$D24</f>
        <v>0</v>
      </c>
      <c r="BC22" s="48">
        <f>'Get Started'!$D24</f>
        <v>0</v>
      </c>
      <c r="BD22" s="48">
        <f>'Get Started'!$D24</f>
        <v>0</v>
      </c>
      <c r="BE22" s="48">
        <f>'Get Started'!$D24</f>
        <v>0</v>
      </c>
      <c r="BF22" s="48">
        <f>'Get Started'!$D24</f>
        <v>0</v>
      </c>
      <c r="BG22" s="48">
        <f>'Get Started'!$D24</f>
        <v>0</v>
      </c>
      <c r="BH22" s="48">
        <f>'Get Started'!$D24</f>
        <v>0</v>
      </c>
      <c r="BI22" s="48">
        <f>'Get Started'!$D24</f>
        <v>0</v>
      </c>
      <c r="BJ22" s="48">
        <f>'Get Started'!$D24</f>
        <v>0</v>
      </c>
      <c r="BK22" s="48">
        <f>'Get Started'!$D24</f>
        <v>0</v>
      </c>
      <c r="BL22" s="48">
        <f>'Get Started'!$D24</f>
        <v>0</v>
      </c>
      <c r="BM22" s="48">
        <f>'Get Started'!$D24</f>
        <v>0</v>
      </c>
      <c r="BN22" s="48">
        <f>'Get Started'!$D24</f>
        <v>0</v>
      </c>
      <c r="BO22" s="48">
        <f>'Get Started'!$D24</f>
        <v>0</v>
      </c>
    </row>
    <row r="23" spans="1:67" ht="16.5" customHeight="1">
      <c r="A23" s="1"/>
      <c r="B23" s="16" t="s">
        <v>146</v>
      </c>
      <c r="C23" s="17" t="s">
        <v>85</v>
      </c>
      <c r="D23" s="16" t="str">
        <f>'Get Started'!F25</f>
        <v>this assumes the growth rate in the first month after growth starts, as defined above</v>
      </c>
      <c r="E23" s="16"/>
      <c r="F23" s="16"/>
      <c r="G23" s="16"/>
      <c r="H23" s="16" t="s">
        <v>143</v>
      </c>
      <c r="I23" s="48">
        <f>IF(H23=Forecast!$H$195,T23,IF(H23=Forecast!$H$196,BO23,IF(H23=Forecast!$H$197,SUM(T23:BO23),IF(H23=Forecast!$H$198,AVERAGE(T23:BO23),0))))</f>
        <v>0</v>
      </c>
      <c r="J23" s="16"/>
      <c r="K23" s="16"/>
      <c r="L23" s="16"/>
      <c r="M23" s="16"/>
      <c r="N23" s="16"/>
      <c r="O23" s="16"/>
      <c r="P23" s="16"/>
      <c r="Q23" s="16"/>
      <c r="R23" s="16"/>
      <c r="S23" s="16"/>
      <c r="T23" s="48">
        <f>'Get Started'!$D25</f>
        <v>0</v>
      </c>
      <c r="U23" s="48">
        <f>'Get Started'!$D25</f>
        <v>0</v>
      </c>
      <c r="V23" s="48">
        <f>'Get Started'!$D25</f>
        <v>0</v>
      </c>
      <c r="W23" s="48">
        <f>'Get Started'!$D25</f>
        <v>0</v>
      </c>
      <c r="X23" s="48">
        <f>'Get Started'!$D25</f>
        <v>0</v>
      </c>
      <c r="Y23" s="48">
        <f>'Get Started'!$D25</f>
        <v>0</v>
      </c>
      <c r="Z23" s="48">
        <f>'Get Started'!$D25</f>
        <v>0</v>
      </c>
      <c r="AA23" s="48">
        <f>'Get Started'!$D25</f>
        <v>0</v>
      </c>
      <c r="AB23" s="48">
        <f>'Get Started'!$D25</f>
        <v>0</v>
      </c>
      <c r="AC23" s="48">
        <f>'Get Started'!$D25</f>
        <v>0</v>
      </c>
      <c r="AD23" s="48">
        <f>'Get Started'!$D25</f>
        <v>0</v>
      </c>
      <c r="AE23" s="48">
        <f>'Get Started'!$D25</f>
        <v>0</v>
      </c>
      <c r="AF23" s="48">
        <f>'Get Started'!$D25</f>
        <v>0</v>
      </c>
      <c r="AG23" s="48">
        <f>'Get Started'!$D25</f>
        <v>0</v>
      </c>
      <c r="AH23" s="48">
        <f>'Get Started'!$D25</f>
        <v>0</v>
      </c>
      <c r="AI23" s="48">
        <f>'Get Started'!$D25</f>
        <v>0</v>
      </c>
      <c r="AJ23" s="48">
        <f>'Get Started'!$D25</f>
        <v>0</v>
      </c>
      <c r="AK23" s="48">
        <f>'Get Started'!$D25</f>
        <v>0</v>
      </c>
      <c r="AL23" s="48">
        <f>'Get Started'!$D25</f>
        <v>0</v>
      </c>
      <c r="AM23" s="48">
        <f>'Get Started'!$D25</f>
        <v>0</v>
      </c>
      <c r="AN23" s="48">
        <f>'Get Started'!$D25</f>
        <v>0</v>
      </c>
      <c r="AO23" s="48">
        <f>'Get Started'!$D25</f>
        <v>0</v>
      </c>
      <c r="AP23" s="48">
        <f>'Get Started'!$D25</f>
        <v>0</v>
      </c>
      <c r="AQ23" s="48">
        <f>'Get Started'!$D25</f>
        <v>0</v>
      </c>
      <c r="AR23" s="48">
        <f>'Get Started'!$D25</f>
        <v>0</v>
      </c>
      <c r="AS23" s="48">
        <f>'Get Started'!$D25</f>
        <v>0</v>
      </c>
      <c r="AT23" s="48">
        <f>'Get Started'!$D25</f>
        <v>0</v>
      </c>
      <c r="AU23" s="48">
        <f>'Get Started'!$D25</f>
        <v>0</v>
      </c>
      <c r="AV23" s="48">
        <f>'Get Started'!$D25</f>
        <v>0</v>
      </c>
      <c r="AW23" s="48">
        <f>'Get Started'!$D25</f>
        <v>0</v>
      </c>
      <c r="AX23" s="48">
        <f>'Get Started'!$D25</f>
        <v>0</v>
      </c>
      <c r="AY23" s="48">
        <f>'Get Started'!$D25</f>
        <v>0</v>
      </c>
      <c r="AZ23" s="48">
        <f>'Get Started'!$D25</f>
        <v>0</v>
      </c>
      <c r="BA23" s="48">
        <f>'Get Started'!$D25</f>
        <v>0</v>
      </c>
      <c r="BB23" s="48">
        <f>'Get Started'!$D25</f>
        <v>0</v>
      </c>
      <c r="BC23" s="48">
        <f>'Get Started'!$D25</f>
        <v>0</v>
      </c>
      <c r="BD23" s="48">
        <f>'Get Started'!$D25</f>
        <v>0</v>
      </c>
      <c r="BE23" s="48">
        <f>'Get Started'!$D25</f>
        <v>0</v>
      </c>
      <c r="BF23" s="48">
        <f>'Get Started'!$D25</f>
        <v>0</v>
      </c>
      <c r="BG23" s="48">
        <f>'Get Started'!$D25</f>
        <v>0</v>
      </c>
      <c r="BH23" s="48">
        <f>'Get Started'!$D25</f>
        <v>0</v>
      </c>
      <c r="BI23" s="48">
        <f>'Get Started'!$D25</f>
        <v>0</v>
      </c>
      <c r="BJ23" s="48">
        <f>'Get Started'!$D25</f>
        <v>0</v>
      </c>
      <c r="BK23" s="48">
        <f>'Get Started'!$D25</f>
        <v>0</v>
      </c>
      <c r="BL23" s="48">
        <f>'Get Started'!$D25</f>
        <v>0</v>
      </c>
      <c r="BM23" s="48">
        <f>'Get Started'!$D25</f>
        <v>0</v>
      </c>
      <c r="BN23" s="48">
        <f>'Get Started'!$D25</f>
        <v>0</v>
      </c>
      <c r="BO23" s="48">
        <f>'Get Started'!$D25</f>
        <v>0</v>
      </c>
    </row>
    <row r="24" spans="1:67" ht="16.5" customHeight="1">
      <c r="A24" s="1"/>
      <c r="B24" s="16" t="s">
        <v>147</v>
      </c>
      <c r="C24" s="17" t="s">
        <v>85</v>
      </c>
      <c r="D24" s="16" t="str">
        <f>'Get Started'!F26</f>
        <v>this changes the growth rate over time: you can assume a growth rate that increases over time, stays the same, or decreases (most common)</v>
      </c>
      <c r="E24" s="16"/>
      <c r="F24" s="16"/>
      <c r="G24" s="16"/>
      <c r="H24" s="16" t="s">
        <v>143</v>
      </c>
      <c r="I24" s="48">
        <f>IF(H24=Forecast!$H$195,T24,IF(H24=Forecast!$H$196,BO24,IF(H24=Forecast!$H$197,SUM(T24:BO24),IF(H24=Forecast!$H$198,AVERAGE(T24:BO24),0))))</f>
        <v>0</v>
      </c>
      <c r="J24" s="16"/>
      <c r="K24" s="16"/>
      <c r="L24" s="16"/>
      <c r="M24" s="16"/>
      <c r="N24" s="16"/>
      <c r="O24" s="16"/>
      <c r="P24" s="16"/>
      <c r="Q24" s="16"/>
      <c r="R24" s="16"/>
      <c r="S24" s="16"/>
      <c r="T24" s="48">
        <f>'Get Started'!$D26</f>
        <v>0</v>
      </c>
      <c r="U24" s="48">
        <f>'Get Started'!$D26</f>
        <v>0</v>
      </c>
      <c r="V24" s="48">
        <f>'Get Started'!$D26</f>
        <v>0</v>
      </c>
      <c r="W24" s="48">
        <f>'Get Started'!$D26</f>
        <v>0</v>
      </c>
      <c r="X24" s="48">
        <f>'Get Started'!$D26</f>
        <v>0</v>
      </c>
      <c r="Y24" s="48">
        <f>'Get Started'!$D26</f>
        <v>0</v>
      </c>
      <c r="Z24" s="48">
        <f>'Get Started'!$D26</f>
        <v>0</v>
      </c>
      <c r="AA24" s="48">
        <f>'Get Started'!$D26</f>
        <v>0</v>
      </c>
      <c r="AB24" s="48">
        <f>'Get Started'!$D26</f>
        <v>0</v>
      </c>
      <c r="AC24" s="48">
        <f>'Get Started'!$D26</f>
        <v>0</v>
      </c>
      <c r="AD24" s="48">
        <f>'Get Started'!$D26</f>
        <v>0</v>
      </c>
      <c r="AE24" s="48">
        <f>'Get Started'!$D26</f>
        <v>0</v>
      </c>
      <c r="AF24" s="48">
        <f>'Get Started'!$D26</f>
        <v>0</v>
      </c>
      <c r="AG24" s="48">
        <f>'Get Started'!$D26</f>
        <v>0</v>
      </c>
      <c r="AH24" s="48">
        <f>'Get Started'!$D26</f>
        <v>0</v>
      </c>
      <c r="AI24" s="48">
        <f>'Get Started'!$D26</f>
        <v>0</v>
      </c>
      <c r="AJ24" s="48">
        <f>'Get Started'!$D26</f>
        <v>0</v>
      </c>
      <c r="AK24" s="48">
        <f>'Get Started'!$D26</f>
        <v>0</v>
      </c>
      <c r="AL24" s="48">
        <f>'Get Started'!$D26</f>
        <v>0</v>
      </c>
      <c r="AM24" s="48">
        <f>'Get Started'!$D26</f>
        <v>0</v>
      </c>
      <c r="AN24" s="48">
        <f>'Get Started'!$D26</f>
        <v>0</v>
      </c>
      <c r="AO24" s="48">
        <f>'Get Started'!$D26</f>
        <v>0</v>
      </c>
      <c r="AP24" s="48">
        <f>'Get Started'!$D26</f>
        <v>0</v>
      </c>
      <c r="AQ24" s="48">
        <f>'Get Started'!$D26</f>
        <v>0</v>
      </c>
      <c r="AR24" s="48">
        <f>'Get Started'!$D26</f>
        <v>0</v>
      </c>
      <c r="AS24" s="48">
        <f>'Get Started'!$D26</f>
        <v>0</v>
      </c>
      <c r="AT24" s="48">
        <f>'Get Started'!$D26</f>
        <v>0</v>
      </c>
      <c r="AU24" s="48">
        <f>'Get Started'!$D26</f>
        <v>0</v>
      </c>
      <c r="AV24" s="48">
        <f>'Get Started'!$D26</f>
        <v>0</v>
      </c>
      <c r="AW24" s="48">
        <f>'Get Started'!$D26</f>
        <v>0</v>
      </c>
      <c r="AX24" s="48">
        <f>'Get Started'!$D26</f>
        <v>0</v>
      </c>
      <c r="AY24" s="48">
        <f>'Get Started'!$D26</f>
        <v>0</v>
      </c>
      <c r="AZ24" s="48">
        <f>'Get Started'!$D26</f>
        <v>0</v>
      </c>
      <c r="BA24" s="48">
        <f>'Get Started'!$D26</f>
        <v>0</v>
      </c>
      <c r="BB24" s="48">
        <f>'Get Started'!$D26</f>
        <v>0</v>
      </c>
      <c r="BC24" s="48">
        <f>'Get Started'!$D26</f>
        <v>0</v>
      </c>
      <c r="BD24" s="48">
        <f>'Get Started'!$D26</f>
        <v>0</v>
      </c>
      <c r="BE24" s="48">
        <f>'Get Started'!$D26</f>
        <v>0</v>
      </c>
      <c r="BF24" s="48">
        <f>'Get Started'!$D26</f>
        <v>0</v>
      </c>
      <c r="BG24" s="48">
        <f>'Get Started'!$D26</f>
        <v>0</v>
      </c>
      <c r="BH24" s="48">
        <f>'Get Started'!$D26</f>
        <v>0</v>
      </c>
      <c r="BI24" s="48">
        <f>'Get Started'!$D26</f>
        <v>0</v>
      </c>
      <c r="BJ24" s="48">
        <f>'Get Started'!$D26</f>
        <v>0</v>
      </c>
      <c r="BK24" s="48">
        <f>'Get Started'!$D26</f>
        <v>0</v>
      </c>
      <c r="BL24" s="48">
        <f>'Get Started'!$D26</f>
        <v>0</v>
      </c>
      <c r="BM24" s="48">
        <f>'Get Started'!$D26</f>
        <v>0</v>
      </c>
      <c r="BN24" s="48">
        <f>'Get Started'!$D26</f>
        <v>0</v>
      </c>
      <c r="BO24" s="48">
        <f>'Get Started'!$D26</f>
        <v>0</v>
      </c>
    </row>
    <row r="25" spans="1:67" ht="16.5" customHeight="1">
      <c r="A25" s="1"/>
      <c r="B25" s="16" t="str">
        <f>'Get Started'!B28</f>
        <v>Shipping Revenue per order</v>
      </c>
      <c r="C25" s="17" t="str">
        <f>'Get Started'!D$7</f>
        <v>$</v>
      </c>
      <c r="D25" s="16" t="str">
        <f>'Get Started'!F28</f>
        <v>revenue earned from charging for shipping to end customer, per order</v>
      </c>
      <c r="E25" s="16"/>
      <c r="F25" s="16"/>
      <c r="G25" s="16"/>
      <c r="H25" s="16" t="s">
        <v>143</v>
      </c>
      <c r="I25" s="46">
        <f>IF(H25=Forecast!$H$195,T25,IF(H25=Forecast!$H$196,BO25,IF(H25=Forecast!$H$197,SUM(T25:BO25),IF(H25=Forecast!$H$198,AVERAGE(T25:BO25),0))))</f>
        <v>0</v>
      </c>
      <c r="J25" s="16"/>
      <c r="K25" s="16"/>
      <c r="L25" s="16"/>
      <c r="M25" s="16"/>
      <c r="N25" s="16"/>
      <c r="O25" s="16"/>
      <c r="P25" s="16"/>
      <c r="Q25" s="16"/>
      <c r="R25" s="16"/>
      <c r="S25" s="16"/>
      <c r="T25" s="47">
        <f>'Get Started'!$D28</f>
        <v>0</v>
      </c>
      <c r="U25" s="47">
        <f>'Get Started'!$D28</f>
        <v>0</v>
      </c>
      <c r="V25" s="47">
        <f>'Get Started'!$D28</f>
        <v>0</v>
      </c>
      <c r="W25" s="47">
        <f>'Get Started'!$D28</f>
        <v>0</v>
      </c>
      <c r="X25" s="47">
        <f>'Get Started'!$D28</f>
        <v>0</v>
      </c>
      <c r="Y25" s="47">
        <f>'Get Started'!$D28</f>
        <v>0</v>
      </c>
      <c r="Z25" s="47">
        <f>'Get Started'!$D28</f>
        <v>0</v>
      </c>
      <c r="AA25" s="47">
        <f>'Get Started'!$D28</f>
        <v>0</v>
      </c>
      <c r="AB25" s="47">
        <f>'Get Started'!$D28</f>
        <v>0</v>
      </c>
      <c r="AC25" s="47">
        <f>'Get Started'!$D28</f>
        <v>0</v>
      </c>
      <c r="AD25" s="47">
        <f>'Get Started'!$D28</f>
        <v>0</v>
      </c>
      <c r="AE25" s="47">
        <f>'Get Started'!$D28</f>
        <v>0</v>
      </c>
      <c r="AF25" s="47">
        <f>'Get Started'!$D28</f>
        <v>0</v>
      </c>
      <c r="AG25" s="47">
        <f>'Get Started'!$D28</f>
        <v>0</v>
      </c>
      <c r="AH25" s="47">
        <f>'Get Started'!$D28</f>
        <v>0</v>
      </c>
      <c r="AI25" s="47">
        <f>'Get Started'!$D28</f>
        <v>0</v>
      </c>
      <c r="AJ25" s="47">
        <f>'Get Started'!$D28</f>
        <v>0</v>
      </c>
      <c r="AK25" s="47">
        <f>'Get Started'!$D28</f>
        <v>0</v>
      </c>
      <c r="AL25" s="47">
        <f>'Get Started'!$D28</f>
        <v>0</v>
      </c>
      <c r="AM25" s="47">
        <f>'Get Started'!$D28</f>
        <v>0</v>
      </c>
      <c r="AN25" s="47">
        <f>'Get Started'!$D28</f>
        <v>0</v>
      </c>
      <c r="AO25" s="47">
        <f>'Get Started'!$D28</f>
        <v>0</v>
      </c>
      <c r="AP25" s="47">
        <f>'Get Started'!$D28</f>
        <v>0</v>
      </c>
      <c r="AQ25" s="47">
        <f>'Get Started'!$D28</f>
        <v>0</v>
      </c>
      <c r="AR25" s="47">
        <f>'Get Started'!$D28</f>
        <v>0</v>
      </c>
      <c r="AS25" s="47">
        <f>'Get Started'!$D28</f>
        <v>0</v>
      </c>
      <c r="AT25" s="47">
        <f>'Get Started'!$D28</f>
        <v>0</v>
      </c>
      <c r="AU25" s="47">
        <f>'Get Started'!$D28</f>
        <v>0</v>
      </c>
      <c r="AV25" s="47">
        <f>'Get Started'!$D28</f>
        <v>0</v>
      </c>
      <c r="AW25" s="47">
        <f>'Get Started'!$D28</f>
        <v>0</v>
      </c>
      <c r="AX25" s="47">
        <f>'Get Started'!$D28</f>
        <v>0</v>
      </c>
      <c r="AY25" s="47">
        <f>'Get Started'!$D28</f>
        <v>0</v>
      </c>
      <c r="AZ25" s="47">
        <f>'Get Started'!$D28</f>
        <v>0</v>
      </c>
      <c r="BA25" s="47">
        <f>'Get Started'!$D28</f>
        <v>0</v>
      </c>
      <c r="BB25" s="47">
        <f>'Get Started'!$D28</f>
        <v>0</v>
      </c>
      <c r="BC25" s="47">
        <f>'Get Started'!$D28</f>
        <v>0</v>
      </c>
      <c r="BD25" s="47">
        <f>'Get Started'!$D28</f>
        <v>0</v>
      </c>
      <c r="BE25" s="47">
        <f>'Get Started'!$D28</f>
        <v>0</v>
      </c>
      <c r="BF25" s="47">
        <f>'Get Started'!$D28</f>
        <v>0</v>
      </c>
      <c r="BG25" s="47">
        <f>'Get Started'!$D28</f>
        <v>0</v>
      </c>
      <c r="BH25" s="47">
        <f>'Get Started'!$D28</f>
        <v>0</v>
      </c>
      <c r="BI25" s="47">
        <f>'Get Started'!$D28</f>
        <v>0</v>
      </c>
      <c r="BJ25" s="47">
        <f>'Get Started'!$D28</f>
        <v>0</v>
      </c>
      <c r="BK25" s="47">
        <f>'Get Started'!$D28</f>
        <v>0</v>
      </c>
      <c r="BL25" s="47">
        <f>'Get Started'!$D28</f>
        <v>0</v>
      </c>
      <c r="BM25" s="47">
        <f>'Get Started'!$D28</f>
        <v>0</v>
      </c>
      <c r="BN25" s="47">
        <f>'Get Started'!$D28</f>
        <v>0</v>
      </c>
      <c r="BO25" s="47">
        <f>'Get Started'!$D28</f>
        <v>0</v>
      </c>
    </row>
    <row r="26" spans="1:67" ht="16.5" customHeight="1">
      <c r="A26" s="1"/>
      <c r="B26" s="16" t="str">
        <f>'Get Started'!B29</f>
        <v>Shipping Cost per order</v>
      </c>
      <c r="C26" s="17" t="str">
        <f>'Get Started'!D$7</f>
        <v>$</v>
      </c>
      <c r="D26" s="16" t="str">
        <f>'Get Started'!F29</f>
        <v>costs for shipping to end customer, per order</v>
      </c>
      <c r="E26" s="16"/>
      <c r="F26" s="16"/>
      <c r="G26" s="16"/>
      <c r="H26" s="16" t="s">
        <v>143</v>
      </c>
      <c r="I26" s="46">
        <f>IF(H26=Forecast!$H$195,T26,IF(H26=Forecast!$H$196,BO26,IF(H26=Forecast!$H$197,SUM(T26:BO26),IF(H26=Forecast!$H$198,AVERAGE(T26:BO26),0))))</f>
        <v>0</v>
      </c>
      <c r="J26" s="16"/>
      <c r="K26" s="16"/>
      <c r="L26" s="16"/>
      <c r="M26" s="16"/>
      <c r="N26" s="16"/>
      <c r="O26" s="16"/>
      <c r="P26" s="16"/>
      <c r="Q26" s="16"/>
      <c r="R26" s="16"/>
      <c r="S26" s="16"/>
      <c r="T26" s="47">
        <f>'Get Started'!$D29</f>
        <v>0</v>
      </c>
      <c r="U26" s="47">
        <f>'Get Started'!$D29</f>
        <v>0</v>
      </c>
      <c r="V26" s="47">
        <f>'Get Started'!$D29</f>
        <v>0</v>
      </c>
      <c r="W26" s="47">
        <f>'Get Started'!$D29</f>
        <v>0</v>
      </c>
      <c r="X26" s="47">
        <f>'Get Started'!$D29</f>
        <v>0</v>
      </c>
      <c r="Y26" s="47">
        <f>'Get Started'!$D29</f>
        <v>0</v>
      </c>
      <c r="Z26" s="47">
        <f>'Get Started'!$D29</f>
        <v>0</v>
      </c>
      <c r="AA26" s="47">
        <f>'Get Started'!$D29</f>
        <v>0</v>
      </c>
      <c r="AB26" s="47">
        <f>'Get Started'!$D29</f>
        <v>0</v>
      </c>
      <c r="AC26" s="47">
        <f>'Get Started'!$D29</f>
        <v>0</v>
      </c>
      <c r="AD26" s="47">
        <f>'Get Started'!$D29</f>
        <v>0</v>
      </c>
      <c r="AE26" s="47">
        <f>'Get Started'!$D29</f>
        <v>0</v>
      </c>
      <c r="AF26" s="47">
        <f>'Get Started'!$D29</f>
        <v>0</v>
      </c>
      <c r="AG26" s="47">
        <f>'Get Started'!$D29</f>
        <v>0</v>
      </c>
      <c r="AH26" s="47">
        <f>'Get Started'!$D29</f>
        <v>0</v>
      </c>
      <c r="AI26" s="47">
        <f>'Get Started'!$D29</f>
        <v>0</v>
      </c>
      <c r="AJ26" s="47">
        <f>'Get Started'!$D29</f>
        <v>0</v>
      </c>
      <c r="AK26" s="47">
        <f>'Get Started'!$D29</f>
        <v>0</v>
      </c>
      <c r="AL26" s="47">
        <f>'Get Started'!$D29</f>
        <v>0</v>
      </c>
      <c r="AM26" s="47">
        <f>'Get Started'!$D29</f>
        <v>0</v>
      </c>
      <c r="AN26" s="47">
        <f>'Get Started'!$D29</f>
        <v>0</v>
      </c>
      <c r="AO26" s="47">
        <f>'Get Started'!$D29</f>
        <v>0</v>
      </c>
      <c r="AP26" s="47">
        <f>'Get Started'!$D29</f>
        <v>0</v>
      </c>
      <c r="AQ26" s="47">
        <f>'Get Started'!$D29</f>
        <v>0</v>
      </c>
      <c r="AR26" s="47">
        <f>'Get Started'!$D29</f>
        <v>0</v>
      </c>
      <c r="AS26" s="47">
        <f>'Get Started'!$D29</f>
        <v>0</v>
      </c>
      <c r="AT26" s="47">
        <f>'Get Started'!$D29</f>
        <v>0</v>
      </c>
      <c r="AU26" s="47">
        <f>'Get Started'!$D29</f>
        <v>0</v>
      </c>
      <c r="AV26" s="47">
        <f>'Get Started'!$D29</f>
        <v>0</v>
      </c>
      <c r="AW26" s="47">
        <f>'Get Started'!$D29</f>
        <v>0</v>
      </c>
      <c r="AX26" s="47">
        <f>'Get Started'!$D29</f>
        <v>0</v>
      </c>
      <c r="AY26" s="47">
        <f>'Get Started'!$D29</f>
        <v>0</v>
      </c>
      <c r="AZ26" s="47">
        <f>'Get Started'!$D29</f>
        <v>0</v>
      </c>
      <c r="BA26" s="47">
        <f>'Get Started'!$D29</f>
        <v>0</v>
      </c>
      <c r="BB26" s="47">
        <f>'Get Started'!$D29</f>
        <v>0</v>
      </c>
      <c r="BC26" s="47">
        <f>'Get Started'!$D29</f>
        <v>0</v>
      </c>
      <c r="BD26" s="47">
        <f>'Get Started'!$D29</f>
        <v>0</v>
      </c>
      <c r="BE26" s="47">
        <f>'Get Started'!$D29</f>
        <v>0</v>
      </c>
      <c r="BF26" s="47">
        <f>'Get Started'!$D29</f>
        <v>0</v>
      </c>
      <c r="BG26" s="47">
        <f>'Get Started'!$D29</f>
        <v>0</v>
      </c>
      <c r="BH26" s="47">
        <f>'Get Started'!$D29</f>
        <v>0</v>
      </c>
      <c r="BI26" s="47">
        <f>'Get Started'!$D29</f>
        <v>0</v>
      </c>
      <c r="BJ26" s="47">
        <f>'Get Started'!$D29</f>
        <v>0</v>
      </c>
      <c r="BK26" s="47">
        <f>'Get Started'!$D29</f>
        <v>0</v>
      </c>
      <c r="BL26" s="47">
        <f>'Get Started'!$D29</f>
        <v>0</v>
      </c>
      <c r="BM26" s="47">
        <f>'Get Started'!$D29</f>
        <v>0</v>
      </c>
      <c r="BN26" s="47">
        <f>'Get Started'!$D29</f>
        <v>0</v>
      </c>
      <c r="BO26" s="47">
        <f>'Get Started'!$D29</f>
        <v>0</v>
      </c>
    </row>
    <row r="27" spans="1:67" ht="16.5" customHeight="1">
      <c r="A27" s="1"/>
      <c r="B27" s="16" t="str">
        <f>'Get Started'!B31</f>
        <v>Customer Acquisition Cost (CAC), new customer</v>
      </c>
      <c r="C27" s="17" t="str">
        <f>'Get Started'!D$7</f>
        <v>$</v>
      </c>
      <c r="D27" s="16" t="str">
        <f>'Get Started'!F31</f>
        <v>Customer acquisition cost, per new order</v>
      </c>
      <c r="E27" s="16"/>
      <c r="F27" s="16"/>
      <c r="G27" s="16"/>
      <c r="H27" s="16" t="s">
        <v>143</v>
      </c>
      <c r="I27" s="46">
        <f>IF(H27=Forecast!$H$195,T27,IF(H27=Forecast!$H$196,BO27,IF(H27=Forecast!$H$197,SUM(T27:BO27),IF(H27=Forecast!$H$198,AVERAGE(T27:BO27),0))))</f>
        <v>30</v>
      </c>
      <c r="J27" s="16"/>
      <c r="K27" s="16"/>
      <c r="L27" s="16"/>
      <c r="M27" s="16"/>
      <c r="N27" s="16"/>
      <c r="O27" s="16"/>
      <c r="P27" s="16"/>
      <c r="Q27" s="16"/>
      <c r="R27" s="16"/>
      <c r="S27" s="16"/>
      <c r="T27" s="47">
        <f>'Get Started'!$D31</f>
        <v>30</v>
      </c>
      <c r="U27" s="47">
        <f>'Get Started'!$D31</f>
        <v>30</v>
      </c>
      <c r="V27" s="47">
        <f>'Get Started'!$D31</f>
        <v>30</v>
      </c>
      <c r="W27" s="47">
        <f>'Get Started'!$D31</f>
        <v>30</v>
      </c>
      <c r="X27" s="47">
        <f>'Get Started'!$D31</f>
        <v>30</v>
      </c>
      <c r="Y27" s="47">
        <f>'Get Started'!$D31</f>
        <v>30</v>
      </c>
      <c r="Z27" s="47">
        <f>'Get Started'!$D31</f>
        <v>30</v>
      </c>
      <c r="AA27" s="47">
        <f>'Get Started'!$D31</f>
        <v>30</v>
      </c>
      <c r="AB27" s="47">
        <f>'Get Started'!$D31</f>
        <v>30</v>
      </c>
      <c r="AC27" s="47">
        <f>'Get Started'!$D31</f>
        <v>30</v>
      </c>
      <c r="AD27" s="47">
        <f>'Get Started'!$D31</f>
        <v>30</v>
      </c>
      <c r="AE27" s="47">
        <f>'Get Started'!$D31</f>
        <v>30</v>
      </c>
      <c r="AF27" s="47">
        <f>'Get Started'!$D31</f>
        <v>30</v>
      </c>
      <c r="AG27" s="47">
        <f>'Get Started'!$D31</f>
        <v>30</v>
      </c>
      <c r="AH27" s="47">
        <f>'Get Started'!$D31</f>
        <v>30</v>
      </c>
      <c r="AI27" s="47">
        <f>'Get Started'!$D31</f>
        <v>30</v>
      </c>
      <c r="AJ27" s="47">
        <f>'Get Started'!$D31</f>
        <v>30</v>
      </c>
      <c r="AK27" s="47">
        <f>'Get Started'!$D31</f>
        <v>30</v>
      </c>
      <c r="AL27" s="47">
        <f>'Get Started'!$D31</f>
        <v>30</v>
      </c>
      <c r="AM27" s="47">
        <f>'Get Started'!$D31</f>
        <v>30</v>
      </c>
      <c r="AN27" s="47">
        <f>'Get Started'!$D31</f>
        <v>30</v>
      </c>
      <c r="AO27" s="47">
        <f>'Get Started'!$D31</f>
        <v>30</v>
      </c>
      <c r="AP27" s="47">
        <f>'Get Started'!$D31</f>
        <v>30</v>
      </c>
      <c r="AQ27" s="47">
        <f>'Get Started'!$D31</f>
        <v>30</v>
      </c>
      <c r="AR27" s="47">
        <f>'Get Started'!$D31</f>
        <v>30</v>
      </c>
      <c r="AS27" s="47">
        <f>'Get Started'!$D31</f>
        <v>30</v>
      </c>
      <c r="AT27" s="47">
        <f>'Get Started'!$D31</f>
        <v>30</v>
      </c>
      <c r="AU27" s="47">
        <f>'Get Started'!$D31</f>
        <v>30</v>
      </c>
      <c r="AV27" s="47">
        <f>'Get Started'!$D31</f>
        <v>30</v>
      </c>
      <c r="AW27" s="47">
        <f>'Get Started'!$D31</f>
        <v>30</v>
      </c>
      <c r="AX27" s="47">
        <f>'Get Started'!$D31</f>
        <v>30</v>
      </c>
      <c r="AY27" s="47">
        <f>'Get Started'!$D31</f>
        <v>30</v>
      </c>
      <c r="AZ27" s="47">
        <f>'Get Started'!$D31</f>
        <v>30</v>
      </c>
      <c r="BA27" s="47">
        <f>'Get Started'!$D31</f>
        <v>30</v>
      </c>
      <c r="BB27" s="47">
        <f>'Get Started'!$D31</f>
        <v>30</v>
      </c>
      <c r="BC27" s="47">
        <f>'Get Started'!$D31</f>
        <v>30</v>
      </c>
      <c r="BD27" s="47">
        <f>'Get Started'!$D31</f>
        <v>30</v>
      </c>
      <c r="BE27" s="47">
        <f>'Get Started'!$D31</f>
        <v>30</v>
      </c>
      <c r="BF27" s="47">
        <f>'Get Started'!$D31</f>
        <v>30</v>
      </c>
      <c r="BG27" s="47">
        <f>'Get Started'!$D31</f>
        <v>30</v>
      </c>
      <c r="BH27" s="47">
        <f>'Get Started'!$D31</f>
        <v>30</v>
      </c>
      <c r="BI27" s="47">
        <f>'Get Started'!$D31</f>
        <v>30</v>
      </c>
      <c r="BJ27" s="47">
        <f>'Get Started'!$D31</f>
        <v>30</v>
      </c>
      <c r="BK27" s="47">
        <f>'Get Started'!$D31</f>
        <v>30</v>
      </c>
      <c r="BL27" s="47">
        <f>'Get Started'!$D31</f>
        <v>30</v>
      </c>
      <c r="BM27" s="47">
        <f>'Get Started'!$D31</f>
        <v>30</v>
      </c>
      <c r="BN27" s="47">
        <f>'Get Started'!$D31</f>
        <v>30</v>
      </c>
      <c r="BO27" s="47">
        <f>'Get Started'!$D31</f>
        <v>30</v>
      </c>
    </row>
    <row r="28" spans="1:67" ht="16.5" customHeight="1">
      <c r="A28" s="1"/>
      <c r="B28" s="16" t="str">
        <f>'Get Started'!B32</f>
        <v>Customer Acquisition Cost (CAC), repeat customer</v>
      </c>
      <c r="C28" s="17" t="str">
        <f>'Get Started'!D$7</f>
        <v>$</v>
      </c>
      <c r="D28" s="16" t="str">
        <f>'Get Started'!F32</f>
        <v>retention cost per subscriber, per renew cycle. Intention is to include cost to market to existing subscribers to increase retention</v>
      </c>
      <c r="E28" s="16"/>
      <c r="F28" s="16"/>
      <c r="G28" s="16"/>
      <c r="H28" s="16" t="s">
        <v>143</v>
      </c>
      <c r="I28" s="46">
        <f>IF(H28=Forecast!$H$195,T28,IF(H28=Forecast!$H$196,BO28,IF(H28=Forecast!$H$197,SUM(T28:BO28),IF(H28=Forecast!$H$198,AVERAGE(T28:BO28),0))))</f>
        <v>10</v>
      </c>
      <c r="J28" s="16"/>
      <c r="K28" s="16"/>
      <c r="L28" s="16"/>
      <c r="M28" s="16"/>
      <c r="N28" s="16"/>
      <c r="O28" s="16"/>
      <c r="P28" s="16"/>
      <c r="Q28" s="16"/>
      <c r="R28" s="16"/>
      <c r="S28" s="16"/>
      <c r="T28" s="47">
        <f>'Get Started'!$D32</f>
        <v>10</v>
      </c>
      <c r="U28" s="47">
        <f>'Get Started'!$D32</f>
        <v>10</v>
      </c>
      <c r="V28" s="47">
        <f>'Get Started'!$D32</f>
        <v>10</v>
      </c>
      <c r="W28" s="47">
        <f>'Get Started'!$D32</f>
        <v>10</v>
      </c>
      <c r="X28" s="47">
        <f>'Get Started'!$D32</f>
        <v>10</v>
      </c>
      <c r="Y28" s="47">
        <f>'Get Started'!$D32</f>
        <v>10</v>
      </c>
      <c r="Z28" s="47">
        <f>'Get Started'!$D32</f>
        <v>10</v>
      </c>
      <c r="AA28" s="47">
        <f>'Get Started'!$D32</f>
        <v>10</v>
      </c>
      <c r="AB28" s="47">
        <f>'Get Started'!$D32</f>
        <v>10</v>
      </c>
      <c r="AC28" s="47">
        <f>'Get Started'!$D32</f>
        <v>10</v>
      </c>
      <c r="AD28" s="47">
        <f>'Get Started'!$D32</f>
        <v>10</v>
      </c>
      <c r="AE28" s="47">
        <f>'Get Started'!$D32</f>
        <v>10</v>
      </c>
      <c r="AF28" s="47">
        <f>'Get Started'!$D32</f>
        <v>10</v>
      </c>
      <c r="AG28" s="47">
        <f>'Get Started'!$D32</f>
        <v>10</v>
      </c>
      <c r="AH28" s="47">
        <f>'Get Started'!$D32</f>
        <v>10</v>
      </c>
      <c r="AI28" s="47">
        <f>'Get Started'!$D32</f>
        <v>10</v>
      </c>
      <c r="AJ28" s="47">
        <f>'Get Started'!$D32</f>
        <v>10</v>
      </c>
      <c r="AK28" s="47">
        <f>'Get Started'!$D32</f>
        <v>10</v>
      </c>
      <c r="AL28" s="47">
        <f>'Get Started'!$D32</f>
        <v>10</v>
      </c>
      <c r="AM28" s="47">
        <f>'Get Started'!$D32</f>
        <v>10</v>
      </c>
      <c r="AN28" s="47">
        <f>'Get Started'!$D32</f>
        <v>10</v>
      </c>
      <c r="AO28" s="47">
        <f>'Get Started'!$D32</f>
        <v>10</v>
      </c>
      <c r="AP28" s="47">
        <f>'Get Started'!$D32</f>
        <v>10</v>
      </c>
      <c r="AQ28" s="47">
        <f>'Get Started'!$D32</f>
        <v>10</v>
      </c>
      <c r="AR28" s="47">
        <f>'Get Started'!$D32</f>
        <v>10</v>
      </c>
      <c r="AS28" s="47">
        <f>'Get Started'!$D32</f>
        <v>10</v>
      </c>
      <c r="AT28" s="47">
        <f>'Get Started'!$D32</f>
        <v>10</v>
      </c>
      <c r="AU28" s="47">
        <f>'Get Started'!$D32</f>
        <v>10</v>
      </c>
      <c r="AV28" s="47">
        <f>'Get Started'!$D32</f>
        <v>10</v>
      </c>
      <c r="AW28" s="47">
        <f>'Get Started'!$D32</f>
        <v>10</v>
      </c>
      <c r="AX28" s="47">
        <f>'Get Started'!$D32</f>
        <v>10</v>
      </c>
      <c r="AY28" s="47">
        <f>'Get Started'!$D32</f>
        <v>10</v>
      </c>
      <c r="AZ28" s="47">
        <f>'Get Started'!$D32</f>
        <v>10</v>
      </c>
      <c r="BA28" s="47">
        <f>'Get Started'!$D32</f>
        <v>10</v>
      </c>
      <c r="BB28" s="47">
        <f>'Get Started'!$D32</f>
        <v>10</v>
      </c>
      <c r="BC28" s="47">
        <f>'Get Started'!$D32</f>
        <v>10</v>
      </c>
      <c r="BD28" s="47">
        <f>'Get Started'!$D32</f>
        <v>10</v>
      </c>
      <c r="BE28" s="47">
        <f>'Get Started'!$D32</f>
        <v>10</v>
      </c>
      <c r="BF28" s="47">
        <f>'Get Started'!$D32</f>
        <v>10</v>
      </c>
      <c r="BG28" s="47">
        <f>'Get Started'!$D32</f>
        <v>10</v>
      </c>
      <c r="BH28" s="47">
        <f>'Get Started'!$D32</f>
        <v>10</v>
      </c>
      <c r="BI28" s="47">
        <f>'Get Started'!$D32</f>
        <v>10</v>
      </c>
      <c r="BJ28" s="47">
        <f>'Get Started'!$D32</f>
        <v>10</v>
      </c>
      <c r="BK28" s="47">
        <f>'Get Started'!$D32</f>
        <v>10</v>
      </c>
      <c r="BL28" s="47">
        <f>'Get Started'!$D32</f>
        <v>10</v>
      </c>
      <c r="BM28" s="47">
        <f>'Get Started'!$D32</f>
        <v>10</v>
      </c>
      <c r="BN28" s="47">
        <f>'Get Started'!$D32</f>
        <v>10</v>
      </c>
      <c r="BO28" s="47">
        <f>'Get Started'!$D32</f>
        <v>10</v>
      </c>
    </row>
    <row r="29" spans="1:67" ht="16.5" customHeight="1">
      <c r="A29" s="1"/>
      <c r="B29" s="16" t="s">
        <v>148</v>
      </c>
      <c r="C29" s="17" t="s">
        <v>85</v>
      </c>
      <c r="D29" s="16" t="str">
        <f>'Get Started'!F33</f>
        <v>this assumes the rate in the first month after starts, as defined above</v>
      </c>
      <c r="E29" s="16"/>
      <c r="F29" s="16"/>
      <c r="G29" s="16"/>
      <c r="H29" s="16" t="s">
        <v>143</v>
      </c>
      <c r="I29" s="48">
        <f>IF(H29=Forecast!$H$195,T29,IF(H29=Forecast!$H$196,BO29,IF(H29=Forecast!$H$197,SUM(T29:BO29),IF(H29=Forecast!$H$198,AVERAGE(T29:BO29),0))))</f>
        <v>0</v>
      </c>
      <c r="J29" s="16"/>
      <c r="K29" s="16"/>
      <c r="L29" s="16"/>
      <c r="M29" s="16"/>
      <c r="N29" s="16"/>
      <c r="O29" s="16"/>
      <c r="P29" s="16"/>
      <c r="Q29" s="16"/>
      <c r="R29" s="16"/>
      <c r="S29" s="16"/>
      <c r="T29" s="48">
        <f>'Get Started'!$D33</f>
        <v>0</v>
      </c>
      <c r="U29" s="48">
        <f>'Get Started'!$D33</f>
        <v>0</v>
      </c>
      <c r="V29" s="48">
        <f>'Get Started'!$D33</f>
        <v>0</v>
      </c>
      <c r="W29" s="48">
        <f>'Get Started'!$D33</f>
        <v>0</v>
      </c>
      <c r="X29" s="48">
        <f>'Get Started'!$D33</f>
        <v>0</v>
      </c>
      <c r="Y29" s="48">
        <f>'Get Started'!$D33</f>
        <v>0</v>
      </c>
      <c r="Z29" s="48">
        <f>'Get Started'!$D33</f>
        <v>0</v>
      </c>
      <c r="AA29" s="48">
        <f>'Get Started'!$D33</f>
        <v>0</v>
      </c>
      <c r="AB29" s="48">
        <f>'Get Started'!$D33</f>
        <v>0</v>
      </c>
      <c r="AC29" s="48">
        <f>'Get Started'!$D33</f>
        <v>0</v>
      </c>
      <c r="AD29" s="48">
        <f>'Get Started'!$D33</f>
        <v>0</v>
      </c>
      <c r="AE29" s="48">
        <f>'Get Started'!$D33</f>
        <v>0</v>
      </c>
      <c r="AF29" s="48">
        <f>'Get Started'!$D33</f>
        <v>0</v>
      </c>
      <c r="AG29" s="48">
        <f>'Get Started'!$D33</f>
        <v>0</v>
      </c>
      <c r="AH29" s="48">
        <f>'Get Started'!$D33</f>
        <v>0</v>
      </c>
      <c r="AI29" s="48">
        <f>'Get Started'!$D33</f>
        <v>0</v>
      </c>
      <c r="AJ29" s="48">
        <f>'Get Started'!$D33</f>
        <v>0</v>
      </c>
      <c r="AK29" s="48">
        <f>'Get Started'!$D33</f>
        <v>0</v>
      </c>
      <c r="AL29" s="48">
        <f>'Get Started'!$D33</f>
        <v>0</v>
      </c>
      <c r="AM29" s="48">
        <f>'Get Started'!$D33</f>
        <v>0</v>
      </c>
      <c r="AN29" s="48">
        <f>'Get Started'!$D33</f>
        <v>0</v>
      </c>
      <c r="AO29" s="48">
        <f>'Get Started'!$D33</f>
        <v>0</v>
      </c>
      <c r="AP29" s="48">
        <f>'Get Started'!$D33</f>
        <v>0</v>
      </c>
      <c r="AQ29" s="48">
        <f>'Get Started'!$D33</f>
        <v>0</v>
      </c>
      <c r="AR29" s="48">
        <f>'Get Started'!$D33</f>
        <v>0</v>
      </c>
      <c r="AS29" s="48">
        <f>'Get Started'!$D33</f>
        <v>0</v>
      </c>
      <c r="AT29" s="48">
        <f>'Get Started'!$D33</f>
        <v>0</v>
      </c>
      <c r="AU29" s="48">
        <f>'Get Started'!$D33</f>
        <v>0</v>
      </c>
      <c r="AV29" s="48">
        <f>'Get Started'!$D33</f>
        <v>0</v>
      </c>
      <c r="AW29" s="48">
        <f>'Get Started'!$D33</f>
        <v>0</v>
      </c>
      <c r="AX29" s="48">
        <f>'Get Started'!$D33</f>
        <v>0</v>
      </c>
      <c r="AY29" s="48">
        <f>'Get Started'!$D33</f>
        <v>0</v>
      </c>
      <c r="AZ29" s="48">
        <f>'Get Started'!$D33</f>
        <v>0</v>
      </c>
      <c r="BA29" s="48">
        <f>'Get Started'!$D33</f>
        <v>0</v>
      </c>
      <c r="BB29" s="48">
        <f>'Get Started'!$D33</f>
        <v>0</v>
      </c>
      <c r="BC29" s="48">
        <f>'Get Started'!$D33</f>
        <v>0</v>
      </c>
      <c r="BD29" s="48">
        <f>'Get Started'!$D33</f>
        <v>0</v>
      </c>
      <c r="BE29" s="48">
        <f>'Get Started'!$D33</f>
        <v>0</v>
      </c>
      <c r="BF29" s="48">
        <f>'Get Started'!$D33</f>
        <v>0</v>
      </c>
      <c r="BG29" s="48">
        <f>'Get Started'!$D33</f>
        <v>0</v>
      </c>
      <c r="BH29" s="48">
        <f>'Get Started'!$D33</f>
        <v>0</v>
      </c>
      <c r="BI29" s="48">
        <f>'Get Started'!$D33</f>
        <v>0</v>
      </c>
      <c r="BJ29" s="48">
        <f>'Get Started'!$D33</f>
        <v>0</v>
      </c>
      <c r="BK29" s="48">
        <f>'Get Started'!$D33</f>
        <v>0</v>
      </c>
      <c r="BL29" s="48">
        <f>'Get Started'!$D33</f>
        <v>0</v>
      </c>
      <c r="BM29" s="48">
        <f>'Get Started'!$D33</f>
        <v>0</v>
      </c>
      <c r="BN29" s="48">
        <f>'Get Started'!$D33</f>
        <v>0</v>
      </c>
      <c r="BO29" s="48">
        <f>'Get Started'!$D33</f>
        <v>0</v>
      </c>
    </row>
    <row r="30" spans="1:67" ht="16.5" customHeight="1">
      <c r="A30" s="1"/>
      <c r="B30" s="16" t="s">
        <v>149</v>
      </c>
      <c r="C30" s="17" t="s">
        <v>85</v>
      </c>
      <c r="D30" s="16" t="str">
        <f>'Get Started'!F34</f>
        <v>this changes the rate over time: you can assume a rate that increases over time, stays the same, or decreases (most common)</v>
      </c>
      <c r="E30" s="16"/>
      <c r="F30" s="16"/>
      <c r="G30" s="16"/>
      <c r="H30" s="16" t="s">
        <v>143</v>
      </c>
      <c r="I30" s="48">
        <f>IF(H30=Forecast!$H$195,T30,IF(H30=Forecast!$H$196,BO30,IF(H30=Forecast!$H$197,SUM(T30:BO30),IF(H30=Forecast!$H$198,AVERAGE(T30:BO30),0))))</f>
        <v>0</v>
      </c>
      <c r="J30" s="16"/>
      <c r="K30" s="16"/>
      <c r="L30" s="16"/>
      <c r="M30" s="16"/>
      <c r="N30" s="16"/>
      <c r="O30" s="16"/>
      <c r="P30" s="16"/>
      <c r="Q30" s="16"/>
      <c r="R30" s="16"/>
      <c r="S30" s="16"/>
      <c r="T30" s="48">
        <f>'Get Started'!$D34</f>
        <v>0</v>
      </c>
      <c r="U30" s="48">
        <f>'Get Started'!$D34</f>
        <v>0</v>
      </c>
      <c r="V30" s="48">
        <f>'Get Started'!$D34</f>
        <v>0</v>
      </c>
      <c r="W30" s="48">
        <f>'Get Started'!$D34</f>
        <v>0</v>
      </c>
      <c r="X30" s="48">
        <f>'Get Started'!$D34</f>
        <v>0</v>
      </c>
      <c r="Y30" s="48">
        <f>'Get Started'!$D34</f>
        <v>0</v>
      </c>
      <c r="Z30" s="48">
        <f>'Get Started'!$D34</f>
        <v>0</v>
      </c>
      <c r="AA30" s="48">
        <f>'Get Started'!$D34</f>
        <v>0</v>
      </c>
      <c r="AB30" s="48">
        <f>'Get Started'!$D34</f>
        <v>0</v>
      </c>
      <c r="AC30" s="48">
        <f>'Get Started'!$D34</f>
        <v>0</v>
      </c>
      <c r="AD30" s="48">
        <f>'Get Started'!$D34</f>
        <v>0</v>
      </c>
      <c r="AE30" s="48">
        <f>'Get Started'!$D34</f>
        <v>0</v>
      </c>
      <c r="AF30" s="48">
        <f>'Get Started'!$D34</f>
        <v>0</v>
      </c>
      <c r="AG30" s="48">
        <f>'Get Started'!$D34</f>
        <v>0</v>
      </c>
      <c r="AH30" s="48">
        <f>'Get Started'!$D34</f>
        <v>0</v>
      </c>
      <c r="AI30" s="48">
        <f>'Get Started'!$D34</f>
        <v>0</v>
      </c>
      <c r="AJ30" s="48">
        <f>'Get Started'!$D34</f>
        <v>0</v>
      </c>
      <c r="AK30" s="48">
        <f>'Get Started'!$D34</f>
        <v>0</v>
      </c>
      <c r="AL30" s="48">
        <f>'Get Started'!$D34</f>
        <v>0</v>
      </c>
      <c r="AM30" s="48">
        <f>'Get Started'!$D34</f>
        <v>0</v>
      </c>
      <c r="AN30" s="48">
        <f>'Get Started'!$D34</f>
        <v>0</v>
      </c>
      <c r="AO30" s="48">
        <f>'Get Started'!$D34</f>
        <v>0</v>
      </c>
      <c r="AP30" s="48">
        <f>'Get Started'!$D34</f>
        <v>0</v>
      </c>
      <c r="AQ30" s="48">
        <f>'Get Started'!$D34</f>
        <v>0</v>
      </c>
      <c r="AR30" s="48">
        <f>'Get Started'!$D34</f>
        <v>0</v>
      </c>
      <c r="AS30" s="48">
        <f>'Get Started'!$D34</f>
        <v>0</v>
      </c>
      <c r="AT30" s="48">
        <f>'Get Started'!$D34</f>
        <v>0</v>
      </c>
      <c r="AU30" s="48">
        <f>'Get Started'!$D34</f>
        <v>0</v>
      </c>
      <c r="AV30" s="48">
        <f>'Get Started'!$D34</f>
        <v>0</v>
      </c>
      <c r="AW30" s="48">
        <f>'Get Started'!$D34</f>
        <v>0</v>
      </c>
      <c r="AX30" s="48">
        <f>'Get Started'!$D34</f>
        <v>0</v>
      </c>
      <c r="AY30" s="48">
        <f>'Get Started'!$D34</f>
        <v>0</v>
      </c>
      <c r="AZ30" s="48">
        <f>'Get Started'!$D34</f>
        <v>0</v>
      </c>
      <c r="BA30" s="48">
        <f>'Get Started'!$D34</f>
        <v>0</v>
      </c>
      <c r="BB30" s="48">
        <f>'Get Started'!$D34</f>
        <v>0</v>
      </c>
      <c r="BC30" s="48">
        <f>'Get Started'!$D34</f>
        <v>0</v>
      </c>
      <c r="BD30" s="48">
        <f>'Get Started'!$D34</f>
        <v>0</v>
      </c>
      <c r="BE30" s="48">
        <f>'Get Started'!$D34</f>
        <v>0</v>
      </c>
      <c r="BF30" s="48">
        <f>'Get Started'!$D34</f>
        <v>0</v>
      </c>
      <c r="BG30" s="48">
        <f>'Get Started'!$D34</f>
        <v>0</v>
      </c>
      <c r="BH30" s="48">
        <f>'Get Started'!$D34</f>
        <v>0</v>
      </c>
      <c r="BI30" s="48">
        <f>'Get Started'!$D34</f>
        <v>0</v>
      </c>
      <c r="BJ30" s="48">
        <f>'Get Started'!$D34</f>
        <v>0</v>
      </c>
      <c r="BK30" s="48">
        <f>'Get Started'!$D34</f>
        <v>0</v>
      </c>
      <c r="BL30" s="48">
        <f>'Get Started'!$D34</f>
        <v>0</v>
      </c>
      <c r="BM30" s="48">
        <f>'Get Started'!$D34</f>
        <v>0</v>
      </c>
      <c r="BN30" s="48">
        <f>'Get Started'!$D34</f>
        <v>0</v>
      </c>
      <c r="BO30" s="48">
        <f>'Get Started'!$D34</f>
        <v>0</v>
      </c>
    </row>
    <row r="31" spans="1:67" ht="16.5" customHeight="1">
      <c r="A31" s="1"/>
      <c r="B31" s="16"/>
      <c r="C31" s="17"/>
      <c r="D31" s="16"/>
      <c r="E31" s="16"/>
      <c r="F31" s="16"/>
      <c r="G31" s="16"/>
      <c r="H31" s="16"/>
      <c r="I31" s="16"/>
      <c r="J31" s="16"/>
      <c r="K31" s="16"/>
      <c r="L31" s="16"/>
      <c r="M31" s="16"/>
      <c r="N31" s="16"/>
      <c r="O31" s="16"/>
      <c r="P31" s="16"/>
      <c r="Q31" s="16"/>
      <c r="R31" s="16"/>
      <c r="S31" s="16"/>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row>
    <row r="32" spans="1:67" ht="16.5" customHeight="1">
      <c r="A32" s="1"/>
      <c r="B32" s="22" t="s">
        <v>100</v>
      </c>
      <c r="C32" s="17"/>
      <c r="D32" s="16"/>
      <c r="E32" s="16"/>
      <c r="F32" s="16"/>
      <c r="G32" s="16"/>
      <c r="H32" s="16"/>
      <c r="I32" s="16"/>
      <c r="J32" s="16"/>
      <c r="K32" s="16"/>
      <c r="L32" s="16"/>
      <c r="M32" s="16"/>
      <c r="N32" s="16"/>
      <c r="O32" s="16"/>
      <c r="P32" s="16"/>
      <c r="Q32" s="16"/>
      <c r="R32" s="16"/>
      <c r="S32" s="16"/>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row>
    <row r="33" spans="1:67" ht="16.5" customHeight="1">
      <c r="A33" s="1"/>
      <c r="B33" s="16" t="str">
        <f>'Get Started'!B37</f>
        <v>Date to start growth and revenues</v>
      </c>
      <c r="C33" s="17" t="s">
        <v>104</v>
      </c>
      <c r="D33" s="16" t="str">
        <f>'Get Started'!F37</f>
        <v>date to start growth of revenues, used on Forecast sheet in Growth section</v>
      </c>
      <c r="E33" s="16"/>
      <c r="F33" s="16"/>
      <c r="G33" s="16"/>
      <c r="H33" s="16" t="s">
        <v>150</v>
      </c>
      <c r="I33" s="49">
        <f>IF(H33=Forecast!$H$195,T33,IF(H33=Forecast!$H$196,BO33,IF(H33=Forecast!$H$197,SUM(T33:BO33),IF(H33=Forecast!$H$198,AVERAGE(T33:BO33),0))))</f>
        <v>45658</v>
      </c>
      <c r="J33" s="16"/>
      <c r="K33" s="16"/>
      <c r="L33" s="16"/>
      <c r="M33" s="16"/>
      <c r="N33" s="16"/>
      <c r="O33" s="16"/>
      <c r="P33" s="16"/>
      <c r="Q33" s="16"/>
      <c r="R33" s="16"/>
      <c r="S33" s="16"/>
      <c r="T33" s="49">
        <f>'Get Started'!$D37</f>
        <v>45658</v>
      </c>
      <c r="U33" s="49">
        <f>'Get Started'!$D37</f>
        <v>45658</v>
      </c>
      <c r="V33" s="49">
        <f>'Get Started'!$D37</f>
        <v>45658</v>
      </c>
      <c r="W33" s="49">
        <f>'Get Started'!$D37</f>
        <v>45658</v>
      </c>
      <c r="X33" s="49">
        <f>'Get Started'!$D37</f>
        <v>45658</v>
      </c>
      <c r="Y33" s="49">
        <f>'Get Started'!$D37</f>
        <v>45658</v>
      </c>
      <c r="Z33" s="49">
        <f>'Get Started'!$D37</f>
        <v>45658</v>
      </c>
      <c r="AA33" s="49">
        <f>'Get Started'!$D37</f>
        <v>45658</v>
      </c>
      <c r="AB33" s="49">
        <f>'Get Started'!$D37</f>
        <v>45658</v>
      </c>
      <c r="AC33" s="49">
        <f>'Get Started'!$D37</f>
        <v>45658</v>
      </c>
      <c r="AD33" s="49">
        <f>'Get Started'!$D37</f>
        <v>45658</v>
      </c>
      <c r="AE33" s="49">
        <f>'Get Started'!$D37</f>
        <v>45658</v>
      </c>
      <c r="AF33" s="49">
        <f>'Get Started'!$D37</f>
        <v>45658</v>
      </c>
      <c r="AG33" s="49">
        <f>'Get Started'!$D37</f>
        <v>45658</v>
      </c>
      <c r="AH33" s="49">
        <f>'Get Started'!$D37</f>
        <v>45658</v>
      </c>
      <c r="AI33" s="49">
        <f>'Get Started'!$D37</f>
        <v>45658</v>
      </c>
      <c r="AJ33" s="49">
        <f>'Get Started'!$D37</f>
        <v>45658</v>
      </c>
      <c r="AK33" s="49">
        <f>'Get Started'!$D37</f>
        <v>45658</v>
      </c>
      <c r="AL33" s="49">
        <f>'Get Started'!$D37</f>
        <v>45658</v>
      </c>
      <c r="AM33" s="49">
        <f>'Get Started'!$D37</f>
        <v>45658</v>
      </c>
      <c r="AN33" s="49">
        <f>'Get Started'!$D37</f>
        <v>45658</v>
      </c>
      <c r="AO33" s="49">
        <f>'Get Started'!$D37</f>
        <v>45658</v>
      </c>
      <c r="AP33" s="49">
        <f>'Get Started'!$D37</f>
        <v>45658</v>
      </c>
      <c r="AQ33" s="49">
        <f>'Get Started'!$D37</f>
        <v>45658</v>
      </c>
      <c r="AR33" s="49">
        <f>'Get Started'!$D37</f>
        <v>45658</v>
      </c>
      <c r="AS33" s="49">
        <f>'Get Started'!$D37</f>
        <v>45658</v>
      </c>
      <c r="AT33" s="49">
        <f>'Get Started'!$D37</f>
        <v>45658</v>
      </c>
      <c r="AU33" s="49">
        <f>'Get Started'!$D37</f>
        <v>45658</v>
      </c>
      <c r="AV33" s="49">
        <f>'Get Started'!$D37</f>
        <v>45658</v>
      </c>
      <c r="AW33" s="49">
        <f>'Get Started'!$D37</f>
        <v>45658</v>
      </c>
      <c r="AX33" s="49">
        <f>'Get Started'!$D37</f>
        <v>45658</v>
      </c>
      <c r="AY33" s="49">
        <f>'Get Started'!$D37</f>
        <v>45658</v>
      </c>
      <c r="AZ33" s="49">
        <f>'Get Started'!$D37</f>
        <v>45658</v>
      </c>
      <c r="BA33" s="49">
        <f>'Get Started'!$D37</f>
        <v>45658</v>
      </c>
      <c r="BB33" s="49">
        <f>'Get Started'!$D37</f>
        <v>45658</v>
      </c>
      <c r="BC33" s="49">
        <f>'Get Started'!$D37</f>
        <v>45658</v>
      </c>
      <c r="BD33" s="49">
        <f>'Get Started'!$D37</f>
        <v>45658</v>
      </c>
      <c r="BE33" s="49">
        <f>'Get Started'!$D37</f>
        <v>45658</v>
      </c>
      <c r="BF33" s="49">
        <f>'Get Started'!$D37</f>
        <v>45658</v>
      </c>
      <c r="BG33" s="49">
        <f>'Get Started'!$D37</f>
        <v>45658</v>
      </c>
      <c r="BH33" s="49">
        <f>'Get Started'!$D37</f>
        <v>45658</v>
      </c>
      <c r="BI33" s="49">
        <f>'Get Started'!$D37</f>
        <v>45658</v>
      </c>
      <c r="BJ33" s="49">
        <f>'Get Started'!$D37</f>
        <v>45658</v>
      </c>
      <c r="BK33" s="49">
        <f>'Get Started'!$D37</f>
        <v>45658</v>
      </c>
      <c r="BL33" s="49">
        <f>'Get Started'!$D37</f>
        <v>45658</v>
      </c>
      <c r="BM33" s="49">
        <f>'Get Started'!$D37</f>
        <v>45658</v>
      </c>
      <c r="BN33" s="49">
        <f>'Get Started'!$D37</f>
        <v>45658</v>
      </c>
      <c r="BO33" s="49">
        <f>'Get Started'!$D37</f>
        <v>45658</v>
      </c>
    </row>
    <row r="34" spans="1:67" ht="16.5" customHeight="1">
      <c r="A34" s="1"/>
      <c r="B34" s="16" t="str">
        <f>'Get Started'!B38</f>
        <v>New Customers</v>
      </c>
      <c r="C34" s="17" t="s">
        <v>104</v>
      </c>
      <c r="D34" s="16" t="str">
        <f>'Get Started'!F38</f>
        <v>use the input to change the label, the number input refers to the # new in the first month, as defined above</v>
      </c>
      <c r="E34" s="16"/>
      <c r="F34" s="16"/>
      <c r="G34" s="16"/>
      <c r="H34" s="16" t="s">
        <v>143</v>
      </c>
      <c r="I34" s="46">
        <f>IF(H34=Forecast!$H$195,T34,IF(H34=Forecast!$H$196,BO34,IF(H34=Forecast!$H$197,SUM(T34:BO34),IF(H34=Forecast!$H$198,AVERAGE(T34:BO34),0))))</f>
        <v>550</v>
      </c>
      <c r="J34" s="16"/>
      <c r="K34" s="16"/>
      <c r="L34" s="16"/>
      <c r="M34" s="16"/>
      <c r="N34" s="16"/>
      <c r="O34" s="16"/>
      <c r="P34" s="16"/>
      <c r="Q34" s="16"/>
      <c r="R34" s="16"/>
      <c r="S34" s="16"/>
      <c r="T34" s="47">
        <f>'Get Started'!$D38</f>
        <v>550</v>
      </c>
      <c r="U34" s="47">
        <f>'Get Started'!$D38</f>
        <v>550</v>
      </c>
      <c r="V34" s="47">
        <f>'Get Started'!$D38</f>
        <v>550</v>
      </c>
      <c r="W34" s="47">
        <f>'Get Started'!$D38</f>
        <v>550</v>
      </c>
      <c r="X34" s="47">
        <f>'Get Started'!$D38</f>
        <v>550</v>
      </c>
      <c r="Y34" s="47">
        <f>'Get Started'!$D38</f>
        <v>550</v>
      </c>
      <c r="Z34" s="47">
        <f>'Get Started'!$D38</f>
        <v>550</v>
      </c>
      <c r="AA34" s="47">
        <f>'Get Started'!$D38</f>
        <v>550</v>
      </c>
      <c r="AB34" s="47">
        <f>'Get Started'!$D38</f>
        <v>550</v>
      </c>
      <c r="AC34" s="47">
        <f>'Get Started'!$D38</f>
        <v>550</v>
      </c>
      <c r="AD34" s="47">
        <f>'Get Started'!$D38</f>
        <v>550</v>
      </c>
      <c r="AE34" s="47">
        <f>'Get Started'!$D38</f>
        <v>550</v>
      </c>
      <c r="AF34" s="47">
        <f>'Get Started'!$D38</f>
        <v>550</v>
      </c>
      <c r="AG34" s="47">
        <f>'Get Started'!$D38</f>
        <v>550</v>
      </c>
      <c r="AH34" s="47">
        <f>'Get Started'!$D38</f>
        <v>550</v>
      </c>
      <c r="AI34" s="47">
        <f>'Get Started'!$D38</f>
        <v>550</v>
      </c>
      <c r="AJ34" s="47">
        <f>'Get Started'!$D38</f>
        <v>550</v>
      </c>
      <c r="AK34" s="47">
        <f>'Get Started'!$D38</f>
        <v>550</v>
      </c>
      <c r="AL34" s="47">
        <f>'Get Started'!$D38</f>
        <v>550</v>
      </c>
      <c r="AM34" s="47">
        <f>'Get Started'!$D38</f>
        <v>550</v>
      </c>
      <c r="AN34" s="47">
        <f>'Get Started'!$D38</f>
        <v>550</v>
      </c>
      <c r="AO34" s="47">
        <f>'Get Started'!$D38</f>
        <v>550</v>
      </c>
      <c r="AP34" s="47">
        <f>'Get Started'!$D38</f>
        <v>550</v>
      </c>
      <c r="AQ34" s="47">
        <f>'Get Started'!$D38</f>
        <v>550</v>
      </c>
      <c r="AR34" s="47">
        <f>'Get Started'!$D38</f>
        <v>550</v>
      </c>
      <c r="AS34" s="47">
        <f>'Get Started'!$D38</f>
        <v>550</v>
      </c>
      <c r="AT34" s="47">
        <f>'Get Started'!$D38</f>
        <v>550</v>
      </c>
      <c r="AU34" s="47">
        <f>'Get Started'!$D38</f>
        <v>550</v>
      </c>
      <c r="AV34" s="47">
        <f>'Get Started'!$D38</f>
        <v>550</v>
      </c>
      <c r="AW34" s="47">
        <f>'Get Started'!$D38</f>
        <v>550</v>
      </c>
      <c r="AX34" s="47">
        <f>'Get Started'!$D38</f>
        <v>550</v>
      </c>
      <c r="AY34" s="47">
        <f>'Get Started'!$D38</f>
        <v>550</v>
      </c>
      <c r="AZ34" s="47">
        <f>'Get Started'!$D38</f>
        <v>550</v>
      </c>
      <c r="BA34" s="47">
        <f>'Get Started'!$D38</f>
        <v>550</v>
      </c>
      <c r="BB34" s="47">
        <f>'Get Started'!$D38</f>
        <v>550</v>
      </c>
      <c r="BC34" s="47">
        <f>'Get Started'!$D38</f>
        <v>550</v>
      </c>
      <c r="BD34" s="47">
        <f>'Get Started'!$D38</f>
        <v>550</v>
      </c>
      <c r="BE34" s="47">
        <f>'Get Started'!$D38</f>
        <v>550</v>
      </c>
      <c r="BF34" s="47">
        <f>'Get Started'!$D38</f>
        <v>550</v>
      </c>
      <c r="BG34" s="47">
        <f>'Get Started'!$D38</f>
        <v>550</v>
      </c>
      <c r="BH34" s="47">
        <f>'Get Started'!$D38</f>
        <v>550</v>
      </c>
      <c r="BI34" s="47">
        <f>'Get Started'!$D38</f>
        <v>550</v>
      </c>
      <c r="BJ34" s="47">
        <f>'Get Started'!$D38</f>
        <v>550</v>
      </c>
      <c r="BK34" s="47">
        <f>'Get Started'!$D38</f>
        <v>550</v>
      </c>
      <c r="BL34" s="47">
        <f>'Get Started'!$D38</f>
        <v>550</v>
      </c>
      <c r="BM34" s="47">
        <f>'Get Started'!$D38</f>
        <v>550</v>
      </c>
      <c r="BN34" s="47">
        <f>'Get Started'!$D38</f>
        <v>550</v>
      </c>
      <c r="BO34" s="47">
        <f>'Get Started'!$D38</f>
        <v>550</v>
      </c>
    </row>
    <row r="35" spans="1:67" ht="16.5" customHeight="1">
      <c r="A35" s="1"/>
      <c r="B35" s="16" t="s">
        <v>151</v>
      </c>
      <c r="C35" s="17" t="s">
        <v>85</v>
      </c>
      <c r="D35" s="16" t="str">
        <f>'Get Started'!F39</f>
        <v>this assumes the growth rate in the first month after growth starts, as defined above</v>
      </c>
      <c r="E35" s="16"/>
      <c r="F35" s="16"/>
      <c r="G35" s="16"/>
      <c r="H35" s="16" t="s">
        <v>143</v>
      </c>
      <c r="I35" s="48">
        <f>IF(H35=Forecast!$H$195,T35,IF(H35=Forecast!$H$196,BO35,IF(H35=Forecast!$H$197,SUM(T35:BO35),IF(H35=Forecast!$H$198,AVERAGE(T35:BO35),0))))</f>
        <v>0.89999999999999913</v>
      </c>
      <c r="J35" s="16"/>
      <c r="K35" s="16"/>
      <c r="L35" s="16"/>
      <c r="M35" s="16"/>
      <c r="N35" s="16"/>
      <c r="O35" s="16"/>
      <c r="P35" s="16"/>
      <c r="Q35" s="16"/>
      <c r="R35" s="16"/>
      <c r="S35" s="16"/>
      <c r="T35" s="48">
        <f>'Get Started'!$D39</f>
        <v>0.9</v>
      </c>
      <c r="U35" s="48">
        <f>'Get Started'!$D39</f>
        <v>0.9</v>
      </c>
      <c r="V35" s="48">
        <f>'Get Started'!$D39</f>
        <v>0.9</v>
      </c>
      <c r="W35" s="48">
        <f>'Get Started'!$D39</f>
        <v>0.9</v>
      </c>
      <c r="X35" s="48">
        <f>'Get Started'!$D39</f>
        <v>0.9</v>
      </c>
      <c r="Y35" s="48">
        <f>'Get Started'!$D39</f>
        <v>0.9</v>
      </c>
      <c r="Z35" s="48">
        <f>'Get Started'!$D39</f>
        <v>0.9</v>
      </c>
      <c r="AA35" s="48">
        <f>'Get Started'!$D39</f>
        <v>0.9</v>
      </c>
      <c r="AB35" s="48">
        <f>'Get Started'!$D39</f>
        <v>0.9</v>
      </c>
      <c r="AC35" s="48">
        <f>'Get Started'!$D39</f>
        <v>0.9</v>
      </c>
      <c r="AD35" s="48">
        <f>'Get Started'!$D39</f>
        <v>0.9</v>
      </c>
      <c r="AE35" s="48">
        <f>'Get Started'!$D39</f>
        <v>0.9</v>
      </c>
      <c r="AF35" s="48">
        <f>'Get Started'!$D39</f>
        <v>0.9</v>
      </c>
      <c r="AG35" s="48">
        <f>'Get Started'!$D39</f>
        <v>0.9</v>
      </c>
      <c r="AH35" s="48">
        <f>'Get Started'!$D39</f>
        <v>0.9</v>
      </c>
      <c r="AI35" s="48">
        <f>'Get Started'!$D39</f>
        <v>0.9</v>
      </c>
      <c r="AJ35" s="48">
        <f>'Get Started'!$D39</f>
        <v>0.9</v>
      </c>
      <c r="AK35" s="48">
        <f>'Get Started'!$D39</f>
        <v>0.9</v>
      </c>
      <c r="AL35" s="48">
        <f>'Get Started'!$D39</f>
        <v>0.9</v>
      </c>
      <c r="AM35" s="48">
        <f>'Get Started'!$D39</f>
        <v>0.9</v>
      </c>
      <c r="AN35" s="48">
        <f>'Get Started'!$D39</f>
        <v>0.9</v>
      </c>
      <c r="AO35" s="48">
        <f>'Get Started'!$D39</f>
        <v>0.9</v>
      </c>
      <c r="AP35" s="48">
        <f>'Get Started'!$D39</f>
        <v>0.9</v>
      </c>
      <c r="AQ35" s="48">
        <f>'Get Started'!$D39</f>
        <v>0.9</v>
      </c>
      <c r="AR35" s="48">
        <f>'Get Started'!$D39</f>
        <v>0.9</v>
      </c>
      <c r="AS35" s="48">
        <f>'Get Started'!$D39</f>
        <v>0.9</v>
      </c>
      <c r="AT35" s="48">
        <f>'Get Started'!$D39</f>
        <v>0.9</v>
      </c>
      <c r="AU35" s="48">
        <f>'Get Started'!$D39</f>
        <v>0.9</v>
      </c>
      <c r="AV35" s="48">
        <f>'Get Started'!$D39</f>
        <v>0.9</v>
      </c>
      <c r="AW35" s="48">
        <f>'Get Started'!$D39</f>
        <v>0.9</v>
      </c>
      <c r="AX35" s="48">
        <f>'Get Started'!$D39</f>
        <v>0.9</v>
      </c>
      <c r="AY35" s="48">
        <f>'Get Started'!$D39</f>
        <v>0.9</v>
      </c>
      <c r="AZ35" s="48">
        <f>'Get Started'!$D39</f>
        <v>0.9</v>
      </c>
      <c r="BA35" s="48">
        <f>'Get Started'!$D39</f>
        <v>0.9</v>
      </c>
      <c r="BB35" s="48">
        <f>'Get Started'!$D39</f>
        <v>0.9</v>
      </c>
      <c r="BC35" s="48">
        <f>'Get Started'!$D39</f>
        <v>0.9</v>
      </c>
      <c r="BD35" s="48">
        <f>'Get Started'!$D39</f>
        <v>0.9</v>
      </c>
      <c r="BE35" s="48">
        <f>'Get Started'!$D39</f>
        <v>0.9</v>
      </c>
      <c r="BF35" s="48">
        <f>'Get Started'!$D39</f>
        <v>0.9</v>
      </c>
      <c r="BG35" s="48">
        <f>'Get Started'!$D39</f>
        <v>0.9</v>
      </c>
      <c r="BH35" s="48">
        <f>'Get Started'!$D39</f>
        <v>0.9</v>
      </c>
      <c r="BI35" s="48">
        <f>'Get Started'!$D39</f>
        <v>0.9</v>
      </c>
      <c r="BJ35" s="48">
        <f>'Get Started'!$D39</f>
        <v>0.9</v>
      </c>
      <c r="BK35" s="48">
        <f>'Get Started'!$D39</f>
        <v>0.9</v>
      </c>
      <c r="BL35" s="48">
        <f>'Get Started'!$D39</f>
        <v>0.9</v>
      </c>
      <c r="BM35" s="48">
        <f>'Get Started'!$D39</f>
        <v>0.9</v>
      </c>
      <c r="BN35" s="48">
        <f>'Get Started'!$D39</f>
        <v>0.9</v>
      </c>
      <c r="BO35" s="48">
        <f>'Get Started'!$D39</f>
        <v>0.9</v>
      </c>
    </row>
    <row r="36" spans="1:67" ht="16.5" customHeight="1">
      <c r="A36" s="1"/>
      <c r="B36" s="16" t="s">
        <v>152</v>
      </c>
      <c r="C36" s="17" t="s">
        <v>85</v>
      </c>
      <c r="D36" s="16" t="str">
        <f>'Get Started'!F40</f>
        <v>this changes the growth rate over time: you can assume a growth rate that increases over time, stays the same, or decreases (most common)</v>
      </c>
      <c r="E36" s="16"/>
      <c r="F36" s="16"/>
      <c r="G36" s="16"/>
      <c r="H36" s="16" t="s">
        <v>143</v>
      </c>
      <c r="I36" s="48">
        <f>IF(H36=Forecast!$H$195,T36,IF(H36=Forecast!$H$196,BO36,IF(H36=Forecast!$H$197,SUM(T36:BO36),IF(H36=Forecast!$H$198,AVERAGE(T36:BO36),0))))</f>
        <v>-0.15000000000000013</v>
      </c>
      <c r="J36" s="16"/>
      <c r="K36" s="16"/>
      <c r="L36" s="16"/>
      <c r="M36" s="16"/>
      <c r="N36" s="16"/>
      <c r="O36" s="16"/>
      <c r="P36" s="16"/>
      <c r="Q36" s="16"/>
      <c r="R36" s="16"/>
      <c r="S36" s="16"/>
      <c r="T36" s="48">
        <f>'Get Started'!$D40</f>
        <v>-0.15</v>
      </c>
      <c r="U36" s="48">
        <f>'Get Started'!$D40</f>
        <v>-0.15</v>
      </c>
      <c r="V36" s="48">
        <f>'Get Started'!$D40</f>
        <v>-0.15</v>
      </c>
      <c r="W36" s="48">
        <f>'Get Started'!$D40</f>
        <v>-0.15</v>
      </c>
      <c r="X36" s="48">
        <f>'Get Started'!$D40</f>
        <v>-0.15</v>
      </c>
      <c r="Y36" s="48">
        <f>'Get Started'!$D40</f>
        <v>-0.15</v>
      </c>
      <c r="Z36" s="48">
        <f>'Get Started'!$D40</f>
        <v>-0.15</v>
      </c>
      <c r="AA36" s="48">
        <f>'Get Started'!$D40</f>
        <v>-0.15</v>
      </c>
      <c r="AB36" s="48">
        <f>'Get Started'!$D40</f>
        <v>-0.15</v>
      </c>
      <c r="AC36" s="48">
        <f>'Get Started'!$D40</f>
        <v>-0.15</v>
      </c>
      <c r="AD36" s="48">
        <f>'Get Started'!$D40</f>
        <v>-0.15</v>
      </c>
      <c r="AE36" s="48">
        <f>'Get Started'!$D40</f>
        <v>-0.15</v>
      </c>
      <c r="AF36" s="48">
        <f>'Get Started'!$D40</f>
        <v>-0.15</v>
      </c>
      <c r="AG36" s="48">
        <f>'Get Started'!$D40</f>
        <v>-0.15</v>
      </c>
      <c r="AH36" s="48">
        <f>'Get Started'!$D40</f>
        <v>-0.15</v>
      </c>
      <c r="AI36" s="48">
        <f>'Get Started'!$D40</f>
        <v>-0.15</v>
      </c>
      <c r="AJ36" s="48">
        <f>'Get Started'!$D40</f>
        <v>-0.15</v>
      </c>
      <c r="AK36" s="48">
        <f>'Get Started'!$D40</f>
        <v>-0.15</v>
      </c>
      <c r="AL36" s="48">
        <f>'Get Started'!$D40</f>
        <v>-0.15</v>
      </c>
      <c r="AM36" s="48">
        <f>'Get Started'!$D40</f>
        <v>-0.15</v>
      </c>
      <c r="AN36" s="48">
        <f>'Get Started'!$D40</f>
        <v>-0.15</v>
      </c>
      <c r="AO36" s="48">
        <f>'Get Started'!$D40</f>
        <v>-0.15</v>
      </c>
      <c r="AP36" s="48">
        <f>'Get Started'!$D40</f>
        <v>-0.15</v>
      </c>
      <c r="AQ36" s="48">
        <f>'Get Started'!$D40</f>
        <v>-0.15</v>
      </c>
      <c r="AR36" s="48">
        <f>'Get Started'!$D40</f>
        <v>-0.15</v>
      </c>
      <c r="AS36" s="48">
        <f>'Get Started'!$D40</f>
        <v>-0.15</v>
      </c>
      <c r="AT36" s="48">
        <f>'Get Started'!$D40</f>
        <v>-0.15</v>
      </c>
      <c r="AU36" s="48">
        <f>'Get Started'!$D40</f>
        <v>-0.15</v>
      </c>
      <c r="AV36" s="48">
        <f>'Get Started'!$D40</f>
        <v>-0.15</v>
      </c>
      <c r="AW36" s="48">
        <f>'Get Started'!$D40</f>
        <v>-0.15</v>
      </c>
      <c r="AX36" s="48">
        <f>'Get Started'!$D40</f>
        <v>-0.15</v>
      </c>
      <c r="AY36" s="48">
        <f>'Get Started'!$D40</f>
        <v>-0.15</v>
      </c>
      <c r="AZ36" s="48">
        <f>'Get Started'!$D40</f>
        <v>-0.15</v>
      </c>
      <c r="BA36" s="48">
        <f>'Get Started'!$D40</f>
        <v>-0.15</v>
      </c>
      <c r="BB36" s="48">
        <f>'Get Started'!$D40</f>
        <v>-0.15</v>
      </c>
      <c r="BC36" s="48">
        <f>'Get Started'!$D40</f>
        <v>-0.15</v>
      </c>
      <c r="BD36" s="48">
        <f>'Get Started'!$D40</f>
        <v>-0.15</v>
      </c>
      <c r="BE36" s="48">
        <f>'Get Started'!$D40</f>
        <v>-0.15</v>
      </c>
      <c r="BF36" s="48">
        <f>'Get Started'!$D40</f>
        <v>-0.15</v>
      </c>
      <c r="BG36" s="48">
        <f>'Get Started'!$D40</f>
        <v>-0.15</v>
      </c>
      <c r="BH36" s="48">
        <f>'Get Started'!$D40</f>
        <v>-0.15</v>
      </c>
      <c r="BI36" s="48">
        <f>'Get Started'!$D40</f>
        <v>-0.15</v>
      </c>
      <c r="BJ36" s="48">
        <f>'Get Started'!$D40</f>
        <v>-0.15</v>
      </c>
      <c r="BK36" s="48">
        <f>'Get Started'!$D40</f>
        <v>-0.15</v>
      </c>
      <c r="BL36" s="48">
        <f>'Get Started'!$D40</f>
        <v>-0.15</v>
      </c>
      <c r="BM36" s="48">
        <f>'Get Started'!$D40</f>
        <v>-0.15</v>
      </c>
      <c r="BN36" s="48">
        <f>'Get Started'!$D40</f>
        <v>-0.15</v>
      </c>
      <c r="BO36" s="48">
        <f>'Get Started'!$D40</f>
        <v>-0.15</v>
      </c>
    </row>
    <row r="37" spans="1:67" ht="16.5" customHeight="1">
      <c r="A37" s="48"/>
      <c r="B37" s="16" t="str">
        <f>'Get Started'!B41</f>
        <v>Conversion Rate</v>
      </c>
      <c r="C37" s="17" t="s">
        <v>104</v>
      </c>
      <c r="D37" s="16" t="str">
        <f>'Get Started'!F41</f>
        <v>% of website sessions that convert to orders</v>
      </c>
      <c r="E37" s="16"/>
      <c r="F37" s="16"/>
      <c r="G37" s="16"/>
      <c r="H37" s="16" t="s">
        <v>143</v>
      </c>
      <c r="I37" s="48">
        <f>IF(H37=Forecast!$H$195,T37,IF(H37=Forecast!$H$196,BO37,IF(H37=Forecast!$H$197,SUM(T37:BO37),IF(H37=Forecast!$H$198,AVERAGE(T37:BO37),0))))</f>
        <v>2.0000000000000011E-2</v>
      </c>
      <c r="J37" s="48"/>
      <c r="K37" s="48"/>
      <c r="L37" s="48"/>
      <c r="M37" s="48"/>
      <c r="N37" s="48"/>
      <c r="O37" s="48"/>
      <c r="P37" s="48"/>
      <c r="Q37" s="48"/>
      <c r="R37" s="48"/>
      <c r="S37" s="48"/>
      <c r="T37" s="48">
        <f>'Get Started'!$D41</f>
        <v>0.02</v>
      </c>
      <c r="U37" s="48">
        <f>'Get Started'!$D41</f>
        <v>0.02</v>
      </c>
      <c r="V37" s="48">
        <f>'Get Started'!$D41</f>
        <v>0.02</v>
      </c>
      <c r="W37" s="48">
        <f>'Get Started'!$D41</f>
        <v>0.02</v>
      </c>
      <c r="X37" s="48">
        <f>'Get Started'!$D41</f>
        <v>0.02</v>
      </c>
      <c r="Y37" s="48">
        <f>'Get Started'!$D41</f>
        <v>0.02</v>
      </c>
      <c r="Z37" s="48">
        <f>'Get Started'!$D41</f>
        <v>0.02</v>
      </c>
      <c r="AA37" s="48">
        <f>'Get Started'!$D41</f>
        <v>0.02</v>
      </c>
      <c r="AB37" s="48">
        <f>'Get Started'!$D41</f>
        <v>0.02</v>
      </c>
      <c r="AC37" s="48">
        <f>'Get Started'!$D41</f>
        <v>0.02</v>
      </c>
      <c r="AD37" s="48">
        <f>'Get Started'!$D41</f>
        <v>0.02</v>
      </c>
      <c r="AE37" s="48">
        <f>'Get Started'!$D41</f>
        <v>0.02</v>
      </c>
      <c r="AF37" s="48">
        <f>'Get Started'!$D41</f>
        <v>0.02</v>
      </c>
      <c r="AG37" s="48">
        <f>'Get Started'!$D41</f>
        <v>0.02</v>
      </c>
      <c r="AH37" s="48">
        <f>'Get Started'!$D41</f>
        <v>0.02</v>
      </c>
      <c r="AI37" s="48">
        <f>'Get Started'!$D41</f>
        <v>0.02</v>
      </c>
      <c r="AJ37" s="48">
        <f>'Get Started'!$D41</f>
        <v>0.02</v>
      </c>
      <c r="AK37" s="48">
        <f>'Get Started'!$D41</f>
        <v>0.02</v>
      </c>
      <c r="AL37" s="48">
        <f>'Get Started'!$D41</f>
        <v>0.02</v>
      </c>
      <c r="AM37" s="48">
        <f>'Get Started'!$D41</f>
        <v>0.02</v>
      </c>
      <c r="AN37" s="48">
        <f>'Get Started'!$D41</f>
        <v>0.02</v>
      </c>
      <c r="AO37" s="48">
        <f>'Get Started'!$D41</f>
        <v>0.02</v>
      </c>
      <c r="AP37" s="48">
        <f>'Get Started'!$D41</f>
        <v>0.02</v>
      </c>
      <c r="AQ37" s="48">
        <f>'Get Started'!$D41</f>
        <v>0.02</v>
      </c>
      <c r="AR37" s="48">
        <f>'Get Started'!$D41</f>
        <v>0.02</v>
      </c>
      <c r="AS37" s="48">
        <f>'Get Started'!$D41</f>
        <v>0.02</v>
      </c>
      <c r="AT37" s="48">
        <f>'Get Started'!$D41</f>
        <v>0.02</v>
      </c>
      <c r="AU37" s="48">
        <f>'Get Started'!$D41</f>
        <v>0.02</v>
      </c>
      <c r="AV37" s="48">
        <f>'Get Started'!$D41</f>
        <v>0.02</v>
      </c>
      <c r="AW37" s="48">
        <f>'Get Started'!$D41</f>
        <v>0.02</v>
      </c>
      <c r="AX37" s="48">
        <f>'Get Started'!$D41</f>
        <v>0.02</v>
      </c>
      <c r="AY37" s="48">
        <f>'Get Started'!$D41</f>
        <v>0.02</v>
      </c>
      <c r="AZ37" s="48">
        <f>'Get Started'!$D41</f>
        <v>0.02</v>
      </c>
      <c r="BA37" s="48">
        <f>'Get Started'!$D41</f>
        <v>0.02</v>
      </c>
      <c r="BB37" s="48">
        <f>'Get Started'!$D41</f>
        <v>0.02</v>
      </c>
      <c r="BC37" s="48">
        <f>'Get Started'!$D41</f>
        <v>0.02</v>
      </c>
      <c r="BD37" s="48">
        <f>'Get Started'!$D41</f>
        <v>0.02</v>
      </c>
      <c r="BE37" s="48">
        <f>'Get Started'!$D41</f>
        <v>0.02</v>
      </c>
      <c r="BF37" s="48">
        <f>'Get Started'!$D41</f>
        <v>0.02</v>
      </c>
      <c r="BG37" s="48">
        <f>'Get Started'!$D41</f>
        <v>0.02</v>
      </c>
      <c r="BH37" s="48">
        <f>'Get Started'!$D41</f>
        <v>0.02</v>
      </c>
      <c r="BI37" s="48">
        <f>'Get Started'!$D41</f>
        <v>0.02</v>
      </c>
      <c r="BJ37" s="48">
        <f>'Get Started'!$D41</f>
        <v>0.02</v>
      </c>
      <c r="BK37" s="48">
        <f>'Get Started'!$D41</f>
        <v>0.02</v>
      </c>
      <c r="BL37" s="48">
        <f>'Get Started'!$D41</f>
        <v>0.02</v>
      </c>
      <c r="BM37" s="48">
        <f>'Get Started'!$D41</f>
        <v>0.02</v>
      </c>
      <c r="BN37" s="48">
        <f>'Get Started'!$D41</f>
        <v>0.02</v>
      </c>
      <c r="BO37" s="48">
        <f>'Get Started'!$D41</f>
        <v>0.02</v>
      </c>
    </row>
    <row r="38" spans="1:67" ht="16.5" customHeight="1">
      <c r="A38" s="1"/>
      <c r="B38" s="16" t="str">
        <f>'Get Started'!B42</f>
        <v>Customers, beginning of first month</v>
      </c>
      <c r="C38" s="17" t="s">
        <v>104</v>
      </c>
      <c r="D38" s="16" t="str">
        <f>'Get Started'!F42</f>
        <v>assume the # of new customers that have been acquired prior to the start of the forecast; this is useful if you have an existing base of customers making repeat orders and want to introduce that into the model's forecast of new and repeat orders</v>
      </c>
      <c r="E38" s="16"/>
      <c r="F38" s="16"/>
      <c r="G38" s="16"/>
      <c r="H38" s="16" t="s">
        <v>143</v>
      </c>
      <c r="I38" s="46">
        <f>IF(H38=Forecast!$H$195,T38,IF(H38=Forecast!$H$196,BO38,IF(H38=Forecast!$H$197,SUM(T38:BO38),IF(H38=Forecast!$H$198,AVERAGE(T38:BO38),0))))</f>
        <v>0</v>
      </c>
      <c r="J38" s="16"/>
      <c r="K38" s="16"/>
      <c r="L38" s="16"/>
      <c r="M38" s="16"/>
      <c r="N38" s="16"/>
      <c r="O38" s="16"/>
      <c r="P38" s="16"/>
      <c r="Q38" s="16"/>
      <c r="R38" s="16"/>
      <c r="S38" s="16"/>
      <c r="T38" s="47">
        <f>'Get Started'!$D42</f>
        <v>0</v>
      </c>
      <c r="U38" s="47">
        <f>'Get Started'!$D42</f>
        <v>0</v>
      </c>
      <c r="V38" s="47">
        <f>'Get Started'!$D42</f>
        <v>0</v>
      </c>
      <c r="W38" s="47">
        <f>'Get Started'!$D42</f>
        <v>0</v>
      </c>
      <c r="X38" s="47">
        <f>'Get Started'!$D42</f>
        <v>0</v>
      </c>
      <c r="Y38" s="47">
        <f>'Get Started'!$D42</f>
        <v>0</v>
      </c>
      <c r="Z38" s="47">
        <f>'Get Started'!$D42</f>
        <v>0</v>
      </c>
      <c r="AA38" s="47">
        <f>'Get Started'!$D42</f>
        <v>0</v>
      </c>
      <c r="AB38" s="47">
        <f>'Get Started'!$D42</f>
        <v>0</v>
      </c>
      <c r="AC38" s="47">
        <f>'Get Started'!$D42</f>
        <v>0</v>
      </c>
      <c r="AD38" s="47">
        <f>'Get Started'!$D42</f>
        <v>0</v>
      </c>
      <c r="AE38" s="47">
        <f>'Get Started'!$D42</f>
        <v>0</v>
      </c>
      <c r="AF38" s="47">
        <f>'Get Started'!$D42</f>
        <v>0</v>
      </c>
      <c r="AG38" s="47">
        <f>'Get Started'!$D42</f>
        <v>0</v>
      </c>
      <c r="AH38" s="47">
        <f>'Get Started'!$D42</f>
        <v>0</v>
      </c>
      <c r="AI38" s="47">
        <f>'Get Started'!$D42</f>
        <v>0</v>
      </c>
      <c r="AJ38" s="47">
        <f>'Get Started'!$D42</f>
        <v>0</v>
      </c>
      <c r="AK38" s="47">
        <f>'Get Started'!$D42</f>
        <v>0</v>
      </c>
      <c r="AL38" s="47">
        <f>'Get Started'!$D42</f>
        <v>0</v>
      </c>
      <c r="AM38" s="47">
        <f>'Get Started'!$D42</f>
        <v>0</v>
      </c>
      <c r="AN38" s="47">
        <f>'Get Started'!$D42</f>
        <v>0</v>
      </c>
      <c r="AO38" s="47">
        <f>'Get Started'!$D42</f>
        <v>0</v>
      </c>
      <c r="AP38" s="47">
        <f>'Get Started'!$D42</f>
        <v>0</v>
      </c>
      <c r="AQ38" s="47">
        <f>'Get Started'!$D42</f>
        <v>0</v>
      </c>
      <c r="AR38" s="47">
        <f>'Get Started'!$D42</f>
        <v>0</v>
      </c>
      <c r="AS38" s="47">
        <f>'Get Started'!$D42</f>
        <v>0</v>
      </c>
      <c r="AT38" s="47">
        <f>'Get Started'!$D42</f>
        <v>0</v>
      </c>
      <c r="AU38" s="47">
        <f>'Get Started'!$D42</f>
        <v>0</v>
      </c>
      <c r="AV38" s="47">
        <f>'Get Started'!$D42</f>
        <v>0</v>
      </c>
      <c r="AW38" s="47">
        <f>'Get Started'!$D42</f>
        <v>0</v>
      </c>
      <c r="AX38" s="47">
        <f>'Get Started'!$D42</f>
        <v>0</v>
      </c>
      <c r="AY38" s="47">
        <f>'Get Started'!$D42</f>
        <v>0</v>
      </c>
      <c r="AZ38" s="47">
        <f>'Get Started'!$D42</f>
        <v>0</v>
      </c>
      <c r="BA38" s="47">
        <f>'Get Started'!$D42</f>
        <v>0</v>
      </c>
      <c r="BB38" s="47">
        <f>'Get Started'!$D42</f>
        <v>0</v>
      </c>
      <c r="BC38" s="47">
        <f>'Get Started'!$D42</f>
        <v>0</v>
      </c>
      <c r="BD38" s="47">
        <f>'Get Started'!$D42</f>
        <v>0</v>
      </c>
      <c r="BE38" s="47">
        <f>'Get Started'!$D42</f>
        <v>0</v>
      </c>
      <c r="BF38" s="47">
        <f>'Get Started'!$D42</f>
        <v>0</v>
      </c>
      <c r="BG38" s="47">
        <f>'Get Started'!$D42</f>
        <v>0</v>
      </c>
      <c r="BH38" s="47">
        <f>'Get Started'!$D42</f>
        <v>0</v>
      </c>
      <c r="BI38" s="47">
        <f>'Get Started'!$D42</f>
        <v>0</v>
      </c>
      <c r="BJ38" s="47">
        <f>'Get Started'!$D42</f>
        <v>0</v>
      </c>
      <c r="BK38" s="47">
        <f>'Get Started'!$D42</f>
        <v>0</v>
      </c>
      <c r="BL38" s="47">
        <f>'Get Started'!$D42</f>
        <v>0</v>
      </c>
      <c r="BM38" s="47">
        <f>'Get Started'!$D42</f>
        <v>0</v>
      </c>
      <c r="BN38" s="47">
        <f>'Get Started'!$D42</f>
        <v>0</v>
      </c>
      <c r="BO38" s="47">
        <f>'Get Started'!$D42</f>
        <v>0</v>
      </c>
    </row>
    <row r="39" spans="1:67" ht="16.5" customHeight="1">
      <c r="A39" s="1"/>
      <c r="B39" s="16" t="str">
        <f>'Get Started'!B43</f>
        <v>Churn rate, per period</v>
      </c>
      <c r="C39" s="17" t="s">
        <v>85</v>
      </c>
      <c r="D39" s="16" t="str">
        <f>'Get Started'!F43</f>
        <v>% of customers that do not make a repeat order, on each repeat cycle</v>
      </c>
      <c r="E39" s="16"/>
      <c r="F39" s="16"/>
      <c r="G39" s="16"/>
      <c r="H39" s="16" t="s">
        <v>143</v>
      </c>
      <c r="I39" s="48">
        <f>IF(H39=Forecast!$H$195,T39,IF(H39=Forecast!$H$196,BO39,IF(H39=Forecast!$H$197,SUM(T39:BO39),IF(H39=Forecast!$H$198,AVERAGE(T39:BO39),0))))</f>
        <v>0.5</v>
      </c>
      <c r="J39" s="16"/>
      <c r="K39" s="16"/>
      <c r="L39" s="16"/>
      <c r="M39" s="16"/>
      <c r="N39" s="16"/>
      <c r="O39" s="16"/>
      <c r="P39" s="16"/>
      <c r="Q39" s="16"/>
      <c r="R39" s="16"/>
      <c r="S39" s="16"/>
      <c r="T39" s="48">
        <f>'Get Started'!$D43</f>
        <v>0.5</v>
      </c>
      <c r="U39" s="48">
        <f>'Get Started'!$D43</f>
        <v>0.5</v>
      </c>
      <c r="V39" s="48">
        <f>'Get Started'!$D43</f>
        <v>0.5</v>
      </c>
      <c r="W39" s="48">
        <f>'Get Started'!$D43</f>
        <v>0.5</v>
      </c>
      <c r="X39" s="48">
        <f>'Get Started'!$D43</f>
        <v>0.5</v>
      </c>
      <c r="Y39" s="48">
        <f>'Get Started'!$D43</f>
        <v>0.5</v>
      </c>
      <c r="Z39" s="48">
        <f>'Get Started'!$D43</f>
        <v>0.5</v>
      </c>
      <c r="AA39" s="48">
        <f>'Get Started'!$D43</f>
        <v>0.5</v>
      </c>
      <c r="AB39" s="48">
        <f>'Get Started'!$D43</f>
        <v>0.5</v>
      </c>
      <c r="AC39" s="48">
        <f>'Get Started'!$D43</f>
        <v>0.5</v>
      </c>
      <c r="AD39" s="48">
        <f>'Get Started'!$D43</f>
        <v>0.5</v>
      </c>
      <c r="AE39" s="48">
        <f>'Get Started'!$D43</f>
        <v>0.5</v>
      </c>
      <c r="AF39" s="48">
        <f>'Get Started'!$D43</f>
        <v>0.5</v>
      </c>
      <c r="AG39" s="48">
        <f>'Get Started'!$D43</f>
        <v>0.5</v>
      </c>
      <c r="AH39" s="48">
        <f>'Get Started'!$D43</f>
        <v>0.5</v>
      </c>
      <c r="AI39" s="48">
        <f>'Get Started'!$D43</f>
        <v>0.5</v>
      </c>
      <c r="AJ39" s="48">
        <f>'Get Started'!$D43</f>
        <v>0.5</v>
      </c>
      <c r="AK39" s="48">
        <f>'Get Started'!$D43</f>
        <v>0.5</v>
      </c>
      <c r="AL39" s="48">
        <f>'Get Started'!$D43</f>
        <v>0.5</v>
      </c>
      <c r="AM39" s="48">
        <f>'Get Started'!$D43</f>
        <v>0.5</v>
      </c>
      <c r="AN39" s="48">
        <f>'Get Started'!$D43</f>
        <v>0.5</v>
      </c>
      <c r="AO39" s="48">
        <f>'Get Started'!$D43</f>
        <v>0.5</v>
      </c>
      <c r="AP39" s="48">
        <f>'Get Started'!$D43</f>
        <v>0.5</v>
      </c>
      <c r="AQ39" s="48">
        <f>'Get Started'!$D43</f>
        <v>0.5</v>
      </c>
      <c r="AR39" s="48">
        <f>'Get Started'!$D43</f>
        <v>0.5</v>
      </c>
      <c r="AS39" s="48">
        <f>'Get Started'!$D43</f>
        <v>0.5</v>
      </c>
      <c r="AT39" s="48">
        <f>'Get Started'!$D43</f>
        <v>0.5</v>
      </c>
      <c r="AU39" s="48">
        <f>'Get Started'!$D43</f>
        <v>0.5</v>
      </c>
      <c r="AV39" s="48">
        <f>'Get Started'!$D43</f>
        <v>0.5</v>
      </c>
      <c r="AW39" s="48">
        <f>'Get Started'!$D43</f>
        <v>0.5</v>
      </c>
      <c r="AX39" s="48">
        <f>'Get Started'!$D43</f>
        <v>0.5</v>
      </c>
      <c r="AY39" s="48">
        <f>'Get Started'!$D43</f>
        <v>0.5</v>
      </c>
      <c r="AZ39" s="48">
        <f>'Get Started'!$D43</f>
        <v>0.5</v>
      </c>
      <c r="BA39" s="48">
        <f>'Get Started'!$D43</f>
        <v>0.5</v>
      </c>
      <c r="BB39" s="48">
        <f>'Get Started'!$D43</f>
        <v>0.5</v>
      </c>
      <c r="BC39" s="48">
        <f>'Get Started'!$D43</f>
        <v>0.5</v>
      </c>
      <c r="BD39" s="48">
        <f>'Get Started'!$D43</f>
        <v>0.5</v>
      </c>
      <c r="BE39" s="48">
        <f>'Get Started'!$D43</f>
        <v>0.5</v>
      </c>
      <c r="BF39" s="48">
        <f>'Get Started'!$D43</f>
        <v>0.5</v>
      </c>
      <c r="BG39" s="48">
        <f>'Get Started'!$D43</f>
        <v>0.5</v>
      </c>
      <c r="BH39" s="48">
        <f>'Get Started'!$D43</f>
        <v>0.5</v>
      </c>
      <c r="BI39" s="48">
        <f>'Get Started'!$D43</f>
        <v>0.5</v>
      </c>
      <c r="BJ39" s="48">
        <f>'Get Started'!$D43</f>
        <v>0.5</v>
      </c>
      <c r="BK39" s="48">
        <f>'Get Started'!$D43</f>
        <v>0.5</v>
      </c>
      <c r="BL39" s="48">
        <f>'Get Started'!$D43</f>
        <v>0.5</v>
      </c>
      <c r="BM39" s="48">
        <f>'Get Started'!$D43</f>
        <v>0.5</v>
      </c>
      <c r="BN39" s="48">
        <f>'Get Started'!$D43</f>
        <v>0.5</v>
      </c>
      <c r="BO39" s="48">
        <f>'Get Started'!$D43</f>
        <v>0.5</v>
      </c>
    </row>
    <row r="40" spans="1:67" ht="16.5" customHeight="1">
      <c r="A40" s="1"/>
      <c r="B40" s="16" t="str">
        <f>'Get Started'!B44</f>
        <v>Repeat Cycle</v>
      </c>
      <c r="C40" s="17" t="s">
        <v>104</v>
      </c>
      <c r="D40" s="1" t="str">
        <f>" "&amp;LOWER('Get Started'!F44)</f>
        <v xml:space="preserve"> if customers place repeat orders, the # of months to a repeat order. this sets the cadence of repeat orders, and combines with the churn assumption to forecast the # of repeat orders. important to note is that if you assume a repeat rate, your repeat purchases is bounded by the web sessions and conversion rate. e.g., web sessions * conversion rate = orders. orders - repeat orders = new orders. so if you do not grow web sessions and you assume repeat purchases, it's possible to create a forecast that includes zero orders from new customers. if that happens, reduce your repeat rate, increase your churn, or increase your top-line web sessions growth</v>
      </c>
      <c r="E40" s="16"/>
      <c r="F40" s="16"/>
      <c r="G40" s="16"/>
      <c r="H40" s="16" t="s">
        <v>143</v>
      </c>
      <c r="I40" s="46">
        <f>IF(H40=Forecast!$H$195,T40,IF(H40=Forecast!$H$196,BO40,IF(H40=Forecast!$H$197,SUM(T40:BO40),IF(H40=Forecast!$H$198,AVERAGE(T40:BO40),0))))</f>
        <v>3</v>
      </c>
      <c r="J40" s="16"/>
      <c r="K40" s="16"/>
      <c r="L40" s="16"/>
      <c r="M40" s="16"/>
      <c r="N40" s="16"/>
      <c r="O40" s="16"/>
      <c r="P40" s="16"/>
      <c r="Q40" s="16"/>
      <c r="R40" s="16"/>
      <c r="S40" s="16"/>
      <c r="T40" s="46">
        <f>'Get Started'!$D44</f>
        <v>3</v>
      </c>
      <c r="U40" s="46">
        <f>'Get Started'!$D44</f>
        <v>3</v>
      </c>
      <c r="V40" s="46">
        <f>'Get Started'!$D44</f>
        <v>3</v>
      </c>
      <c r="W40" s="46">
        <f>'Get Started'!$D44</f>
        <v>3</v>
      </c>
      <c r="X40" s="46">
        <f>'Get Started'!$D44</f>
        <v>3</v>
      </c>
      <c r="Y40" s="46">
        <f>'Get Started'!$D44</f>
        <v>3</v>
      </c>
      <c r="Z40" s="46">
        <f>'Get Started'!$D44</f>
        <v>3</v>
      </c>
      <c r="AA40" s="46">
        <f>'Get Started'!$D44</f>
        <v>3</v>
      </c>
      <c r="AB40" s="46">
        <f>'Get Started'!$D44</f>
        <v>3</v>
      </c>
      <c r="AC40" s="46">
        <f>'Get Started'!$D44</f>
        <v>3</v>
      </c>
      <c r="AD40" s="46">
        <f>'Get Started'!$D44</f>
        <v>3</v>
      </c>
      <c r="AE40" s="46">
        <f>'Get Started'!$D44</f>
        <v>3</v>
      </c>
      <c r="AF40" s="46">
        <f>'Get Started'!$D44</f>
        <v>3</v>
      </c>
      <c r="AG40" s="46">
        <f>'Get Started'!$D44</f>
        <v>3</v>
      </c>
      <c r="AH40" s="46">
        <f>'Get Started'!$D44</f>
        <v>3</v>
      </c>
      <c r="AI40" s="46">
        <f>'Get Started'!$D44</f>
        <v>3</v>
      </c>
      <c r="AJ40" s="46">
        <f>'Get Started'!$D44</f>
        <v>3</v>
      </c>
      <c r="AK40" s="46">
        <f>'Get Started'!$D44</f>
        <v>3</v>
      </c>
      <c r="AL40" s="46">
        <f>'Get Started'!$D44</f>
        <v>3</v>
      </c>
      <c r="AM40" s="46">
        <f>'Get Started'!$D44</f>
        <v>3</v>
      </c>
      <c r="AN40" s="46">
        <f>'Get Started'!$D44</f>
        <v>3</v>
      </c>
      <c r="AO40" s="46">
        <f>'Get Started'!$D44</f>
        <v>3</v>
      </c>
      <c r="AP40" s="46">
        <f>'Get Started'!$D44</f>
        <v>3</v>
      </c>
      <c r="AQ40" s="46">
        <f>'Get Started'!$D44</f>
        <v>3</v>
      </c>
      <c r="AR40" s="46">
        <f>'Get Started'!$D44</f>
        <v>3</v>
      </c>
      <c r="AS40" s="46">
        <f>'Get Started'!$D44</f>
        <v>3</v>
      </c>
      <c r="AT40" s="46">
        <f>'Get Started'!$D44</f>
        <v>3</v>
      </c>
      <c r="AU40" s="46">
        <f>'Get Started'!$D44</f>
        <v>3</v>
      </c>
      <c r="AV40" s="46">
        <f>'Get Started'!$D44</f>
        <v>3</v>
      </c>
      <c r="AW40" s="46">
        <f>'Get Started'!$D44</f>
        <v>3</v>
      </c>
      <c r="AX40" s="46">
        <f>'Get Started'!$D44</f>
        <v>3</v>
      </c>
      <c r="AY40" s="46">
        <f>'Get Started'!$D44</f>
        <v>3</v>
      </c>
      <c r="AZ40" s="46">
        <f>'Get Started'!$D44</f>
        <v>3</v>
      </c>
      <c r="BA40" s="46">
        <f>'Get Started'!$D44</f>
        <v>3</v>
      </c>
      <c r="BB40" s="46">
        <f>'Get Started'!$D44</f>
        <v>3</v>
      </c>
      <c r="BC40" s="46">
        <f>'Get Started'!$D44</f>
        <v>3</v>
      </c>
      <c r="BD40" s="46">
        <f>'Get Started'!$D44</f>
        <v>3</v>
      </c>
      <c r="BE40" s="46">
        <f>'Get Started'!$D44</f>
        <v>3</v>
      </c>
      <c r="BF40" s="46">
        <f>'Get Started'!$D44</f>
        <v>3</v>
      </c>
      <c r="BG40" s="46">
        <f>'Get Started'!$D44</f>
        <v>3</v>
      </c>
      <c r="BH40" s="46">
        <f>'Get Started'!$D44</f>
        <v>3</v>
      </c>
      <c r="BI40" s="46">
        <f>'Get Started'!$D44</f>
        <v>3</v>
      </c>
      <c r="BJ40" s="46">
        <f>'Get Started'!$D44</f>
        <v>3</v>
      </c>
      <c r="BK40" s="46">
        <f>'Get Started'!$D44</f>
        <v>3</v>
      </c>
      <c r="BL40" s="46">
        <f>'Get Started'!$D44</f>
        <v>3</v>
      </c>
      <c r="BM40" s="46">
        <f>'Get Started'!$D44</f>
        <v>3</v>
      </c>
      <c r="BN40" s="46">
        <f>'Get Started'!$D44</f>
        <v>3</v>
      </c>
      <c r="BO40" s="46">
        <f>'Get Started'!$D44</f>
        <v>3</v>
      </c>
    </row>
    <row r="41" spans="1:67" ht="16.5" customHeight="1">
      <c r="A41" s="1"/>
      <c r="B41" s="16" t="s">
        <v>153</v>
      </c>
      <c r="C41" s="17" t="s">
        <v>104</v>
      </c>
      <c r="D41" s="16" t="s">
        <v>154</v>
      </c>
      <c r="E41" s="16"/>
      <c r="F41" s="16"/>
      <c r="G41" s="16"/>
      <c r="H41" s="16" t="s">
        <v>155</v>
      </c>
      <c r="I41" s="50">
        <f ca="1">IF(H41=Forecast!$H$195,T41,IF(H41=Forecast!$H$196,BO41,IF(H41=Forecast!$H$197,SUM(T41:BO41),IF(H41=Forecast!$H$198,AVERAGE(T41:BO41),0))))</f>
        <v>1.999969482421875</v>
      </c>
      <c r="J41" s="16"/>
      <c r="K41" s="16"/>
      <c r="L41" s="16"/>
      <c r="M41" s="16"/>
      <c r="N41" s="16"/>
      <c r="O41" s="16"/>
      <c r="P41" s="16"/>
      <c r="Q41" s="16"/>
      <c r="R41" s="16"/>
      <c r="S41" s="16"/>
      <c r="T41" s="50">
        <f t="shared" ref="T41:BO41" ca="1" si="8">IF(T6=1,1,IF(MOD(T5,T40)=0,(1-T39)*IF(T5&lt;T40,0, OFFSET(T41,,-1*T40)),0))</f>
        <v>1</v>
      </c>
      <c r="U41" s="50">
        <f t="shared" ca="1" si="8"/>
        <v>0</v>
      </c>
      <c r="V41" s="50">
        <f t="shared" ca="1" si="8"/>
        <v>0</v>
      </c>
      <c r="W41" s="50">
        <f t="shared" ca="1" si="8"/>
        <v>0.5</v>
      </c>
      <c r="X41" s="50">
        <f t="shared" ca="1" si="8"/>
        <v>0</v>
      </c>
      <c r="Y41" s="50">
        <f t="shared" ca="1" si="8"/>
        <v>0</v>
      </c>
      <c r="Z41" s="50">
        <f t="shared" ca="1" si="8"/>
        <v>0.25</v>
      </c>
      <c r="AA41" s="50">
        <f t="shared" ca="1" si="8"/>
        <v>0</v>
      </c>
      <c r="AB41" s="50">
        <f t="shared" ca="1" si="8"/>
        <v>0</v>
      </c>
      <c r="AC41" s="50">
        <f t="shared" ca="1" si="8"/>
        <v>0.125</v>
      </c>
      <c r="AD41" s="50">
        <f t="shared" ca="1" si="8"/>
        <v>0</v>
      </c>
      <c r="AE41" s="50">
        <f t="shared" ca="1" si="8"/>
        <v>0</v>
      </c>
      <c r="AF41" s="50">
        <f t="shared" ca="1" si="8"/>
        <v>6.25E-2</v>
      </c>
      <c r="AG41" s="50">
        <f t="shared" ca="1" si="8"/>
        <v>0</v>
      </c>
      <c r="AH41" s="50">
        <f t="shared" ca="1" si="8"/>
        <v>0</v>
      </c>
      <c r="AI41" s="50">
        <f t="shared" ca="1" si="8"/>
        <v>3.125E-2</v>
      </c>
      <c r="AJ41" s="50">
        <f t="shared" ca="1" si="8"/>
        <v>0</v>
      </c>
      <c r="AK41" s="50">
        <f t="shared" ca="1" si="8"/>
        <v>0</v>
      </c>
      <c r="AL41" s="50">
        <f t="shared" ca="1" si="8"/>
        <v>1.5625E-2</v>
      </c>
      <c r="AM41" s="50">
        <f t="shared" ca="1" si="8"/>
        <v>0</v>
      </c>
      <c r="AN41" s="50">
        <f t="shared" ca="1" si="8"/>
        <v>0</v>
      </c>
      <c r="AO41" s="50">
        <f t="shared" ca="1" si="8"/>
        <v>7.8125E-3</v>
      </c>
      <c r="AP41" s="50">
        <f t="shared" ca="1" si="8"/>
        <v>0</v>
      </c>
      <c r="AQ41" s="50">
        <f t="shared" ca="1" si="8"/>
        <v>0</v>
      </c>
      <c r="AR41" s="50">
        <f t="shared" ca="1" si="8"/>
        <v>3.90625E-3</v>
      </c>
      <c r="AS41" s="50">
        <f t="shared" ca="1" si="8"/>
        <v>0</v>
      </c>
      <c r="AT41" s="50">
        <f t="shared" ca="1" si="8"/>
        <v>0</v>
      </c>
      <c r="AU41" s="50">
        <f t="shared" ca="1" si="8"/>
        <v>1.953125E-3</v>
      </c>
      <c r="AV41" s="50">
        <f t="shared" ca="1" si="8"/>
        <v>0</v>
      </c>
      <c r="AW41" s="50">
        <f t="shared" ca="1" si="8"/>
        <v>0</v>
      </c>
      <c r="AX41" s="50">
        <f t="shared" ca="1" si="8"/>
        <v>9.765625E-4</v>
      </c>
      <c r="AY41" s="50">
        <f t="shared" ca="1" si="8"/>
        <v>0</v>
      </c>
      <c r="AZ41" s="50">
        <f t="shared" ca="1" si="8"/>
        <v>0</v>
      </c>
      <c r="BA41" s="50">
        <f t="shared" ca="1" si="8"/>
        <v>4.8828125E-4</v>
      </c>
      <c r="BB41" s="50">
        <f t="shared" ca="1" si="8"/>
        <v>0</v>
      </c>
      <c r="BC41" s="50">
        <f t="shared" ca="1" si="8"/>
        <v>0</v>
      </c>
      <c r="BD41" s="50">
        <f t="shared" ca="1" si="8"/>
        <v>2.44140625E-4</v>
      </c>
      <c r="BE41" s="50">
        <f t="shared" ca="1" si="8"/>
        <v>0</v>
      </c>
      <c r="BF41" s="50">
        <f t="shared" ca="1" si="8"/>
        <v>0</v>
      </c>
      <c r="BG41" s="50">
        <f t="shared" ca="1" si="8"/>
        <v>1.220703125E-4</v>
      </c>
      <c r="BH41" s="50">
        <f t="shared" ca="1" si="8"/>
        <v>0</v>
      </c>
      <c r="BI41" s="50">
        <f t="shared" ca="1" si="8"/>
        <v>0</v>
      </c>
      <c r="BJ41" s="50">
        <f t="shared" ca="1" si="8"/>
        <v>6.103515625E-5</v>
      </c>
      <c r="BK41" s="50">
        <f t="shared" ca="1" si="8"/>
        <v>0</v>
      </c>
      <c r="BL41" s="50">
        <f t="shared" ca="1" si="8"/>
        <v>0</v>
      </c>
      <c r="BM41" s="50">
        <f t="shared" ca="1" si="8"/>
        <v>3.0517578125E-5</v>
      </c>
      <c r="BN41" s="50">
        <f t="shared" ca="1" si="8"/>
        <v>0</v>
      </c>
      <c r="BO41" s="50">
        <f t="shared" ca="1" si="8"/>
        <v>0</v>
      </c>
    </row>
    <row r="42" spans="1:67" ht="16.5" customHeight="1">
      <c r="A42" s="1"/>
      <c r="B42" s="16" t="s">
        <v>153</v>
      </c>
      <c r="C42" s="17" t="s">
        <v>104</v>
      </c>
      <c r="D42" s="16" t="s">
        <v>156</v>
      </c>
      <c r="E42" s="16"/>
      <c r="F42" s="16"/>
      <c r="G42" s="16"/>
      <c r="H42" s="16" t="s">
        <v>155</v>
      </c>
      <c r="I42" s="50">
        <f>IF(H42=Forecast!$H$195,T42,IF(H42=Forecast!$H$196,BO42,IF(H42=Forecast!$H$197,SUM(T42:BO42),IF(H42=Forecast!$H$198,AVERAGE(T42:BO42),0))))</f>
        <v>4.0510610142246239</v>
      </c>
      <c r="J42" s="16"/>
      <c r="K42" s="16"/>
      <c r="L42" s="16"/>
      <c r="M42" s="16"/>
      <c r="N42" s="16"/>
      <c r="O42" s="16"/>
      <c r="P42" s="16"/>
      <c r="Q42" s="16"/>
      <c r="R42" s="16"/>
      <c r="S42" s="16"/>
      <c r="T42" s="51">
        <f>Historicals!T64</f>
        <v>1</v>
      </c>
      <c r="U42" s="51">
        <f>Historicals!U64</f>
        <v>0.64761383803509731</v>
      </c>
      <c r="V42" s="51">
        <f>Historicals!V64</f>
        <v>0.58625600339698236</v>
      </c>
      <c r="W42" s="51">
        <f>Historicals!W64</f>
        <v>0.42200024321712348</v>
      </c>
      <c r="X42" s="51">
        <f>Historicals!X64</f>
        <v>0.32424205364731107</v>
      </c>
      <c r="Y42" s="51">
        <f>Historicals!Y64</f>
        <v>0.24920417703873571</v>
      </c>
      <c r="Z42" s="51">
        <f>Historicals!Z64</f>
        <v>0.19158545289703549</v>
      </c>
      <c r="AA42" s="51">
        <f>Historicals!AA64</f>
        <v>0.14732615682572067</v>
      </c>
      <c r="AB42" s="51">
        <f>Historicals!AB64</f>
        <v>0.11331628126326604</v>
      </c>
      <c r="AC42" s="51">
        <f>Historicals!AC64</f>
        <v>8.7172572607449761E-2</v>
      </c>
      <c r="AD42" s="51">
        <f>Historicals!AD64</f>
        <v>6.7068075055972676E-2</v>
      </c>
      <c r="AE42" s="51">
        <f>Historicals!AE64</f>
        <v>5.160178049342818E-2</v>
      </c>
      <c r="AF42" s="51">
        <f>Historicals!AF64</f>
        <v>3.969891901148119E-2</v>
      </c>
      <c r="AG42" s="51">
        <f>Historicals!AG64</f>
        <v>3.0534663312323254E-2</v>
      </c>
      <c r="AH42" s="51">
        <f>Historicals!AH64</f>
        <v>2.3475727660887603E-2</v>
      </c>
      <c r="AI42" s="51">
        <f>Historicals!AI64</f>
        <v>1.8035644008927005E-2</v>
      </c>
      <c r="AJ42" s="51">
        <f>Historicals!AJ64</f>
        <v>1.384048984455195E-2</v>
      </c>
      <c r="AK42" s="51">
        <f>Historicals!AK64</f>
        <v>1.0602595972993026E-2</v>
      </c>
      <c r="AL42" s="51">
        <f>Historicals!AL64</f>
        <v>8.1003300809459541E-3</v>
      </c>
      <c r="AM42" s="51">
        <f>Historicals!AM64</f>
        <v>4.8552686422800514E-3</v>
      </c>
      <c r="AN42" s="51">
        <f>Historicals!AN64</f>
        <v>5.7391617128816465E-3</v>
      </c>
      <c r="AO42" s="51">
        <f>Historicals!AO64</f>
        <v>3.4757155563771335E-3</v>
      </c>
      <c r="AP42" s="51">
        <f>Historicals!AP64</f>
        <v>2.5355094913800682E-3</v>
      </c>
      <c r="AQ42" s="51">
        <f>Historicals!AQ64</f>
        <v>1.754876202416466E-3</v>
      </c>
      <c r="AR42" s="51">
        <f>Historicals!AR64</f>
        <v>1.0254782490565465E-3</v>
      </c>
      <c r="AS42" s="51">
        <f>Historicals!AS64</f>
        <v>0</v>
      </c>
      <c r="AT42" s="51">
        <f>Historicals!AT64</f>
        <v>0</v>
      </c>
      <c r="AU42" s="51">
        <f>Historicals!AU64</f>
        <v>0</v>
      </c>
      <c r="AV42" s="51">
        <f>Historicals!AV64</f>
        <v>0</v>
      </c>
      <c r="AW42" s="51">
        <f>Historicals!AW64</f>
        <v>0</v>
      </c>
      <c r="AX42" s="51">
        <f>Historicals!AX64</f>
        <v>0</v>
      </c>
      <c r="AY42" s="51">
        <f>Historicals!AY64</f>
        <v>0</v>
      </c>
      <c r="AZ42" s="51">
        <f>Historicals!AZ64</f>
        <v>0</v>
      </c>
      <c r="BA42" s="51">
        <f>Historicals!BA64</f>
        <v>0</v>
      </c>
      <c r="BB42" s="51">
        <f>Historicals!BB64</f>
        <v>0</v>
      </c>
      <c r="BC42" s="51">
        <f>Historicals!BC64</f>
        <v>0</v>
      </c>
      <c r="BD42" s="51">
        <f>Historicals!BD64</f>
        <v>0</v>
      </c>
      <c r="BE42" s="51">
        <f>Historicals!BE64</f>
        <v>0</v>
      </c>
      <c r="BF42" s="51">
        <f>Historicals!BF64</f>
        <v>0</v>
      </c>
      <c r="BG42" s="51">
        <f>Historicals!BG64</f>
        <v>0</v>
      </c>
      <c r="BH42" s="51">
        <f>Historicals!BH64</f>
        <v>0</v>
      </c>
      <c r="BI42" s="51">
        <f>Historicals!BI64</f>
        <v>0</v>
      </c>
      <c r="BJ42" s="51">
        <f>Historicals!BJ64</f>
        <v>0</v>
      </c>
      <c r="BK42" s="51">
        <f>Historicals!BK64</f>
        <v>0</v>
      </c>
      <c r="BL42" s="51">
        <f>Historicals!BL64</f>
        <v>0</v>
      </c>
      <c r="BM42" s="51">
        <f>Historicals!BM64</f>
        <v>0</v>
      </c>
      <c r="BN42" s="51">
        <f>Historicals!BN64</f>
        <v>0</v>
      </c>
      <c r="BO42" s="51">
        <f>Historicals!BO64</f>
        <v>0</v>
      </c>
    </row>
    <row r="43" spans="1:67" ht="16.5" customHeight="1">
      <c r="A43" s="1"/>
      <c r="B43" s="16" t="s">
        <v>153</v>
      </c>
      <c r="C43" s="17" t="s">
        <v>104</v>
      </c>
      <c r="D43" s="16" t="s">
        <v>157</v>
      </c>
      <c r="E43" s="16"/>
      <c r="F43" s="16"/>
      <c r="G43" s="16"/>
      <c r="H43" s="16" t="s">
        <v>155</v>
      </c>
      <c r="I43" s="50">
        <f>IF(H43=Forecast!$H$195,T43,IF(H43=Forecast!$H$196,BO43,IF(H43=Forecast!$H$197,SUM(T43:BO43),IF(H43=Forecast!$H$198,AVERAGE(T43:BO43),0))))</f>
        <v>1.9999998807907104</v>
      </c>
      <c r="J43" s="16"/>
      <c r="K43" s="16"/>
      <c r="L43" s="16"/>
      <c r="M43" s="16"/>
      <c r="N43" s="16"/>
      <c r="O43" s="16"/>
      <c r="P43" s="16"/>
      <c r="Q43" s="16"/>
      <c r="R43" s="16"/>
      <c r="S43" s="16"/>
      <c r="T43" s="51">
        <v>1</v>
      </c>
      <c r="U43" s="51">
        <v>0</v>
      </c>
      <c r="V43" s="51">
        <f t="shared" ref="V43:BO43" si="9">T43*0.5</f>
        <v>0.5</v>
      </c>
      <c r="W43" s="51">
        <f t="shared" si="9"/>
        <v>0</v>
      </c>
      <c r="X43" s="51">
        <f t="shared" si="9"/>
        <v>0.25</v>
      </c>
      <c r="Y43" s="51">
        <f t="shared" si="9"/>
        <v>0</v>
      </c>
      <c r="Z43" s="51">
        <f t="shared" si="9"/>
        <v>0.125</v>
      </c>
      <c r="AA43" s="51">
        <f t="shared" si="9"/>
        <v>0</v>
      </c>
      <c r="AB43" s="51">
        <f t="shared" si="9"/>
        <v>6.25E-2</v>
      </c>
      <c r="AC43" s="51">
        <f t="shared" si="9"/>
        <v>0</v>
      </c>
      <c r="AD43" s="51">
        <f t="shared" si="9"/>
        <v>3.125E-2</v>
      </c>
      <c r="AE43" s="51">
        <f t="shared" si="9"/>
        <v>0</v>
      </c>
      <c r="AF43" s="51">
        <f t="shared" si="9"/>
        <v>1.5625E-2</v>
      </c>
      <c r="AG43" s="51">
        <f t="shared" si="9"/>
        <v>0</v>
      </c>
      <c r="AH43" s="51">
        <f t="shared" si="9"/>
        <v>7.8125E-3</v>
      </c>
      <c r="AI43" s="51">
        <f t="shared" si="9"/>
        <v>0</v>
      </c>
      <c r="AJ43" s="51">
        <f t="shared" si="9"/>
        <v>3.90625E-3</v>
      </c>
      <c r="AK43" s="51">
        <f t="shared" si="9"/>
        <v>0</v>
      </c>
      <c r="AL43" s="51">
        <f t="shared" si="9"/>
        <v>1.953125E-3</v>
      </c>
      <c r="AM43" s="51">
        <f t="shared" si="9"/>
        <v>0</v>
      </c>
      <c r="AN43" s="51">
        <f t="shared" si="9"/>
        <v>9.765625E-4</v>
      </c>
      <c r="AO43" s="51">
        <f t="shared" si="9"/>
        <v>0</v>
      </c>
      <c r="AP43" s="51">
        <f t="shared" si="9"/>
        <v>4.8828125E-4</v>
      </c>
      <c r="AQ43" s="51">
        <f t="shared" si="9"/>
        <v>0</v>
      </c>
      <c r="AR43" s="51">
        <f t="shared" si="9"/>
        <v>2.44140625E-4</v>
      </c>
      <c r="AS43" s="51">
        <f t="shared" si="9"/>
        <v>0</v>
      </c>
      <c r="AT43" s="51">
        <f t="shared" si="9"/>
        <v>1.220703125E-4</v>
      </c>
      <c r="AU43" s="51">
        <f t="shared" si="9"/>
        <v>0</v>
      </c>
      <c r="AV43" s="51">
        <f t="shared" si="9"/>
        <v>6.103515625E-5</v>
      </c>
      <c r="AW43" s="51">
        <f t="shared" si="9"/>
        <v>0</v>
      </c>
      <c r="AX43" s="51">
        <f t="shared" si="9"/>
        <v>3.0517578125E-5</v>
      </c>
      <c r="AY43" s="51">
        <f t="shared" si="9"/>
        <v>0</v>
      </c>
      <c r="AZ43" s="51">
        <f t="shared" si="9"/>
        <v>1.52587890625E-5</v>
      </c>
      <c r="BA43" s="51">
        <f t="shared" si="9"/>
        <v>0</v>
      </c>
      <c r="BB43" s="51">
        <f t="shared" si="9"/>
        <v>7.62939453125E-6</v>
      </c>
      <c r="BC43" s="51">
        <f t="shared" si="9"/>
        <v>0</v>
      </c>
      <c r="BD43" s="51">
        <f t="shared" si="9"/>
        <v>3.814697265625E-6</v>
      </c>
      <c r="BE43" s="51">
        <f t="shared" si="9"/>
        <v>0</v>
      </c>
      <c r="BF43" s="51">
        <f t="shared" si="9"/>
        <v>1.9073486328125E-6</v>
      </c>
      <c r="BG43" s="51">
        <f t="shared" si="9"/>
        <v>0</v>
      </c>
      <c r="BH43" s="51">
        <f t="shared" si="9"/>
        <v>9.5367431640625E-7</v>
      </c>
      <c r="BI43" s="51">
        <f t="shared" si="9"/>
        <v>0</v>
      </c>
      <c r="BJ43" s="51">
        <f t="shared" si="9"/>
        <v>4.76837158203125E-7</v>
      </c>
      <c r="BK43" s="51">
        <f t="shared" si="9"/>
        <v>0</v>
      </c>
      <c r="BL43" s="51">
        <f t="shared" si="9"/>
        <v>2.384185791015625E-7</v>
      </c>
      <c r="BM43" s="51">
        <f t="shared" si="9"/>
        <v>0</v>
      </c>
      <c r="BN43" s="51">
        <f t="shared" si="9"/>
        <v>1.1920928955078125E-7</v>
      </c>
      <c r="BO43" s="51">
        <f t="shared" si="9"/>
        <v>0</v>
      </c>
    </row>
    <row r="44" spans="1:67" ht="16.5" customHeight="1">
      <c r="A44" s="1"/>
      <c r="B44" s="16" t="s">
        <v>158</v>
      </c>
      <c r="C44" s="17" t="s">
        <v>104</v>
      </c>
      <c r="D44" s="52" t="s">
        <v>154</v>
      </c>
      <c r="E44" s="16"/>
      <c r="F44" s="51">
        <v>1</v>
      </c>
      <c r="G44" s="16" t="s">
        <v>159</v>
      </c>
      <c r="H44" s="16" t="s">
        <v>155</v>
      </c>
      <c r="I44" s="50">
        <f ca="1">IF(H44=Forecast!$H$195,T44,IF(H44=Forecast!$H$196,BO44,IF(H44=Forecast!$H$197,SUM(T44:BO44),IF(H44=Forecast!$H$198,AVERAGE(T44:BO44),0))))</f>
        <v>1.999969482421875</v>
      </c>
      <c r="J44" s="16"/>
      <c r="K44" s="16"/>
      <c r="L44" s="16"/>
      <c r="M44" s="16"/>
      <c r="N44" s="16"/>
      <c r="O44" s="16"/>
      <c r="P44" s="16"/>
      <c r="Q44" s="16"/>
      <c r="R44" s="16"/>
      <c r="S44" s="53"/>
      <c r="T44" s="53">
        <f t="shared" ref="T44:BO44" ca="1" si="10">INDEX(T41:T43,MATCH($D44,$D41:$D43,0))*IF(T6=1,1,$F44)</f>
        <v>1</v>
      </c>
      <c r="U44" s="53">
        <f t="shared" ca="1" si="10"/>
        <v>0</v>
      </c>
      <c r="V44" s="53">
        <f t="shared" ca="1" si="10"/>
        <v>0</v>
      </c>
      <c r="W44" s="53">
        <f t="shared" ca="1" si="10"/>
        <v>0.5</v>
      </c>
      <c r="X44" s="53">
        <f t="shared" ca="1" si="10"/>
        <v>0</v>
      </c>
      <c r="Y44" s="53">
        <f t="shared" ca="1" si="10"/>
        <v>0</v>
      </c>
      <c r="Z44" s="53">
        <f t="shared" ca="1" si="10"/>
        <v>0.25</v>
      </c>
      <c r="AA44" s="53">
        <f t="shared" ca="1" si="10"/>
        <v>0</v>
      </c>
      <c r="AB44" s="53">
        <f t="shared" ca="1" si="10"/>
        <v>0</v>
      </c>
      <c r="AC44" s="53">
        <f t="shared" ca="1" si="10"/>
        <v>0.125</v>
      </c>
      <c r="AD44" s="53">
        <f t="shared" ca="1" si="10"/>
        <v>0</v>
      </c>
      <c r="AE44" s="53">
        <f t="shared" ca="1" si="10"/>
        <v>0</v>
      </c>
      <c r="AF44" s="53">
        <f t="shared" ca="1" si="10"/>
        <v>6.25E-2</v>
      </c>
      <c r="AG44" s="53">
        <f t="shared" ca="1" si="10"/>
        <v>0</v>
      </c>
      <c r="AH44" s="53">
        <f t="shared" ca="1" si="10"/>
        <v>0</v>
      </c>
      <c r="AI44" s="53">
        <f t="shared" ca="1" si="10"/>
        <v>3.125E-2</v>
      </c>
      <c r="AJ44" s="53">
        <f t="shared" ca="1" si="10"/>
        <v>0</v>
      </c>
      <c r="AK44" s="53">
        <f t="shared" ca="1" si="10"/>
        <v>0</v>
      </c>
      <c r="AL44" s="53">
        <f t="shared" ca="1" si="10"/>
        <v>1.5625E-2</v>
      </c>
      <c r="AM44" s="53">
        <f t="shared" ca="1" si="10"/>
        <v>0</v>
      </c>
      <c r="AN44" s="53">
        <f t="shared" ca="1" si="10"/>
        <v>0</v>
      </c>
      <c r="AO44" s="53">
        <f t="shared" ca="1" si="10"/>
        <v>7.8125E-3</v>
      </c>
      <c r="AP44" s="53">
        <f t="shared" ca="1" si="10"/>
        <v>0</v>
      </c>
      <c r="AQ44" s="53">
        <f t="shared" ca="1" si="10"/>
        <v>0</v>
      </c>
      <c r="AR44" s="53">
        <f t="shared" ca="1" si="10"/>
        <v>3.90625E-3</v>
      </c>
      <c r="AS44" s="53">
        <f t="shared" ca="1" si="10"/>
        <v>0</v>
      </c>
      <c r="AT44" s="53">
        <f t="shared" ca="1" si="10"/>
        <v>0</v>
      </c>
      <c r="AU44" s="53">
        <f t="shared" ca="1" si="10"/>
        <v>1.953125E-3</v>
      </c>
      <c r="AV44" s="53">
        <f t="shared" ca="1" si="10"/>
        <v>0</v>
      </c>
      <c r="AW44" s="53">
        <f t="shared" ca="1" si="10"/>
        <v>0</v>
      </c>
      <c r="AX44" s="53">
        <f t="shared" ca="1" si="10"/>
        <v>9.765625E-4</v>
      </c>
      <c r="AY44" s="53">
        <f t="shared" ca="1" si="10"/>
        <v>0</v>
      </c>
      <c r="AZ44" s="53">
        <f t="shared" ca="1" si="10"/>
        <v>0</v>
      </c>
      <c r="BA44" s="53">
        <f t="shared" ca="1" si="10"/>
        <v>4.8828125E-4</v>
      </c>
      <c r="BB44" s="53">
        <f t="shared" ca="1" si="10"/>
        <v>0</v>
      </c>
      <c r="BC44" s="53">
        <f t="shared" ca="1" si="10"/>
        <v>0</v>
      </c>
      <c r="BD44" s="53">
        <f t="shared" ca="1" si="10"/>
        <v>2.44140625E-4</v>
      </c>
      <c r="BE44" s="53">
        <f t="shared" ca="1" si="10"/>
        <v>0</v>
      </c>
      <c r="BF44" s="53">
        <f t="shared" ca="1" si="10"/>
        <v>0</v>
      </c>
      <c r="BG44" s="53">
        <f t="shared" ca="1" si="10"/>
        <v>1.220703125E-4</v>
      </c>
      <c r="BH44" s="53">
        <f t="shared" ca="1" si="10"/>
        <v>0</v>
      </c>
      <c r="BI44" s="53">
        <f t="shared" ca="1" si="10"/>
        <v>0</v>
      </c>
      <c r="BJ44" s="53">
        <f t="shared" ca="1" si="10"/>
        <v>6.103515625E-5</v>
      </c>
      <c r="BK44" s="53">
        <f t="shared" ca="1" si="10"/>
        <v>0</v>
      </c>
      <c r="BL44" s="53">
        <f t="shared" ca="1" si="10"/>
        <v>0</v>
      </c>
      <c r="BM44" s="53">
        <f t="shared" ca="1" si="10"/>
        <v>3.0517578125E-5</v>
      </c>
      <c r="BN44" s="53">
        <f t="shared" ca="1" si="10"/>
        <v>0</v>
      </c>
      <c r="BO44" s="53">
        <f t="shared" ca="1" si="10"/>
        <v>0</v>
      </c>
    </row>
    <row r="45" spans="1:67" ht="16.5" customHeight="1">
      <c r="A45" s="1"/>
      <c r="B45" s="16" t="s">
        <v>160</v>
      </c>
      <c r="C45" s="17" t="s">
        <v>104</v>
      </c>
      <c r="D45" s="16" t="s">
        <v>161</v>
      </c>
      <c r="E45" s="16"/>
      <c r="F45" s="16"/>
      <c r="G45" s="16"/>
      <c r="H45" s="16" t="s">
        <v>155</v>
      </c>
      <c r="I45" s="50">
        <f ca="1">IF(H45=Forecast!$H$195,T45,IF(H45=Forecast!$H$196,BO45,IF(H45=Forecast!$H$197,SUM(T45:BO45),IF(H45=Forecast!$H$198,AVERAGE(T45:BO45),0))))</f>
        <v>0.97915172576904297</v>
      </c>
      <c r="J45" s="16"/>
      <c r="K45" s="16"/>
      <c r="L45" s="16"/>
      <c r="M45" s="16"/>
      <c r="N45" s="16"/>
      <c r="O45" s="16"/>
      <c r="P45" s="16"/>
      <c r="Q45" s="16"/>
      <c r="R45" s="16"/>
      <c r="S45" s="16"/>
      <c r="T45" s="51">
        <f t="shared" ref="T45:BO45" ca="1" si="11">$I44/48*(48-T6)/48</f>
        <v>4.0797988573710121E-2</v>
      </c>
      <c r="U45" s="51">
        <f t="shared" ca="1" si="11"/>
        <v>3.9929946263631187E-2</v>
      </c>
      <c r="V45" s="51">
        <f t="shared" ca="1" si="11"/>
        <v>3.9061903953552246E-2</v>
      </c>
      <c r="W45" s="51">
        <f t="shared" ca="1" si="11"/>
        <v>3.8193861643473305E-2</v>
      </c>
      <c r="X45" s="51">
        <f t="shared" ca="1" si="11"/>
        <v>3.7325819333394371E-2</v>
      </c>
      <c r="Y45" s="51">
        <f t="shared" ca="1" si="11"/>
        <v>3.645777702331543E-2</v>
      </c>
      <c r="Z45" s="51">
        <f t="shared" ca="1" si="11"/>
        <v>3.5589734713236489E-2</v>
      </c>
      <c r="AA45" s="51">
        <f t="shared" ca="1" si="11"/>
        <v>3.4721692403157554E-2</v>
      </c>
      <c r="AB45" s="51">
        <f t="shared" ca="1" si="11"/>
        <v>3.3853650093078613E-2</v>
      </c>
      <c r="AC45" s="51">
        <f t="shared" ca="1" si="11"/>
        <v>3.2985607782999672E-2</v>
      </c>
      <c r="AD45" s="51">
        <f t="shared" ca="1" si="11"/>
        <v>3.2117565472920738E-2</v>
      </c>
      <c r="AE45" s="51">
        <f t="shared" ca="1" si="11"/>
        <v>3.1249523162841797E-2</v>
      </c>
      <c r="AF45" s="51">
        <f t="shared" ca="1" si="11"/>
        <v>3.0381480852762859E-2</v>
      </c>
      <c r="AG45" s="51">
        <f t="shared" ca="1" si="11"/>
        <v>2.9513438542683918E-2</v>
      </c>
      <c r="AH45" s="51">
        <f t="shared" ca="1" si="11"/>
        <v>2.864539623260498E-2</v>
      </c>
      <c r="AI45" s="51">
        <f t="shared" ca="1" si="11"/>
        <v>2.7777353922526043E-2</v>
      </c>
      <c r="AJ45" s="51">
        <f t="shared" ca="1" si="11"/>
        <v>2.6909311612447102E-2</v>
      </c>
      <c r="AK45" s="51">
        <f t="shared" ca="1" si="11"/>
        <v>2.6041269302368164E-2</v>
      </c>
      <c r="AL45" s="51">
        <f t="shared" ca="1" si="11"/>
        <v>2.5173226992289226E-2</v>
      </c>
      <c r="AM45" s="51">
        <f t="shared" ca="1" si="11"/>
        <v>2.4305184682210285E-2</v>
      </c>
      <c r="AN45" s="51">
        <f t="shared" ca="1" si="11"/>
        <v>2.3437142372131348E-2</v>
      </c>
      <c r="AO45" s="51">
        <f t="shared" ca="1" si="11"/>
        <v>2.256910006205241E-2</v>
      </c>
      <c r="AP45" s="51">
        <f t="shared" ca="1" si="11"/>
        <v>2.1701057751973469E-2</v>
      </c>
      <c r="AQ45" s="51">
        <f t="shared" ca="1" si="11"/>
        <v>2.0833015441894531E-2</v>
      </c>
      <c r="AR45" s="51">
        <f t="shared" ca="1" si="11"/>
        <v>1.9964973131815594E-2</v>
      </c>
      <c r="AS45" s="51">
        <f t="shared" ca="1" si="11"/>
        <v>1.9096930821736652E-2</v>
      </c>
      <c r="AT45" s="51">
        <f t="shared" ca="1" si="11"/>
        <v>1.8228888511657715E-2</v>
      </c>
      <c r="AU45" s="51">
        <f t="shared" ca="1" si="11"/>
        <v>1.7360846201578777E-2</v>
      </c>
      <c r="AV45" s="51">
        <f t="shared" ca="1" si="11"/>
        <v>1.6492803891499836E-2</v>
      </c>
      <c r="AW45" s="51">
        <f t="shared" ca="1" si="11"/>
        <v>1.5624761581420898E-2</v>
      </c>
      <c r="AX45" s="51">
        <f t="shared" ca="1" si="11"/>
        <v>1.4756719271341959E-2</v>
      </c>
      <c r="AY45" s="51">
        <f t="shared" ca="1" si="11"/>
        <v>1.3888676961263021E-2</v>
      </c>
      <c r="AZ45" s="51">
        <f t="shared" ca="1" si="11"/>
        <v>1.3020634651184082E-2</v>
      </c>
      <c r="BA45" s="51">
        <f t="shared" ca="1" si="11"/>
        <v>1.2152592341105143E-2</v>
      </c>
      <c r="BB45" s="51">
        <f t="shared" ca="1" si="11"/>
        <v>1.1284550031026205E-2</v>
      </c>
      <c r="BC45" s="51">
        <f t="shared" ca="1" si="11"/>
        <v>1.0416507720947266E-2</v>
      </c>
      <c r="BD45" s="51">
        <f t="shared" ca="1" si="11"/>
        <v>9.5484654108683262E-3</v>
      </c>
      <c r="BE45" s="51">
        <f t="shared" ca="1" si="11"/>
        <v>8.6804231007893886E-3</v>
      </c>
      <c r="BF45" s="51">
        <f t="shared" ca="1" si="11"/>
        <v>7.8123807907104492E-3</v>
      </c>
      <c r="BG45" s="51">
        <f t="shared" ca="1" si="11"/>
        <v>6.9443384806315107E-3</v>
      </c>
      <c r="BH45" s="51">
        <f t="shared" ca="1" si="11"/>
        <v>6.0762961705525713E-3</v>
      </c>
      <c r="BI45" s="51">
        <f t="shared" ca="1" si="11"/>
        <v>5.2082538604736328E-3</v>
      </c>
      <c r="BJ45" s="51">
        <f t="shared" ca="1" si="11"/>
        <v>4.3402115503946943E-3</v>
      </c>
      <c r="BK45" s="51">
        <f t="shared" ca="1" si="11"/>
        <v>3.4721692403157554E-3</v>
      </c>
      <c r="BL45" s="51">
        <f t="shared" ca="1" si="11"/>
        <v>2.6041269302368164E-3</v>
      </c>
      <c r="BM45" s="51">
        <f t="shared" ca="1" si="11"/>
        <v>1.7360846201578777E-3</v>
      </c>
      <c r="BN45" s="51">
        <f t="shared" ca="1" si="11"/>
        <v>8.6804231007893884E-4</v>
      </c>
      <c r="BO45" s="51">
        <f t="shared" ca="1" si="11"/>
        <v>0</v>
      </c>
    </row>
    <row r="46" spans="1:67" ht="16.5" customHeight="1">
      <c r="A46" s="1"/>
      <c r="B46" s="16" t="s">
        <v>162</v>
      </c>
      <c r="C46" s="17" t="s">
        <v>104</v>
      </c>
      <c r="D46" s="16" t="s">
        <v>163</v>
      </c>
      <c r="E46" s="16"/>
      <c r="F46" s="16"/>
      <c r="G46" s="16"/>
      <c r="H46" s="16" t="s">
        <v>143</v>
      </c>
      <c r="I46" s="50">
        <f>IF(H46=Forecast!$H$195,T46,IF(H46=Forecast!$H$196,BO46,IF(H46=Forecast!$H$197,SUM(T46:BO46),IF(H46=Forecast!$H$198,AVERAGE(T46:BO46),0))))</f>
        <v>1</v>
      </c>
      <c r="J46" s="16"/>
      <c r="K46" s="16"/>
      <c r="L46" s="16"/>
      <c r="M46" s="16"/>
      <c r="N46" s="16"/>
      <c r="O46" s="16"/>
      <c r="P46" s="16"/>
      <c r="Q46" s="16"/>
      <c r="R46" s="16"/>
      <c r="S46" s="16"/>
      <c r="T46" s="51">
        <f>IF(T47&gt;'Get Started'!$D47,'Get Started'!$D48,1)</f>
        <v>1</v>
      </c>
      <c r="U46" s="51">
        <f>IF(U47&gt;'Get Started'!$D47,'Get Started'!$D48,1)</f>
        <v>1</v>
      </c>
      <c r="V46" s="51">
        <f>IF(V47&gt;'Get Started'!$D47,'Get Started'!$D48,1)</f>
        <v>1</v>
      </c>
      <c r="W46" s="51">
        <f>IF(W47&gt;'Get Started'!$D47,'Get Started'!$D48,1)</f>
        <v>1</v>
      </c>
      <c r="X46" s="51">
        <f>IF(X47&gt;'Get Started'!$D47,'Get Started'!$D48,1)</f>
        <v>1</v>
      </c>
      <c r="Y46" s="51">
        <f>IF(Y47&gt;'Get Started'!$D47,'Get Started'!$D48,1)</f>
        <v>1</v>
      </c>
      <c r="Z46" s="51">
        <f>IF(Z47&gt;'Get Started'!$D47,'Get Started'!$D48,1)</f>
        <v>1</v>
      </c>
      <c r="AA46" s="51">
        <f>IF(AA47&gt;'Get Started'!$D47,'Get Started'!$D48,1)</f>
        <v>1</v>
      </c>
      <c r="AB46" s="51">
        <f>IF(AB47&gt;'Get Started'!$D47,'Get Started'!$D48,1)</f>
        <v>1</v>
      </c>
      <c r="AC46" s="51">
        <f>IF(AC47&gt;'Get Started'!$D47,'Get Started'!$D48,1)</f>
        <v>1</v>
      </c>
      <c r="AD46" s="51">
        <f>IF(AD47&gt;'Get Started'!$D47,'Get Started'!$D48,1)</f>
        <v>1</v>
      </c>
      <c r="AE46" s="51">
        <f>IF(AE47&gt;'Get Started'!$D47,'Get Started'!$D48,1)</f>
        <v>1</v>
      </c>
      <c r="AF46" s="51">
        <f>IF(AF47&gt;'Get Started'!$D47,'Get Started'!$D48,1)</f>
        <v>1</v>
      </c>
      <c r="AG46" s="51">
        <f>IF(AG47&gt;'Get Started'!$D47,'Get Started'!$D48,1)</f>
        <v>1</v>
      </c>
      <c r="AH46" s="51">
        <f>IF(AH47&gt;'Get Started'!$D47,'Get Started'!$D48,1)</f>
        <v>1</v>
      </c>
      <c r="AI46" s="51">
        <f>IF(AI47&gt;'Get Started'!$D47,'Get Started'!$D48,1)</f>
        <v>1</v>
      </c>
      <c r="AJ46" s="51">
        <f>IF(AJ47&gt;'Get Started'!$D47,'Get Started'!$D48,1)</f>
        <v>1</v>
      </c>
      <c r="AK46" s="51">
        <f>IF(AK47&gt;'Get Started'!$D47,'Get Started'!$D48,1)</f>
        <v>1</v>
      </c>
      <c r="AL46" s="51">
        <f>IF(AL47&gt;'Get Started'!$D47,'Get Started'!$D48,1)</f>
        <v>1</v>
      </c>
      <c r="AM46" s="51">
        <f>IF(AM47&gt;'Get Started'!$D47,'Get Started'!$D48,1)</f>
        <v>1</v>
      </c>
      <c r="AN46" s="51">
        <f>IF(AN47&gt;'Get Started'!$D47,'Get Started'!$D48,1)</f>
        <v>1</v>
      </c>
      <c r="AO46" s="51">
        <f>IF(AO47&gt;'Get Started'!$D47,'Get Started'!$D48,1)</f>
        <v>1</v>
      </c>
      <c r="AP46" s="51">
        <f>IF(AP47&gt;'Get Started'!$D47,'Get Started'!$D48,1)</f>
        <v>1</v>
      </c>
      <c r="AQ46" s="51">
        <f>IF(AQ47&gt;'Get Started'!$D47,'Get Started'!$D48,1)</f>
        <v>1</v>
      </c>
      <c r="AR46" s="51">
        <f>IF(AR47&gt;'Get Started'!$D47,'Get Started'!$D48,1)</f>
        <v>1</v>
      </c>
      <c r="AS46" s="51">
        <f>IF(AS47&gt;'Get Started'!$D47,'Get Started'!$D48,1)</f>
        <v>1</v>
      </c>
      <c r="AT46" s="51">
        <f>IF(AT47&gt;'Get Started'!$D47,'Get Started'!$D48,1)</f>
        <v>1</v>
      </c>
      <c r="AU46" s="51">
        <f>IF(AU47&gt;'Get Started'!$D47,'Get Started'!$D48,1)</f>
        <v>1</v>
      </c>
      <c r="AV46" s="51">
        <f>IF(AV47&gt;'Get Started'!$D47,'Get Started'!$D48,1)</f>
        <v>1</v>
      </c>
      <c r="AW46" s="51">
        <f>IF(AW47&gt;'Get Started'!$D47,'Get Started'!$D48,1)</f>
        <v>1</v>
      </c>
      <c r="AX46" s="51">
        <f>IF(AX47&gt;'Get Started'!$D47,'Get Started'!$D48,1)</f>
        <v>1</v>
      </c>
      <c r="AY46" s="51">
        <f>IF(AY47&gt;'Get Started'!$D47,'Get Started'!$D48,1)</f>
        <v>1</v>
      </c>
      <c r="AZ46" s="51">
        <f>IF(AZ47&gt;'Get Started'!$D47,'Get Started'!$D48,1)</f>
        <v>1</v>
      </c>
      <c r="BA46" s="51">
        <f>IF(BA47&gt;'Get Started'!$D47,'Get Started'!$D48,1)</f>
        <v>1</v>
      </c>
      <c r="BB46" s="51">
        <f>IF(BB47&gt;'Get Started'!$D47,'Get Started'!$D48,1)</f>
        <v>1</v>
      </c>
      <c r="BC46" s="51">
        <f>IF(BC47&gt;'Get Started'!$D47,'Get Started'!$D48,1)</f>
        <v>1</v>
      </c>
      <c r="BD46" s="51">
        <f>IF(BD47&gt;'Get Started'!$D47,'Get Started'!$D48,1)</f>
        <v>1</v>
      </c>
      <c r="BE46" s="51">
        <f>IF(BE47&gt;'Get Started'!$D47,'Get Started'!$D48,1)</f>
        <v>1</v>
      </c>
      <c r="BF46" s="51">
        <f>IF(BF47&gt;'Get Started'!$D47,'Get Started'!$D48,1)</f>
        <v>1</v>
      </c>
      <c r="BG46" s="51">
        <f>IF(BG47&gt;'Get Started'!$D47,'Get Started'!$D48,1)</f>
        <v>1</v>
      </c>
      <c r="BH46" s="51">
        <f>IF(BH47&gt;'Get Started'!$D47,'Get Started'!$D48,1)</f>
        <v>1</v>
      </c>
      <c r="BI46" s="51">
        <f>IF(BI47&gt;'Get Started'!$D47,'Get Started'!$D48,1)</f>
        <v>1</v>
      </c>
      <c r="BJ46" s="51">
        <f>IF(BJ47&gt;'Get Started'!$D47,'Get Started'!$D48,1)</f>
        <v>1</v>
      </c>
      <c r="BK46" s="51">
        <f>IF(BK47&gt;'Get Started'!$D47,'Get Started'!$D48,1)</f>
        <v>1</v>
      </c>
      <c r="BL46" s="51">
        <f>IF(BL47&gt;'Get Started'!$D47,'Get Started'!$D48,1)</f>
        <v>1</v>
      </c>
      <c r="BM46" s="51">
        <f>IF(BM47&gt;'Get Started'!$D47,'Get Started'!$D48,1)</f>
        <v>1</v>
      </c>
      <c r="BN46" s="51">
        <f>IF(BN47&gt;'Get Started'!$D47,'Get Started'!$D48,1)</f>
        <v>1</v>
      </c>
      <c r="BO46" s="51">
        <f>IF(BO47&gt;'Get Started'!$D47,'Get Started'!$D48,1)</f>
        <v>1</v>
      </c>
    </row>
    <row r="47" spans="1:67" ht="16.5" customHeight="1">
      <c r="A47" s="1"/>
      <c r="B47" s="16" t="s">
        <v>164</v>
      </c>
      <c r="C47" s="17" t="s">
        <v>104</v>
      </c>
      <c r="D47" s="16"/>
      <c r="E47" s="16"/>
      <c r="F47" s="16"/>
      <c r="G47" s="16"/>
      <c r="H47" s="16"/>
      <c r="I47" s="46"/>
      <c r="J47" s="16"/>
      <c r="K47" s="16"/>
      <c r="L47" s="16"/>
      <c r="M47" s="16"/>
      <c r="N47" s="16"/>
      <c r="O47" s="16"/>
      <c r="P47" s="16"/>
      <c r="Q47" s="16"/>
      <c r="R47" s="16"/>
      <c r="S47" s="54">
        <v>0</v>
      </c>
      <c r="T47" s="46">
        <f t="shared" ref="T47:BO47" si="12">T34+S47</f>
        <v>550</v>
      </c>
      <c r="U47" s="46">
        <f t="shared" si="12"/>
        <v>1100</v>
      </c>
      <c r="V47" s="46">
        <f t="shared" si="12"/>
        <v>1650</v>
      </c>
      <c r="W47" s="46">
        <f t="shared" si="12"/>
        <v>2200</v>
      </c>
      <c r="X47" s="46">
        <f t="shared" si="12"/>
        <v>2750</v>
      </c>
      <c r="Y47" s="46">
        <f t="shared" si="12"/>
        <v>3300</v>
      </c>
      <c r="Z47" s="46">
        <f t="shared" si="12"/>
        <v>3850</v>
      </c>
      <c r="AA47" s="46">
        <f t="shared" si="12"/>
        <v>4400</v>
      </c>
      <c r="AB47" s="46">
        <f t="shared" si="12"/>
        <v>4950</v>
      </c>
      <c r="AC47" s="46">
        <f t="shared" si="12"/>
        <v>5500</v>
      </c>
      <c r="AD47" s="46">
        <f t="shared" si="12"/>
        <v>6050</v>
      </c>
      <c r="AE47" s="46">
        <f t="shared" si="12"/>
        <v>6600</v>
      </c>
      <c r="AF47" s="46">
        <f t="shared" si="12"/>
        <v>7150</v>
      </c>
      <c r="AG47" s="46">
        <f t="shared" si="12"/>
        <v>7700</v>
      </c>
      <c r="AH47" s="46">
        <f t="shared" si="12"/>
        <v>8250</v>
      </c>
      <c r="AI47" s="46">
        <f t="shared" si="12"/>
        <v>8800</v>
      </c>
      <c r="AJ47" s="46">
        <f t="shared" si="12"/>
        <v>9350</v>
      </c>
      <c r="AK47" s="46">
        <f t="shared" si="12"/>
        <v>9900</v>
      </c>
      <c r="AL47" s="46">
        <f t="shared" si="12"/>
        <v>10450</v>
      </c>
      <c r="AM47" s="46">
        <f t="shared" si="12"/>
        <v>11000</v>
      </c>
      <c r="AN47" s="46">
        <f t="shared" si="12"/>
        <v>11550</v>
      </c>
      <c r="AO47" s="46">
        <f t="shared" si="12"/>
        <v>12100</v>
      </c>
      <c r="AP47" s="46">
        <f t="shared" si="12"/>
        <v>12650</v>
      </c>
      <c r="AQ47" s="46">
        <f t="shared" si="12"/>
        <v>13200</v>
      </c>
      <c r="AR47" s="46">
        <f t="shared" si="12"/>
        <v>13750</v>
      </c>
      <c r="AS47" s="46">
        <f t="shared" si="12"/>
        <v>14300</v>
      </c>
      <c r="AT47" s="46">
        <f t="shared" si="12"/>
        <v>14850</v>
      </c>
      <c r="AU47" s="46">
        <f t="shared" si="12"/>
        <v>15400</v>
      </c>
      <c r="AV47" s="46">
        <f t="shared" si="12"/>
        <v>15950</v>
      </c>
      <c r="AW47" s="46">
        <f t="shared" si="12"/>
        <v>16500</v>
      </c>
      <c r="AX47" s="46">
        <f t="shared" si="12"/>
        <v>17050</v>
      </c>
      <c r="AY47" s="46">
        <f t="shared" si="12"/>
        <v>17600</v>
      </c>
      <c r="AZ47" s="46">
        <f t="shared" si="12"/>
        <v>18150</v>
      </c>
      <c r="BA47" s="46">
        <f t="shared" si="12"/>
        <v>18700</v>
      </c>
      <c r="BB47" s="46">
        <f t="shared" si="12"/>
        <v>19250</v>
      </c>
      <c r="BC47" s="46">
        <f t="shared" si="12"/>
        <v>19800</v>
      </c>
      <c r="BD47" s="46">
        <f t="shared" si="12"/>
        <v>20350</v>
      </c>
      <c r="BE47" s="46">
        <f t="shared" si="12"/>
        <v>20900</v>
      </c>
      <c r="BF47" s="46">
        <f t="shared" si="12"/>
        <v>21450</v>
      </c>
      <c r="BG47" s="46">
        <f t="shared" si="12"/>
        <v>22000</v>
      </c>
      <c r="BH47" s="46">
        <f t="shared" si="12"/>
        <v>22550</v>
      </c>
      <c r="BI47" s="46">
        <f t="shared" si="12"/>
        <v>23100</v>
      </c>
      <c r="BJ47" s="46">
        <f t="shared" si="12"/>
        <v>23650</v>
      </c>
      <c r="BK47" s="46">
        <f t="shared" si="12"/>
        <v>24200</v>
      </c>
      <c r="BL47" s="46">
        <f t="shared" si="12"/>
        <v>24750</v>
      </c>
      <c r="BM47" s="46">
        <f t="shared" si="12"/>
        <v>25300</v>
      </c>
      <c r="BN47" s="46">
        <f t="shared" si="12"/>
        <v>25850</v>
      </c>
      <c r="BO47" s="46">
        <f t="shared" si="12"/>
        <v>26400</v>
      </c>
    </row>
    <row r="48" spans="1:67" ht="16.5" customHeight="1">
      <c r="A48" s="1"/>
      <c r="B48" s="16" t="s">
        <v>165</v>
      </c>
      <c r="C48" s="17" t="s">
        <v>104</v>
      </c>
      <c r="D48" s="16"/>
      <c r="E48" s="16"/>
      <c r="F48" s="16"/>
      <c r="G48" s="16"/>
      <c r="H48" s="16"/>
      <c r="I48" s="46"/>
      <c r="J48" s="16"/>
      <c r="K48" s="16"/>
      <c r="L48" s="16"/>
      <c r="M48" s="16"/>
      <c r="N48" s="16"/>
      <c r="O48" s="16"/>
      <c r="P48" s="16"/>
      <c r="Q48" s="16"/>
      <c r="R48" s="16"/>
      <c r="S48" s="54">
        <v>0</v>
      </c>
      <c r="T48" s="46">
        <f t="shared" ref="T48:BO48" ca="1" si="13">T54+S48</f>
        <v>7510.723954767851</v>
      </c>
      <c r="U48" s="46">
        <f t="shared" ca="1" si="13"/>
        <v>10142.415115656144</v>
      </c>
      <c r="V48" s="46">
        <f t="shared" ca="1" si="13"/>
        <v>13493.895002006986</v>
      </c>
      <c r="W48" s="46">
        <f t="shared" ca="1" si="13"/>
        <v>17045.25671531252</v>
      </c>
      <c r="X48" s="46">
        <f t="shared" ca="1" si="13"/>
        <v>22017.118357500643</v>
      </c>
      <c r="Y48" s="46">
        <f t="shared" ca="1" si="13"/>
        <v>28808.84873668306</v>
      </c>
      <c r="Z48" s="46">
        <f t="shared" ca="1" si="13"/>
        <v>37437.064012736781</v>
      </c>
      <c r="AA48" s="46">
        <f t="shared" ca="1" si="13"/>
        <v>48752.618231598535</v>
      </c>
      <c r="AB48" s="46">
        <f t="shared" ca="1" si="13"/>
        <v>63143.496662956852</v>
      </c>
      <c r="AC48" s="46">
        <f t="shared" ca="1" si="13"/>
        <v>80744.585795012157</v>
      </c>
      <c r="AD48" s="46">
        <f t="shared" ca="1" si="13"/>
        <v>102043.62430888222</v>
      </c>
      <c r="AE48" s="46">
        <f t="shared" ca="1" si="13"/>
        <v>127235.8958331692</v>
      </c>
      <c r="AF48" s="46">
        <f t="shared" ca="1" si="13"/>
        <v>156337.19440121081</v>
      </c>
      <c r="AG48" s="46">
        <f t="shared" ca="1" si="13"/>
        <v>189496.50150610128</v>
      </c>
      <c r="AH48" s="46">
        <f t="shared" ca="1" si="13"/>
        <v>226684.42252578592</v>
      </c>
      <c r="AI48" s="46">
        <f t="shared" ca="1" si="13"/>
        <v>267760.23796648905</v>
      </c>
      <c r="AJ48" s="46">
        <f t="shared" ca="1" si="13"/>
        <v>312637.63031998504</v>
      </c>
      <c r="AK48" s="46">
        <f t="shared" ca="1" si="13"/>
        <v>361136.70084997453</v>
      </c>
      <c r="AL48" s="46">
        <f t="shared" ca="1" si="13"/>
        <v>413023.58935549652</v>
      </c>
      <c r="AM48" s="46">
        <f t="shared" ca="1" si="13"/>
        <v>468097.81055746676</v>
      </c>
      <c r="AN48" s="46">
        <f t="shared" ca="1" si="13"/>
        <v>526121.31091554603</v>
      </c>
      <c r="AO48" s="46">
        <f t="shared" ca="1" si="13"/>
        <v>586840.14829596924</v>
      </c>
      <c r="AP48" s="46">
        <f t="shared" ca="1" si="13"/>
        <v>650029.1031179179</v>
      </c>
      <c r="AQ48" s="46">
        <f t="shared" ca="1" si="13"/>
        <v>715456.45478043379</v>
      </c>
      <c r="AR48" s="46">
        <f t="shared" ca="1" si="13"/>
        <v>782894.57379070926</v>
      </c>
      <c r="AS48" s="46">
        <f t="shared" ca="1" si="13"/>
        <v>852141.64639683207</v>
      </c>
      <c r="AT48" s="46">
        <f t="shared" ca="1" si="13"/>
        <v>923003.27564461343</v>
      </c>
      <c r="AU48" s="46">
        <f t="shared" ca="1" si="13"/>
        <v>995296.879638126</v>
      </c>
      <c r="AV48" s="46">
        <f t="shared" ca="1" si="13"/>
        <v>1068861.6146503612</v>
      </c>
      <c r="AW48" s="46">
        <f t="shared" ca="1" si="13"/>
        <v>1143548.2431837777</v>
      </c>
      <c r="AX48" s="46">
        <f t="shared" ca="1" si="13"/>
        <v>1219220.4391747294</v>
      </c>
      <c r="AY48" s="46">
        <f t="shared" ca="1" si="13"/>
        <v>1295758.913711474</v>
      </c>
      <c r="AZ48" s="46">
        <f t="shared" ca="1" si="13"/>
        <v>1373055.5819343787</v>
      </c>
      <c r="BA48" s="46">
        <f t="shared" ca="1" si="13"/>
        <v>1451013.5215314138</v>
      </c>
      <c r="BB48" s="46">
        <f t="shared" ca="1" si="13"/>
        <v>1529548.4145379632</v>
      </c>
      <c r="BC48" s="46">
        <f t="shared" ca="1" si="13"/>
        <v>1608585.0800091091</v>
      </c>
      <c r="BD48" s="46">
        <f t="shared" ca="1" si="13"/>
        <v>1688057.4822895187</v>
      </c>
      <c r="BE48" s="46">
        <f t="shared" ca="1" si="13"/>
        <v>1767907.5125074263</v>
      </c>
      <c r="BF48" s="46">
        <f t="shared" ca="1" si="13"/>
        <v>1848084.3743411817</v>
      </c>
      <c r="BG48" s="46">
        <f t="shared" ca="1" si="13"/>
        <v>1928543.7789597744</v>
      </c>
      <c r="BH48" s="46">
        <f t="shared" ca="1" si="13"/>
        <v>2009247.0582146528</v>
      </c>
      <c r="BI48" s="46">
        <f t="shared" ca="1" si="13"/>
        <v>2090160.618123909</v>
      </c>
      <c r="BJ48" s="46">
        <f t="shared" ca="1" si="13"/>
        <v>2171255.3303259974</v>
      </c>
      <c r="BK48" s="46">
        <f t="shared" ca="1" si="13"/>
        <v>2252505.9117263141</v>
      </c>
      <c r="BL48" s="46">
        <f t="shared" ca="1" si="13"/>
        <v>2333890.4995006598</v>
      </c>
      <c r="BM48" s="46">
        <f t="shared" ca="1" si="13"/>
        <v>2415390.2168785874</v>
      </c>
      <c r="BN48" s="46">
        <f t="shared" ca="1" si="13"/>
        <v>2496988.7518148371</v>
      </c>
      <c r="BO48" s="46">
        <f t="shared" ca="1" si="13"/>
        <v>2578672.0495050014</v>
      </c>
    </row>
    <row r="49" spans="1:67" ht="16.5" customHeight="1">
      <c r="A49" s="1"/>
      <c r="B49" s="22"/>
      <c r="C49" s="17"/>
      <c r="D49" s="16"/>
      <c r="E49" s="16"/>
      <c r="F49" s="16"/>
      <c r="G49" s="16"/>
      <c r="H49" s="16"/>
      <c r="I49" s="46"/>
      <c r="J49" s="16"/>
      <c r="K49" s="16"/>
      <c r="L49" s="16"/>
      <c r="M49" s="16"/>
      <c r="N49" s="16"/>
      <c r="O49" s="16"/>
      <c r="P49" s="16"/>
      <c r="Q49" s="16"/>
      <c r="R49" s="16"/>
      <c r="S49" s="1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row>
    <row r="50" spans="1:67" ht="16.5" customHeight="1">
      <c r="A50" s="1"/>
      <c r="B50" s="22" t="s">
        <v>166</v>
      </c>
      <c r="C50" s="17"/>
      <c r="D50" s="16"/>
      <c r="E50" s="16"/>
      <c r="F50" s="16"/>
      <c r="G50" s="16"/>
      <c r="H50" s="16"/>
      <c r="I50" s="46"/>
      <c r="J50" s="16"/>
      <c r="K50" s="16"/>
      <c r="L50" s="16"/>
      <c r="M50" s="16"/>
      <c r="N50" s="16"/>
      <c r="O50" s="16"/>
      <c r="P50" s="16"/>
      <c r="Q50" s="16"/>
      <c r="R50" s="16"/>
      <c r="S50" s="1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row>
    <row r="51" spans="1:67" ht="16.5" customHeight="1">
      <c r="A51" s="1"/>
      <c r="B51" s="16" t="s">
        <v>167</v>
      </c>
      <c r="C51" s="17"/>
      <c r="D51" s="16" t="s">
        <v>168</v>
      </c>
      <c r="E51" s="16"/>
      <c r="F51" s="16"/>
      <c r="G51" s="16"/>
      <c r="H51" s="16" t="s">
        <v>155</v>
      </c>
      <c r="I51" s="46">
        <f ca="1">IF(H51=Forecast!$H$195,T51,IF(H51=Forecast!$H$196,BO51,IF(H51=Forecast!$H$197,SUM(T51:BO51),IF(H51=Forecast!$H$198,AVERAGE(T51:BO51),0))))</f>
        <v>128933602.47525004</v>
      </c>
      <c r="J51" s="16"/>
      <c r="K51" s="16"/>
      <c r="L51" s="16"/>
      <c r="M51" s="16"/>
      <c r="N51" s="16"/>
      <c r="O51" s="16"/>
      <c r="P51" s="16"/>
      <c r="Q51" s="16"/>
      <c r="R51" s="16"/>
      <c r="S51" s="16"/>
      <c r="T51" s="46">
        <f t="shared" ref="T51:BO51" ca="1" si="14">T54/T37</f>
        <v>375536.19773839251</v>
      </c>
      <c r="U51" s="46">
        <f t="shared" ca="1" si="14"/>
        <v>131584.55804441465</v>
      </c>
      <c r="V51" s="46">
        <f t="shared" ca="1" si="14"/>
        <v>167573.99431754212</v>
      </c>
      <c r="W51" s="46">
        <f t="shared" ca="1" si="14"/>
        <v>177568.08566527665</v>
      </c>
      <c r="X51" s="46">
        <f t="shared" ca="1" si="14"/>
        <v>248593.08210940624</v>
      </c>
      <c r="Y51" s="46">
        <f t="shared" ca="1" si="14"/>
        <v>339586.51895912091</v>
      </c>
      <c r="Z51" s="46">
        <f t="shared" ca="1" si="14"/>
        <v>431410.76380268583</v>
      </c>
      <c r="AA51" s="46">
        <f t="shared" ca="1" si="14"/>
        <v>565777.7109430877</v>
      </c>
      <c r="AB51" s="46">
        <f t="shared" ca="1" si="14"/>
        <v>719543.92156791594</v>
      </c>
      <c r="AC51" s="46">
        <f t="shared" ca="1" si="14"/>
        <v>880054.4566027649</v>
      </c>
      <c r="AD51" s="46">
        <f t="shared" ca="1" si="14"/>
        <v>1064951.9256935033</v>
      </c>
      <c r="AE51" s="46">
        <f t="shared" ca="1" si="14"/>
        <v>1259613.5762143491</v>
      </c>
      <c r="AF51" s="46">
        <f t="shared" ca="1" si="14"/>
        <v>1455064.9284020807</v>
      </c>
      <c r="AG51" s="46">
        <f t="shared" ca="1" si="14"/>
        <v>1657965.3552445227</v>
      </c>
      <c r="AH51" s="46">
        <f t="shared" ca="1" si="14"/>
        <v>1859396.050984232</v>
      </c>
      <c r="AI51" s="46">
        <f t="shared" ca="1" si="14"/>
        <v>2053790.7720351554</v>
      </c>
      <c r="AJ51" s="46">
        <f t="shared" ca="1" si="14"/>
        <v>2243869.6176747992</v>
      </c>
      <c r="AK51" s="46">
        <f t="shared" ca="1" si="14"/>
        <v>2424953.5264994744</v>
      </c>
      <c r="AL51" s="46">
        <f t="shared" ca="1" si="14"/>
        <v>2594344.4252760992</v>
      </c>
      <c r="AM51" s="46">
        <f t="shared" ca="1" si="14"/>
        <v>2753711.0600985112</v>
      </c>
      <c r="AN51" s="46">
        <f t="shared" ca="1" si="14"/>
        <v>2901175.0179039636</v>
      </c>
      <c r="AO51" s="46">
        <f t="shared" ca="1" si="14"/>
        <v>3035941.8690211577</v>
      </c>
      <c r="AP51" s="46">
        <f t="shared" ca="1" si="14"/>
        <v>3159447.7410974335</v>
      </c>
      <c r="AQ51" s="46">
        <f t="shared" ca="1" si="14"/>
        <v>3271367.5831257971</v>
      </c>
      <c r="AR51" s="46">
        <f t="shared" ca="1" si="14"/>
        <v>3371905.9505137703</v>
      </c>
      <c r="AS51" s="46">
        <f t="shared" ca="1" si="14"/>
        <v>3462353.6303061396</v>
      </c>
      <c r="AT51" s="46">
        <f t="shared" ca="1" si="14"/>
        <v>3543081.4623890691</v>
      </c>
      <c r="AU51" s="46">
        <f t="shared" ca="1" si="14"/>
        <v>3614680.1996756284</v>
      </c>
      <c r="AV51" s="46">
        <f t="shared" ca="1" si="14"/>
        <v>3678236.7506117616</v>
      </c>
      <c r="AW51" s="46">
        <f t="shared" ca="1" si="14"/>
        <v>3734331.4266708191</v>
      </c>
      <c r="AX51" s="46">
        <f t="shared" ca="1" si="14"/>
        <v>3783609.7995475819</v>
      </c>
      <c r="AY51" s="46">
        <f t="shared" ca="1" si="14"/>
        <v>3826923.7268372276</v>
      </c>
      <c r="AZ51" s="46">
        <f t="shared" ca="1" si="14"/>
        <v>3864833.4111452322</v>
      </c>
      <c r="BA51" s="46">
        <f t="shared" ca="1" si="14"/>
        <v>3897896.9798517558</v>
      </c>
      <c r="BB51" s="46">
        <f t="shared" ca="1" si="14"/>
        <v>3926744.6503274739</v>
      </c>
      <c r="BC51" s="46">
        <f t="shared" ca="1" si="14"/>
        <v>3951833.2735572942</v>
      </c>
      <c r="BD51" s="46">
        <f t="shared" ca="1" si="14"/>
        <v>3973620.1140204845</v>
      </c>
      <c r="BE51" s="46">
        <f t="shared" ca="1" si="14"/>
        <v>3992501.510895384</v>
      </c>
      <c r="BF51" s="46">
        <f t="shared" ca="1" si="14"/>
        <v>4008843.0916877668</v>
      </c>
      <c r="BG51" s="46">
        <f t="shared" ca="1" si="14"/>
        <v>4022970.2309296364</v>
      </c>
      <c r="BH51" s="46">
        <f t="shared" ca="1" si="14"/>
        <v>4035163.9627439179</v>
      </c>
      <c r="BI51" s="46">
        <f t="shared" ca="1" si="14"/>
        <v>4045677.9954628116</v>
      </c>
      <c r="BJ51" s="46">
        <f t="shared" ca="1" si="14"/>
        <v>4054735.6101044221</v>
      </c>
      <c r="BK51" s="46">
        <f t="shared" ca="1" si="14"/>
        <v>4062529.070015836</v>
      </c>
      <c r="BL51" s="46">
        <f t="shared" ca="1" si="14"/>
        <v>4069229.3887172798</v>
      </c>
      <c r="BM51" s="46">
        <f t="shared" ca="1" si="14"/>
        <v>4074985.8688963708</v>
      </c>
      <c r="BN51" s="46">
        <f t="shared" ca="1" si="14"/>
        <v>4079926.7468124875</v>
      </c>
      <c r="BO51" s="46">
        <f t="shared" ca="1" si="14"/>
        <v>4084164.884508207</v>
      </c>
    </row>
    <row r="52" spans="1:67" ht="16.5" customHeight="1">
      <c r="A52" s="1"/>
      <c r="B52" s="16" t="str">
        <f>'Get Started'!B38&amp;", per period"</f>
        <v>New Customers, per period</v>
      </c>
      <c r="C52" s="17" t="s">
        <v>104</v>
      </c>
      <c r="D52" s="16" t="s">
        <v>169</v>
      </c>
      <c r="E52" s="16"/>
      <c r="F52" s="16"/>
      <c r="G52" s="16"/>
      <c r="H52" s="16" t="s">
        <v>155</v>
      </c>
      <c r="I52" s="46">
        <f>IF(H52=Forecast!$H$195,T52,IF(H52=Forecast!$H$196,BO52,IF(H52=Forecast!$H$197,SUM(T52:BO52),IF(H52=Forecast!$H$198,AVERAGE(T52:BO52),0))))</f>
        <v>1404054.1066085759</v>
      </c>
      <c r="J52" s="16"/>
      <c r="K52" s="16"/>
      <c r="L52" s="16"/>
      <c r="M52" s="16"/>
      <c r="N52" s="16"/>
      <c r="O52" s="16"/>
      <c r="P52" s="16"/>
      <c r="Q52" s="16"/>
      <c r="R52" s="16"/>
      <c r="S52" s="16"/>
      <c r="T52" s="46">
        <f t="shared" ref="T52:BO52" si="15">IF(EOMONTH(T33,0)=T4,T34,S52*(1+T53))</f>
        <v>550</v>
      </c>
      <c r="U52" s="46">
        <f t="shared" si="15"/>
        <v>970.75000000000011</v>
      </c>
      <c r="V52" s="46">
        <f t="shared" si="15"/>
        <v>1601.9801875000003</v>
      </c>
      <c r="W52" s="46">
        <f t="shared" si="15"/>
        <v>2487.4146618835939</v>
      </c>
      <c r="X52" s="46">
        <f t="shared" si="15"/>
        <v>3656.0160617439792</v>
      </c>
      <c r="Y52" s="46">
        <f t="shared" si="15"/>
        <v>5115.9904360069968</v>
      </c>
      <c r="Z52" s="46">
        <f t="shared" si="15"/>
        <v>6852.5344194009513</v>
      </c>
      <c r="AA52" s="46">
        <f t="shared" si="15"/>
        <v>8829.6233977676929</v>
      </c>
      <c r="AB52" s="46">
        <f t="shared" si="15"/>
        <v>10995.01324176711</v>
      </c>
      <c r="AC52" s="46">
        <f t="shared" si="15"/>
        <v>13286.981494028441</v>
      </c>
      <c r="AD52" s="46">
        <f t="shared" si="15"/>
        <v>15641.26140443919</v>
      </c>
      <c r="AE52" s="46">
        <f t="shared" si="15"/>
        <v>17996.974881373611</v>
      </c>
      <c r="AF52" s="46">
        <f t="shared" si="15"/>
        <v>20300.904078609532</v>
      </c>
      <c r="AG52" s="46">
        <f t="shared" si="15"/>
        <v>22509.945823319176</v>
      </c>
      <c r="AH52" s="46">
        <f t="shared" si="15"/>
        <v>24591.951547397737</v>
      </c>
      <c r="AI52" s="46">
        <f t="shared" si="15"/>
        <v>26525.341198636608</v>
      </c>
      <c r="AJ52" s="46">
        <f t="shared" si="15"/>
        <v>28297.923055739495</v>
      </c>
      <c r="AK52" s="46">
        <f t="shared" si="15"/>
        <v>29905.303972451104</v>
      </c>
      <c r="AL52" s="46">
        <f t="shared" si="15"/>
        <v>31349.18494549036</v>
      </c>
      <c r="AM52" s="46">
        <f t="shared" si="15"/>
        <v>32635.739930822161</v>
      </c>
      <c r="AN52" s="46">
        <f t="shared" si="15"/>
        <v>33774.191309505499</v>
      </c>
      <c r="AO52" s="46">
        <f t="shared" si="15"/>
        <v>34775.631250210557</v>
      </c>
      <c r="AP52" s="46">
        <f t="shared" si="15"/>
        <v>35652.094876277653</v>
      </c>
      <c r="AQ52" s="46">
        <f t="shared" si="15"/>
        <v>36415.865331175359</v>
      </c>
      <c r="AR52" s="46">
        <f t="shared" si="15"/>
        <v>37078.978054483887</v>
      </c>
      <c r="AS52" s="46">
        <f t="shared" si="15"/>
        <v>37652.887547169572</v>
      </c>
      <c r="AT52" s="46">
        <f t="shared" si="15"/>
        <v>38148.261155493004</v>
      </c>
      <c r="AU52" s="46">
        <f t="shared" si="15"/>
        <v>38574.868424132335</v>
      </c>
      <c r="AV52" s="46">
        <f t="shared" si="15"/>
        <v>38941.539694181709</v>
      </c>
      <c r="AW52" s="46">
        <f t="shared" si="15"/>
        <v>39256.172841112915</v>
      </c>
      <c r="AX52" s="46">
        <f t="shared" si="15"/>
        <v>39525.77181691875</v>
      </c>
      <c r="AY52" s="46">
        <f t="shared" si="15"/>
        <v>39756.504738756812</v>
      </c>
      <c r="AZ52" s="46">
        <f t="shared" si="15"/>
        <v>39953.772596333176</v>
      </c>
      <c r="BA52" s="46">
        <f t="shared" si="15"/>
        <v>40122.282275387413</v>
      </c>
      <c r="BB52" s="46">
        <f t="shared" si="15"/>
        <v>40266.119605364707</v>
      </c>
      <c r="BC52" s="46">
        <f t="shared" si="15"/>
        <v>40388.819640943562</v>
      </c>
      <c r="BD52" s="46">
        <f t="shared" si="15"/>
        <v>40493.43248189213</v>
      </c>
      <c r="BE52" s="46">
        <f t="shared" si="15"/>
        <v>40582.583714632943</v>
      </c>
      <c r="BF52" s="46">
        <f t="shared" si="15"/>
        <v>40658.5290981824</v>
      </c>
      <c r="BG52" s="46">
        <f t="shared" si="15"/>
        <v>40723.203478387877</v>
      </c>
      <c r="BH52" s="46">
        <f t="shared" si="15"/>
        <v>40778.264145924521</v>
      </c>
      <c r="BI52" s="46">
        <f t="shared" si="15"/>
        <v>40825.128992378559</v>
      </c>
      <c r="BJ52" s="46">
        <f t="shared" si="15"/>
        <v>40865.009892792084</v>
      </c>
      <c r="BK52" s="46">
        <f t="shared" si="15"/>
        <v>40898.941772877537</v>
      </c>
      <c r="BL52" s="46">
        <f t="shared" si="15"/>
        <v>40927.807819717484</v>
      </c>
      <c r="BM52" s="46">
        <f t="shared" si="15"/>
        <v>40952.361276883195</v>
      </c>
      <c r="BN52" s="46">
        <f t="shared" si="15"/>
        <v>40973.244236091385</v>
      </c>
      <c r="BO52" s="46">
        <f t="shared" si="15"/>
        <v>40991.003802991341</v>
      </c>
    </row>
    <row r="53" spans="1:67" ht="16.5" customHeight="1">
      <c r="A53" s="1"/>
      <c r="B53" s="16" t="str">
        <f>"Growth Rate in New "&amp;'Get Started'!B38</f>
        <v>Growth Rate in New New Customers</v>
      </c>
      <c r="C53" s="17" t="s">
        <v>85</v>
      </c>
      <c r="D53" s="16" t="s">
        <v>170</v>
      </c>
      <c r="E53" s="16"/>
      <c r="F53" s="16"/>
      <c r="G53" s="16"/>
      <c r="H53" s="16" t="s">
        <v>143</v>
      </c>
      <c r="I53" s="48">
        <f>IF(H53=Forecast!$H$195,T53,IF(H53=Forecast!$H$196,BO53,IF(H53=Forecast!$H$197,SUM(T53:BO53),IF(H53=Forecast!$H$198,AVERAGE(T53:BO53),0))))</f>
        <v>0.12494882964295621</v>
      </c>
      <c r="J53" s="16"/>
      <c r="K53" s="16"/>
      <c r="L53" s="16"/>
      <c r="M53" s="16"/>
      <c r="N53" s="16"/>
      <c r="O53" s="16"/>
      <c r="P53" s="16"/>
      <c r="Q53" s="16"/>
      <c r="R53" s="16"/>
      <c r="S53" s="46"/>
      <c r="T53" s="48">
        <f t="shared" ref="T53:BO53" si="16">IF(EOMONTH(T33,0)=T4,T35,S53*(1+T36))</f>
        <v>0.9</v>
      </c>
      <c r="U53" s="48">
        <f t="shared" si="16"/>
        <v>0.76500000000000001</v>
      </c>
      <c r="V53" s="48">
        <f t="shared" si="16"/>
        <v>0.65024999999999999</v>
      </c>
      <c r="W53" s="48">
        <f t="shared" si="16"/>
        <v>0.55271249999999994</v>
      </c>
      <c r="X53" s="48">
        <f t="shared" si="16"/>
        <v>0.46980562499999995</v>
      </c>
      <c r="Y53" s="48">
        <f t="shared" si="16"/>
        <v>0.39933478124999994</v>
      </c>
      <c r="Z53" s="48">
        <f t="shared" si="16"/>
        <v>0.33943456406249994</v>
      </c>
      <c r="AA53" s="48">
        <f t="shared" si="16"/>
        <v>0.28851937945312495</v>
      </c>
      <c r="AB53" s="48">
        <f t="shared" si="16"/>
        <v>0.24524147253515619</v>
      </c>
      <c r="AC53" s="48">
        <f t="shared" si="16"/>
        <v>0.20845525165488274</v>
      </c>
      <c r="AD53" s="48">
        <f t="shared" si="16"/>
        <v>0.17718696390665031</v>
      </c>
      <c r="AE53" s="48">
        <f t="shared" si="16"/>
        <v>0.15060891932065276</v>
      </c>
      <c r="AF53" s="48">
        <f t="shared" si="16"/>
        <v>0.12801758142255484</v>
      </c>
      <c r="AG53" s="48">
        <f t="shared" si="16"/>
        <v>0.10881494420917161</v>
      </c>
      <c r="AH53" s="48">
        <f t="shared" si="16"/>
        <v>9.2492702577795863E-2</v>
      </c>
      <c r="AI53" s="48">
        <f t="shared" si="16"/>
        <v>7.861879719112648E-2</v>
      </c>
      <c r="AJ53" s="48">
        <f t="shared" si="16"/>
        <v>6.682597761245751E-2</v>
      </c>
      <c r="AK53" s="48">
        <f t="shared" si="16"/>
        <v>5.6802080970588885E-2</v>
      </c>
      <c r="AL53" s="48">
        <f t="shared" si="16"/>
        <v>4.828176882500055E-2</v>
      </c>
      <c r="AM53" s="48">
        <f t="shared" si="16"/>
        <v>4.1039503501250463E-2</v>
      </c>
      <c r="AN53" s="48">
        <f t="shared" si="16"/>
        <v>3.4883577976062889E-2</v>
      </c>
      <c r="AO53" s="48">
        <f t="shared" si="16"/>
        <v>2.9651041279653456E-2</v>
      </c>
      <c r="AP53" s="48">
        <f t="shared" si="16"/>
        <v>2.5203385087705438E-2</v>
      </c>
      <c r="AQ53" s="48">
        <f t="shared" si="16"/>
        <v>2.1422877324549623E-2</v>
      </c>
      <c r="AR53" s="48">
        <f t="shared" si="16"/>
        <v>1.820944572586718E-2</v>
      </c>
      <c r="AS53" s="48">
        <f t="shared" si="16"/>
        <v>1.5478028866987103E-2</v>
      </c>
      <c r="AT53" s="48">
        <f t="shared" si="16"/>
        <v>1.3156324536939037E-2</v>
      </c>
      <c r="AU53" s="48">
        <f t="shared" si="16"/>
        <v>1.1182875856398182E-2</v>
      </c>
      <c r="AV53" s="48">
        <f t="shared" si="16"/>
        <v>9.5054444779384545E-3</v>
      </c>
      <c r="AW53" s="48">
        <f t="shared" si="16"/>
        <v>8.0796278062476856E-3</v>
      </c>
      <c r="AX53" s="48">
        <f t="shared" si="16"/>
        <v>6.8676836353105328E-3</v>
      </c>
      <c r="AY53" s="48">
        <f t="shared" si="16"/>
        <v>5.8375310900139529E-3</v>
      </c>
      <c r="AZ53" s="48">
        <f t="shared" si="16"/>
        <v>4.96190142651186E-3</v>
      </c>
      <c r="BA53" s="48">
        <f t="shared" si="16"/>
        <v>4.2176162125350811E-3</v>
      </c>
      <c r="BB53" s="48">
        <f t="shared" si="16"/>
        <v>3.584973780654819E-3</v>
      </c>
      <c r="BC53" s="48">
        <f t="shared" si="16"/>
        <v>3.0472277135565962E-3</v>
      </c>
      <c r="BD53" s="48">
        <f t="shared" si="16"/>
        <v>2.5901435565231067E-3</v>
      </c>
      <c r="BE53" s="48">
        <f t="shared" si="16"/>
        <v>2.2016220230446407E-3</v>
      </c>
      <c r="BF53" s="48">
        <f t="shared" si="16"/>
        <v>1.8713787195879445E-3</v>
      </c>
      <c r="BG53" s="48">
        <f t="shared" si="16"/>
        <v>1.5906719116497527E-3</v>
      </c>
      <c r="BH53" s="48">
        <f t="shared" si="16"/>
        <v>1.3520711249022897E-3</v>
      </c>
      <c r="BI53" s="48">
        <f t="shared" si="16"/>
        <v>1.1492604561669463E-3</v>
      </c>
      <c r="BJ53" s="48">
        <f t="shared" si="16"/>
        <v>9.7687138774190437E-4</v>
      </c>
      <c r="BK53" s="48">
        <f t="shared" si="16"/>
        <v>8.3034067958061872E-4</v>
      </c>
      <c r="BL53" s="48">
        <f t="shared" si="16"/>
        <v>7.0578957764352585E-4</v>
      </c>
      <c r="BM53" s="48">
        <f t="shared" si="16"/>
        <v>5.9992114099699696E-4</v>
      </c>
      <c r="BN53" s="48">
        <f t="shared" si="16"/>
        <v>5.0993296984744741E-4</v>
      </c>
      <c r="BO53" s="48">
        <f t="shared" si="16"/>
        <v>4.3344302437033029E-4</v>
      </c>
    </row>
    <row r="54" spans="1:67" ht="16.5" customHeight="1">
      <c r="A54" s="1"/>
      <c r="B54" s="16" t="s">
        <v>166</v>
      </c>
      <c r="C54" s="17" t="s">
        <v>104</v>
      </c>
      <c r="D54" s="16" t="s">
        <v>171</v>
      </c>
      <c r="E54" s="16"/>
      <c r="F54" s="16"/>
      <c r="G54" s="16"/>
      <c r="H54" s="16" t="s">
        <v>155</v>
      </c>
      <c r="I54" s="46">
        <f ca="1">IF(H54=Forecast!$H$195,T54,IF(H54=Forecast!$H$196,BO54,IF(H54=Forecast!$H$197,SUM(T54:BO54),IF(H54=Forecast!$H$198,AVERAGE(T54:BO54),0))))</f>
        <v>2578672.0495050014</v>
      </c>
      <c r="J54" s="16"/>
      <c r="K54" s="16"/>
      <c r="L54" s="16"/>
      <c r="M54" s="16"/>
      <c r="N54" s="16"/>
      <c r="O54" s="16"/>
      <c r="P54" s="16"/>
      <c r="Q54" s="16"/>
      <c r="R54" s="16"/>
      <c r="S54" s="16"/>
      <c r="T54" s="46">
        <f t="shared" ref="T54:BO54" ca="1" si="17">SUM(T55:T151)</f>
        <v>7510.723954767851</v>
      </c>
      <c r="U54" s="46">
        <f t="shared" ca="1" si="17"/>
        <v>2631.6911608882929</v>
      </c>
      <c r="V54" s="46">
        <f t="shared" ca="1" si="17"/>
        <v>3351.4798863508422</v>
      </c>
      <c r="W54" s="46">
        <f t="shared" ca="1" si="17"/>
        <v>3551.3617133055332</v>
      </c>
      <c r="X54" s="46">
        <f t="shared" ca="1" si="17"/>
        <v>4971.8616421881252</v>
      </c>
      <c r="Y54" s="46">
        <f t="shared" ca="1" si="17"/>
        <v>6791.7303791824179</v>
      </c>
      <c r="Z54" s="46">
        <f t="shared" ca="1" si="17"/>
        <v>8628.2152760537174</v>
      </c>
      <c r="AA54" s="46">
        <f t="shared" ca="1" si="17"/>
        <v>11315.554218861755</v>
      </c>
      <c r="AB54" s="46">
        <f t="shared" ca="1" si="17"/>
        <v>14390.87843135832</v>
      </c>
      <c r="AC54" s="46">
        <f t="shared" ca="1" si="17"/>
        <v>17601.089132055298</v>
      </c>
      <c r="AD54" s="46">
        <f t="shared" ca="1" si="17"/>
        <v>21299.038513870066</v>
      </c>
      <c r="AE54" s="46">
        <f t="shared" ca="1" si="17"/>
        <v>25192.271524286982</v>
      </c>
      <c r="AF54" s="46">
        <f t="shared" ca="1" si="17"/>
        <v>29101.298568041613</v>
      </c>
      <c r="AG54" s="46">
        <f t="shared" ca="1" si="17"/>
        <v>33159.307104890453</v>
      </c>
      <c r="AH54" s="46">
        <f t="shared" ca="1" si="17"/>
        <v>37187.92101968464</v>
      </c>
      <c r="AI54" s="46">
        <f t="shared" ca="1" si="17"/>
        <v>41075.815440703111</v>
      </c>
      <c r="AJ54" s="46">
        <f t="shared" ca="1" si="17"/>
        <v>44877.392353495983</v>
      </c>
      <c r="AK54" s="46">
        <f t="shared" ca="1" si="17"/>
        <v>48499.070529989491</v>
      </c>
      <c r="AL54" s="46">
        <f t="shared" ca="1" si="17"/>
        <v>51886.888505521987</v>
      </c>
      <c r="AM54" s="46">
        <f t="shared" ca="1" si="17"/>
        <v>55074.221201970227</v>
      </c>
      <c r="AN54" s="46">
        <f t="shared" ca="1" si="17"/>
        <v>58023.500358079269</v>
      </c>
      <c r="AO54" s="46">
        <f t="shared" ca="1" si="17"/>
        <v>60718.837380423152</v>
      </c>
      <c r="AP54" s="46">
        <f t="shared" ca="1" si="17"/>
        <v>63188.954821948668</v>
      </c>
      <c r="AQ54" s="46">
        <f t="shared" ca="1" si="17"/>
        <v>65427.351662515939</v>
      </c>
      <c r="AR54" s="46">
        <f t="shared" ca="1" si="17"/>
        <v>67438.119010275404</v>
      </c>
      <c r="AS54" s="46">
        <f t="shared" ca="1" si="17"/>
        <v>69247.072606122791</v>
      </c>
      <c r="AT54" s="46">
        <f t="shared" ca="1" si="17"/>
        <v>70861.629247781384</v>
      </c>
      <c r="AU54" s="46">
        <f t="shared" ca="1" si="17"/>
        <v>72293.603993512574</v>
      </c>
      <c r="AV54" s="46">
        <f t="shared" ca="1" si="17"/>
        <v>73564.735012235236</v>
      </c>
      <c r="AW54" s="46">
        <f t="shared" ca="1" si="17"/>
        <v>74686.628533416384</v>
      </c>
      <c r="AX54" s="46">
        <f t="shared" ca="1" si="17"/>
        <v>75672.195990951644</v>
      </c>
      <c r="AY54" s="46">
        <f t="shared" ca="1" si="17"/>
        <v>76538.474536744558</v>
      </c>
      <c r="AZ54" s="46">
        <f t="shared" ca="1" si="17"/>
        <v>77296.668222904642</v>
      </c>
      <c r="BA54" s="46">
        <f t="shared" ca="1" si="17"/>
        <v>77957.939597035118</v>
      </c>
      <c r="BB54" s="46">
        <f t="shared" ca="1" si="17"/>
        <v>78534.893006549479</v>
      </c>
      <c r="BC54" s="46">
        <f t="shared" ca="1" si="17"/>
        <v>79036.665471145883</v>
      </c>
      <c r="BD54" s="46">
        <f t="shared" ca="1" si="17"/>
        <v>79472.402280409689</v>
      </c>
      <c r="BE54" s="46">
        <f t="shared" ca="1" si="17"/>
        <v>79850.030217907683</v>
      </c>
      <c r="BF54" s="46">
        <f t="shared" ca="1" si="17"/>
        <v>80176.861833755334</v>
      </c>
      <c r="BG54" s="46">
        <f t="shared" ca="1" si="17"/>
        <v>80459.404618592729</v>
      </c>
      <c r="BH54" s="46">
        <f t="shared" ca="1" si="17"/>
        <v>80703.279254878362</v>
      </c>
      <c r="BI54" s="46">
        <f t="shared" ca="1" si="17"/>
        <v>80913.559909256233</v>
      </c>
      <c r="BJ54" s="46">
        <f t="shared" ca="1" si="17"/>
        <v>81094.712202088442</v>
      </c>
      <c r="BK54" s="46">
        <f t="shared" ca="1" si="17"/>
        <v>81250.581400316718</v>
      </c>
      <c r="BL54" s="46">
        <f t="shared" ca="1" si="17"/>
        <v>81384.587774345593</v>
      </c>
      <c r="BM54" s="46">
        <f t="shared" ca="1" si="17"/>
        <v>81499.717377927416</v>
      </c>
      <c r="BN54" s="46">
        <f t="shared" ca="1" si="17"/>
        <v>81598.534936249751</v>
      </c>
      <c r="BO54" s="46">
        <f t="shared" ca="1" si="17"/>
        <v>81683.297690164138</v>
      </c>
    </row>
    <row r="55" spans="1:67" ht="16.5" hidden="1" customHeight="1" outlineLevel="1">
      <c r="A55" s="1"/>
      <c r="B55" s="16" t="s">
        <v>172</v>
      </c>
      <c r="C55" s="17" t="s">
        <v>104</v>
      </c>
      <c r="D55" s="46">
        <v>0</v>
      </c>
      <c r="E55" s="16"/>
      <c r="F55" s="16"/>
      <c r="G55" s="16"/>
      <c r="H55" s="16" t="s">
        <v>155</v>
      </c>
      <c r="I55" s="46">
        <f ca="1">IF(H55=Forecast!$H$195,T55,IF(H55=Forecast!$H$196,BO55,IF(H55=Forecast!$H$197,SUM(T55:BO55),IF(H55=Forecast!$H$198,AVERAGE(T55:BO55),0))))</f>
        <v>0</v>
      </c>
      <c r="J55" s="16"/>
      <c r="K55" s="16"/>
      <c r="L55" s="16"/>
      <c r="M55" s="16"/>
      <c r="N55" s="16"/>
      <c r="O55" s="16"/>
      <c r="P55" s="16"/>
      <c r="Q55" s="16"/>
      <c r="R55" s="16"/>
      <c r="S55" s="16"/>
      <c r="T55" s="46">
        <f t="shared" ref="T55:BO55" ca="1" si="18">IF(T$6&lt;$D55,0,INDEX($T$45:$BO$45,,T$6-1+1)*T38)</f>
        <v>0</v>
      </c>
      <c r="U55" s="46">
        <f t="shared" ca="1" si="18"/>
        <v>0</v>
      </c>
      <c r="V55" s="46">
        <f t="shared" ca="1" si="18"/>
        <v>0</v>
      </c>
      <c r="W55" s="46">
        <f t="shared" ca="1" si="18"/>
        <v>0</v>
      </c>
      <c r="X55" s="46">
        <f t="shared" ca="1" si="18"/>
        <v>0</v>
      </c>
      <c r="Y55" s="46">
        <f t="shared" ca="1" si="18"/>
        <v>0</v>
      </c>
      <c r="Z55" s="46">
        <f t="shared" ca="1" si="18"/>
        <v>0</v>
      </c>
      <c r="AA55" s="46">
        <f t="shared" ca="1" si="18"/>
        <v>0</v>
      </c>
      <c r="AB55" s="46">
        <f t="shared" ca="1" si="18"/>
        <v>0</v>
      </c>
      <c r="AC55" s="46">
        <f t="shared" ca="1" si="18"/>
        <v>0</v>
      </c>
      <c r="AD55" s="46">
        <f t="shared" ca="1" si="18"/>
        <v>0</v>
      </c>
      <c r="AE55" s="46">
        <f t="shared" ca="1" si="18"/>
        <v>0</v>
      </c>
      <c r="AF55" s="46">
        <f t="shared" ca="1" si="18"/>
        <v>0</v>
      </c>
      <c r="AG55" s="46">
        <f t="shared" ca="1" si="18"/>
        <v>0</v>
      </c>
      <c r="AH55" s="46">
        <f t="shared" ca="1" si="18"/>
        <v>0</v>
      </c>
      <c r="AI55" s="46">
        <f t="shared" ca="1" si="18"/>
        <v>0</v>
      </c>
      <c r="AJ55" s="46">
        <f t="shared" ca="1" si="18"/>
        <v>0</v>
      </c>
      <c r="AK55" s="46">
        <f t="shared" ca="1" si="18"/>
        <v>0</v>
      </c>
      <c r="AL55" s="46">
        <f t="shared" ca="1" si="18"/>
        <v>0</v>
      </c>
      <c r="AM55" s="46">
        <f t="shared" ca="1" si="18"/>
        <v>0</v>
      </c>
      <c r="AN55" s="46">
        <f t="shared" ca="1" si="18"/>
        <v>0</v>
      </c>
      <c r="AO55" s="46">
        <f t="shared" ca="1" si="18"/>
        <v>0</v>
      </c>
      <c r="AP55" s="46">
        <f t="shared" ca="1" si="18"/>
        <v>0</v>
      </c>
      <c r="AQ55" s="46">
        <f t="shared" ca="1" si="18"/>
        <v>0</v>
      </c>
      <c r="AR55" s="46">
        <f t="shared" ca="1" si="18"/>
        <v>0</v>
      </c>
      <c r="AS55" s="46">
        <f t="shared" ca="1" si="18"/>
        <v>0</v>
      </c>
      <c r="AT55" s="46">
        <f t="shared" ca="1" si="18"/>
        <v>0</v>
      </c>
      <c r="AU55" s="46">
        <f t="shared" ca="1" si="18"/>
        <v>0</v>
      </c>
      <c r="AV55" s="46">
        <f t="shared" ca="1" si="18"/>
        <v>0</v>
      </c>
      <c r="AW55" s="46">
        <f t="shared" ca="1" si="18"/>
        <v>0</v>
      </c>
      <c r="AX55" s="46">
        <f t="shared" ca="1" si="18"/>
        <v>0</v>
      </c>
      <c r="AY55" s="46">
        <f t="shared" ca="1" si="18"/>
        <v>0</v>
      </c>
      <c r="AZ55" s="46">
        <f t="shared" ca="1" si="18"/>
        <v>0</v>
      </c>
      <c r="BA55" s="46">
        <f t="shared" ca="1" si="18"/>
        <v>0</v>
      </c>
      <c r="BB55" s="46">
        <f t="shared" ca="1" si="18"/>
        <v>0</v>
      </c>
      <c r="BC55" s="46">
        <f t="shared" ca="1" si="18"/>
        <v>0</v>
      </c>
      <c r="BD55" s="46">
        <f t="shared" ca="1" si="18"/>
        <v>0</v>
      </c>
      <c r="BE55" s="46">
        <f t="shared" ca="1" si="18"/>
        <v>0</v>
      </c>
      <c r="BF55" s="46">
        <f t="shared" ca="1" si="18"/>
        <v>0</v>
      </c>
      <c r="BG55" s="46">
        <f t="shared" ca="1" si="18"/>
        <v>0</v>
      </c>
      <c r="BH55" s="46">
        <f t="shared" ca="1" si="18"/>
        <v>0</v>
      </c>
      <c r="BI55" s="46">
        <f t="shared" ca="1" si="18"/>
        <v>0</v>
      </c>
      <c r="BJ55" s="46">
        <f t="shared" ca="1" si="18"/>
        <v>0</v>
      </c>
      <c r="BK55" s="46">
        <f t="shared" ca="1" si="18"/>
        <v>0</v>
      </c>
      <c r="BL55" s="46">
        <f t="shared" ca="1" si="18"/>
        <v>0</v>
      </c>
      <c r="BM55" s="46">
        <f t="shared" ca="1" si="18"/>
        <v>0</v>
      </c>
      <c r="BN55" s="46">
        <f t="shared" ca="1" si="18"/>
        <v>0</v>
      </c>
      <c r="BO55" s="46">
        <f t="shared" ca="1" si="18"/>
        <v>0</v>
      </c>
    </row>
    <row r="56" spans="1:67" ht="16.5" hidden="1" customHeight="1" outlineLevel="1">
      <c r="A56" s="1"/>
      <c r="B56" s="55">
        <f t="shared" ref="B56:B103" si="19">EDATE(B57,-1)</f>
        <v>44224</v>
      </c>
      <c r="C56" s="17" t="s">
        <v>104</v>
      </c>
      <c r="D56" s="46">
        <f t="shared" ref="D56:D103" si="20">D57-1</f>
        <v>-47</v>
      </c>
      <c r="E56" s="16"/>
      <c r="F56" s="51">
        <v>1</v>
      </c>
      <c r="G56" s="16" t="s">
        <v>159</v>
      </c>
      <c r="H56" s="16" t="s">
        <v>155</v>
      </c>
      <c r="I56" s="46">
        <f>IF(H56=Forecast!$H$195,T56,IF(H56=Forecast!$H$196,BO56,IF(H56=Forecast!$H$197,SUM(T56:BO56),IF(H56=Forecast!$H$198,AVERAGE(T56:BO56),0))))</f>
        <v>0</v>
      </c>
      <c r="J56" s="16"/>
      <c r="K56" s="16"/>
      <c r="L56" s="16"/>
      <c r="M56" s="16"/>
      <c r="N56" s="16"/>
      <c r="O56" s="16"/>
      <c r="P56" s="16"/>
      <c r="Q56" s="16"/>
      <c r="R56" s="16"/>
      <c r="S56" s="16"/>
      <c r="T56" s="46">
        <f t="array" ref="T56">IFERROR(IF(INDEX(Historicals!$T12:$BO12,,T$6+$D56*-1)&lt;&gt;"",INDEX(Historicals!$T12:$BO12,,T$6+$D56*-1),$F56*T$46*Historicals!$S12*INDEX($T$44:$BO$44,,T$6-$D56+1)),0)</f>
        <v>0</v>
      </c>
      <c r="U56" s="46">
        <f t="array" ref="U56">IFERROR(IF(INDEX(Historicals!$T12:$BO12,,U$6+$D56*-1)&lt;&gt;"",INDEX(Historicals!$T12:$BO12,,U$6+$D56*-1),$F56*U$46*Historicals!$S12*INDEX($T$44:$BO$44,,U$6-$D56+1)),0)</f>
        <v>0</v>
      </c>
      <c r="V56" s="46">
        <f t="array" ref="V56">IFERROR(IF(INDEX(Historicals!$T12:$BO12,,V$6+$D56*-1)&lt;&gt;"",INDEX(Historicals!$T12:$BO12,,V$6+$D56*-1),$F56*V$46*Historicals!$S12*INDEX($T$44:$BO$44,,V$6-$D56+1)),0)</f>
        <v>0</v>
      </c>
      <c r="W56" s="46">
        <f t="array" ref="W56">IFERROR(IF(INDEX(Historicals!$T12:$BO12,,W$6+$D56*-1)&lt;&gt;"",INDEX(Historicals!$T12:$BO12,,W$6+$D56*-1),$F56*W$46*Historicals!$S12*INDEX($T$44:$BO$44,,W$6-$D56+1)),0)</f>
        <v>0</v>
      </c>
      <c r="X56" s="46">
        <f t="array" ref="X56">IFERROR(IF(INDEX(Historicals!$T12:$BO12,,X$6+$D56*-1)&lt;&gt;"",INDEX(Historicals!$T12:$BO12,,X$6+$D56*-1),$F56*X$46*Historicals!$S12*INDEX($T$44:$BO$44,,X$6-$D56+1)),0)</f>
        <v>0</v>
      </c>
      <c r="Y56" s="46">
        <f t="array" ref="Y56">IFERROR(IF(INDEX(Historicals!$T12:$BO12,,Y$6+$D56*-1)&lt;&gt;"",INDEX(Historicals!$T12:$BO12,,Y$6+$D56*-1),$F56*Y$46*Historicals!$S12*INDEX($T$44:$BO$44,,Y$6-$D56+1)),0)</f>
        <v>0</v>
      </c>
      <c r="Z56" s="46">
        <f t="array" ref="Z56">IFERROR(IF(INDEX(Historicals!$T12:$BO12,,Z$6+$D56*-1)&lt;&gt;"",INDEX(Historicals!$T12:$BO12,,Z$6+$D56*-1),$F56*Z$46*Historicals!$S12*INDEX($T$44:$BO$44,,Z$6-$D56+1)),0)</f>
        <v>0</v>
      </c>
      <c r="AA56" s="46">
        <f t="array" ref="AA56">IFERROR(IF(INDEX(Historicals!$T12:$BO12,,AA$6+$D56*-1)&lt;&gt;"",INDEX(Historicals!$T12:$BO12,,AA$6+$D56*-1),$F56*AA$46*Historicals!$S12*INDEX($T$44:$BO$44,,AA$6-$D56+1)),0)</f>
        <v>0</v>
      </c>
      <c r="AB56" s="46">
        <f t="array" ref="AB56">IFERROR(IF(INDEX(Historicals!$T12:$BO12,,AB$6+$D56*-1)&lt;&gt;"",INDEX(Historicals!$T12:$BO12,,AB$6+$D56*-1),$F56*AB$46*Historicals!$S12*INDEX($T$44:$BO$44,,AB$6-$D56+1)),0)</f>
        <v>0</v>
      </c>
      <c r="AC56" s="46">
        <f t="array" ref="AC56">IFERROR(IF(INDEX(Historicals!$T12:$BO12,,AC$6+$D56*-1)&lt;&gt;"",INDEX(Historicals!$T12:$BO12,,AC$6+$D56*-1),$F56*AC$46*Historicals!$S12*INDEX($T$44:$BO$44,,AC$6-$D56+1)),0)</f>
        <v>0</v>
      </c>
      <c r="AD56" s="46">
        <f t="array" ref="AD56">IFERROR(IF(INDEX(Historicals!$T12:$BO12,,AD$6+$D56*-1)&lt;&gt;"",INDEX(Historicals!$T12:$BO12,,AD$6+$D56*-1),$F56*AD$46*Historicals!$S12*INDEX($T$44:$BO$44,,AD$6-$D56+1)),0)</f>
        <v>0</v>
      </c>
      <c r="AE56" s="46">
        <f t="array" ref="AE56">IFERROR(IF(INDEX(Historicals!$T12:$BO12,,AE$6+$D56*-1)&lt;&gt;"",INDEX(Historicals!$T12:$BO12,,AE$6+$D56*-1),$F56*AE$46*Historicals!$S12*INDEX($T$44:$BO$44,,AE$6-$D56+1)),0)</f>
        <v>0</v>
      </c>
      <c r="AF56" s="46">
        <f t="array" ref="AF56">IFERROR(IF(INDEX(Historicals!$T12:$BO12,,AF$6+$D56*-1)&lt;&gt;"",INDEX(Historicals!$T12:$BO12,,AF$6+$D56*-1),$F56*AF$46*Historicals!$S12*INDEX($T$44:$BO$44,,AF$6-$D56+1)),0)</f>
        <v>0</v>
      </c>
      <c r="AG56" s="46">
        <f t="array" ref="AG56">IFERROR(IF(INDEX(Historicals!$T12:$BO12,,AG$6+$D56*-1)&lt;&gt;"",INDEX(Historicals!$T12:$BO12,,AG$6+$D56*-1),$F56*AG$46*Historicals!$S12*INDEX($T$44:$BO$44,,AG$6-$D56+1)),0)</f>
        <v>0</v>
      </c>
      <c r="AH56" s="46">
        <f t="array" ref="AH56">IFERROR(IF(INDEX(Historicals!$T12:$BO12,,AH$6+$D56*-1)&lt;&gt;"",INDEX(Historicals!$T12:$BO12,,AH$6+$D56*-1),$F56*AH$46*Historicals!$S12*INDEX($T$44:$BO$44,,AH$6-$D56+1)),0)</f>
        <v>0</v>
      </c>
      <c r="AI56" s="46">
        <f t="array" ref="AI56">IFERROR(IF(INDEX(Historicals!$T12:$BO12,,AI$6+$D56*-1)&lt;&gt;"",INDEX(Historicals!$T12:$BO12,,AI$6+$D56*-1),$F56*AI$46*Historicals!$S12*INDEX($T$44:$BO$44,,AI$6-$D56+1)),0)</f>
        <v>0</v>
      </c>
      <c r="AJ56" s="46">
        <f t="array" ref="AJ56">IFERROR(IF(INDEX(Historicals!$T12:$BO12,,AJ$6+$D56*-1)&lt;&gt;"",INDEX(Historicals!$T12:$BO12,,AJ$6+$D56*-1),$F56*AJ$46*Historicals!$S12*INDEX($T$44:$BO$44,,AJ$6-$D56+1)),0)</f>
        <v>0</v>
      </c>
      <c r="AK56" s="46">
        <f t="array" ref="AK56">IFERROR(IF(INDEX(Historicals!$T12:$BO12,,AK$6+$D56*-1)&lt;&gt;"",INDEX(Historicals!$T12:$BO12,,AK$6+$D56*-1),$F56*AK$46*Historicals!$S12*INDEX($T$44:$BO$44,,AK$6-$D56+1)),0)</f>
        <v>0</v>
      </c>
      <c r="AL56" s="46">
        <f t="array" ref="AL56">IFERROR(IF(INDEX(Historicals!$T12:$BO12,,AL$6+$D56*-1)&lt;&gt;"",INDEX(Historicals!$T12:$BO12,,AL$6+$D56*-1),$F56*AL$46*Historicals!$S12*INDEX($T$44:$BO$44,,AL$6-$D56+1)),0)</f>
        <v>0</v>
      </c>
      <c r="AM56" s="46">
        <f t="array" ref="AM56">IFERROR(IF(INDEX(Historicals!$T12:$BO12,,AM$6+$D56*-1)&lt;&gt;"",INDEX(Historicals!$T12:$BO12,,AM$6+$D56*-1),$F56*AM$46*Historicals!$S12*INDEX($T$44:$BO$44,,AM$6-$D56+1)),0)</f>
        <v>0</v>
      </c>
      <c r="AN56" s="46">
        <f t="array" ref="AN56">IFERROR(IF(INDEX(Historicals!$T12:$BO12,,AN$6+$D56*-1)&lt;&gt;"",INDEX(Historicals!$T12:$BO12,,AN$6+$D56*-1),$F56*AN$46*Historicals!$S12*INDEX($T$44:$BO$44,,AN$6-$D56+1)),0)</f>
        <v>0</v>
      </c>
      <c r="AO56" s="46">
        <f t="array" ref="AO56">IFERROR(IF(INDEX(Historicals!$T12:$BO12,,AO$6+$D56*-1)&lt;&gt;"",INDEX(Historicals!$T12:$BO12,,AO$6+$D56*-1),$F56*AO$46*Historicals!$S12*INDEX($T$44:$BO$44,,AO$6-$D56+1)),0)</f>
        <v>0</v>
      </c>
      <c r="AP56" s="46">
        <f t="array" ref="AP56">IFERROR(IF(INDEX(Historicals!$T12:$BO12,,AP$6+$D56*-1)&lt;&gt;"",INDEX(Historicals!$T12:$BO12,,AP$6+$D56*-1),$F56*AP$46*Historicals!$S12*INDEX($T$44:$BO$44,,AP$6-$D56+1)),0)</f>
        <v>0</v>
      </c>
      <c r="AQ56" s="46">
        <f t="array" ref="AQ56">IFERROR(IF(INDEX(Historicals!$T12:$BO12,,AQ$6+$D56*-1)&lt;&gt;"",INDEX(Historicals!$T12:$BO12,,AQ$6+$D56*-1),$F56*AQ$46*Historicals!$S12*INDEX($T$44:$BO$44,,AQ$6-$D56+1)),0)</f>
        <v>0</v>
      </c>
      <c r="AR56" s="46">
        <f t="array" ref="AR56">IFERROR(IF(INDEX(Historicals!$T12:$BO12,,AR$6+$D56*-1)&lt;&gt;"",INDEX(Historicals!$T12:$BO12,,AR$6+$D56*-1),$F56*AR$46*Historicals!$S12*INDEX($T$44:$BO$44,,AR$6-$D56+1)),0)</f>
        <v>0</v>
      </c>
      <c r="AS56" s="46">
        <f t="array" ref="AS56">IFERROR(IF(INDEX(Historicals!$T12:$BO12,,AS$6+$D56*-1)&lt;&gt;"",INDEX(Historicals!$T12:$BO12,,AS$6+$D56*-1),$F56*AS$46*Historicals!$S12*INDEX($T$44:$BO$44,,AS$6-$D56+1)),0)</f>
        <v>0</v>
      </c>
      <c r="AT56" s="46">
        <f t="array" ref="AT56">IFERROR(IF(INDEX(Historicals!$T12:$BO12,,AT$6+$D56*-1)&lt;&gt;"",INDEX(Historicals!$T12:$BO12,,AT$6+$D56*-1),$F56*AT$46*Historicals!$S12*INDEX($T$44:$BO$44,,AT$6-$D56+1)),0)</f>
        <v>0</v>
      </c>
      <c r="AU56" s="46">
        <f t="array" ref="AU56">IFERROR(IF(INDEX(Historicals!$T12:$BO12,,AU$6+$D56*-1)&lt;&gt;"",INDEX(Historicals!$T12:$BO12,,AU$6+$D56*-1),$F56*AU$46*Historicals!$S12*INDEX($T$44:$BO$44,,AU$6-$D56+1)),0)</f>
        <v>0</v>
      </c>
      <c r="AV56" s="46">
        <f t="array" ref="AV56">IFERROR(IF(INDEX(Historicals!$T12:$BO12,,AV$6+$D56*-1)&lt;&gt;"",INDEX(Historicals!$T12:$BO12,,AV$6+$D56*-1),$F56*AV$46*Historicals!$S12*INDEX($T$44:$BO$44,,AV$6-$D56+1)),0)</f>
        <v>0</v>
      </c>
      <c r="AW56" s="46">
        <f t="array" ref="AW56">IFERROR(IF(INDEX(Historicals!$T12:$BO12,,AW$6+$D56*-1)&lt;&gt;"",INDEX(Historicals!$T12:$BO12,,AW$6+$D56*-1),$F56*AW$46*Historicals!$S12*INDEX($T$44:$BO$44,,AW$6-$D56+1)),0)</f>
        <v>0</v>
      </c>
      <c r="AX56" s="46">
        <f t="array" ref="AX56">IFERROR(IF(INDEX(Historicals!$T12:$BO12,,AX$6+$D56*-1)&lt;&gt;"",INDEX(Historicals!$T12:$BO12,,AX$6+$D56*-1),$F56*AX$46*Historicals!$S12*INDEX($T$44:$BO$44,,AX$6-$D56+1)),0)</f>
        <v>0</v>
      </c>
      <c r="AY56" s="46">
        <f t="array" ref="AY56">IFERROR(IF(INDEX(Historicals!$T12:$BO12,,AY$6+$D56*-1)&lt;&gt;"",INDEX(Historicals!$T12:$BO12,,AY$6+$D56*-1),$F56*AY$46*Historicals!$S12*INDEX($T$44:$BO$44,,AY$6-$D56+1)),0)</f>
        <v>0</v>
      </c>
      <c r="AZ56" s="46">
        <f t="array" ref="AZ56">IFERROR(IF(INDEX(Historicals!$T12:$BO12,,AZ$6+$D56*-1)&lt;&gt;"",INDEX(Historicals!$T12:$BO12,,AZ$6+$D56*-1),$F56*AZ$46*Historicals!$S12*INDEX($T$44:$BO$44,,AZ$6-$D56+1)),0)</f>
        <v>0</v>
      </c>
      <c r="BA56" s="46">
        <f t="array" ref="BA56">IFERROR(IF(INDEX(Historicals!$T12:$BO12,,BA$6+$D56*-1)&lt;&gt;"",INDEX(Historicals!$T12:$BO12,,BA$6+$D56*-1),$F56*BA$46*Historicals!$S12*INDEX($T$44:$BO$44,,BA$6-$D56+1)),0)</f>
        <v>0</v>
      </c>
      <c r="BB56" s="46">
        <f t="array" ref="BB56">IFERROR(IF(INDEX(Historicals!$T12:$BO12,,BB$6+$D56*-1)&lt;&gt;"",INDEX(Historicals!$T12:$BO12,,BB$6+$D56*-1),$F56*BB$46*Historicals!$S12*INDEX($T$44:$BO$44,,BB$6-$D56+1)),0)</f>
        <v>0</v>
      </c>
      <c r="BC56" s="46">
        <f t="array" ref="BC56">IFERROR(IF(INDEX(Historicals!$T12:$BO12,,BC$6+$D56*-1)&lt;&gt;"",INDEX(Historicals!$T12:$BO12,,BC$6+$D56*-1),$F56*BC$46*Historicals!$S12*INDEX($T$44:$BO$44,,BC$6-$D56+1)),0)</f>
        <v>0</v>
      </c>
      <c r="BD56" s="46">
        <f t="array" ref="BD56">IFERROR(IF(INDEX(Historicals!$T12:$BO12,,BD$6+$D56*-1)&lt;&gt;"",INDEX(Historicals!$T12:$BO12,,BD$6+$D56*-1),$F56*BD$46*Historicals!$S12*INDEX($T$44:$BO$44,,BD$6-$D56+1)),0)</f>
        <v>0</v>
      </c>
      <c r="BE56" s="46">
        <f t="array" ref="BE56">IFERROR(IF(INDEX(Historicals!$T12:$BO12,,BE$6+$D56*-1)&lt;&gt;"",INDEX(Historicals!$T12:$BO12,,BE$6+$D56*-1),$F56*BE$46*Historicals!$S12*INDEX($T$44:$BO$44,,BE$6-$D56+1)),0)</f>
        <v>0</v>
      </c>
      <c r="BF56" s="46">
        <f t="array" ref="BF56">IFERROR(IF(INDEX(Historicals!$T12:$BO12,,BF$6+$D56*-1)&lt;&gt;"",INDEX(Historicals!$T12:$BO12,,BF$6+$D56*-1),$F56*BF$46*Historicals!$S12*INDEX($T$44:$BO$44,,BF$6-$D56+1)),0)</f>
        <v>0</v>
      </c>
      <c r="BG56" s="46">
        <f t="array" ref="BG56">IFERROR(IF(INDEX(Historicals!$T12:$BO12,,BG$6+$D56*-1)&lt;&gt;"",INDEX(Historicals!$T12:$BO12,,BG$6+$D56*-1),$F56*BG$46*Historicals!$S12*INDEX($T$44:$BO$44,,BG$6-$D56+1)),0)</f>
        <v>0</v>
      </c>
      <c r="BH56" s="46">
        <f t="array" ref="BH56">IFERROR(IF(INDEX(Historicals!$T12:$BO12,,BH$6+$D56*-1)&lt;&gt;"",INDEX(Historicals!$T12:$BO12,,BH$6+$D56*-1),$F56*BH$46*Historicals!$S12*INDEX($T$44:$BO$44,,BH$6-$D56+1)),0)</f>
        <v>0</v>
      </c>
      <c r="BI56" s="46">
        <f t="array" ref="BI56">IFERROR(IF(INDEX(Historicals!$T12:$BO12,,BI$6+$D56*-1)&lt;&gt;"",INDEX(Historicals!$T12:$BO12,,BI$6+$D56*-1),$F56*BI$46*Historicals!$S12*INDEX($T$44:$BO$44,,BI$6-$D56+1)),0)</f>
        <v>0</v>
      </c>
      <c r="BJ56" s="46">
        <f t="array" ref="BJ56">IFERROR(IF(INDEX(Historicals!$T12:$BO12,,BJ$6+$D56*-1)&lt;&gt;"",INDEX(Historicals!$T12:$BO12,,BJ$6+$D56*-1),$F56*BJ$46*Historicals!$S12*INDEX($T$44:$BO$44,,BJ$6-$D56+1)),0)</f>
        <v>0</v>
      </c>
      <c r="BK56" s="46">
        <f t="array" ref="BK56">IFERROR(IF(INDEX(Historicals!$T12:$BO12,,BK$6+$D56*-1)&lt;&gt;"",INDEX(Historicals!$T12:$BO12,,BK$6+$D56*-1),$F56*BK$46*Historicals!$S12*INDEX($T$44:$BO$44,,BK$6-$D56+1)),0)</f>
        <v>0</v>
      </c>
      <c r="BL56" s="46">
        <f t="array" ref="BL56">IFERROR(IF(INDEX(Historicals!$T12:$BO12,,BL$6+$D56*-1)&lt;&gt;"",INDEX(Historicals!$T12:$BO12,,BL$6+$D56*-1),$F56*BL$46*Historicals!$S12*INDEX($T$44:$BO$44,,BL$6-$D56+1)),0)</f>
        <v>0</v>
      </c>
      <c r="BM56" s="46">
        <f t="array" ref="BM56">IFERROR(IF(INDEX(Historicals!$T12:$BO12,,BM$6+$D56*-1)&lt;&gt;"",INDEX(Historicals!$T12:$BO12,,BM$6+$D56*-1),$F56*BM$46*Historicals!$S12*INDEX($T$44:$BO$44,,BM$6-$D56+1)),0)</f>
        <v>0</v>
      </c>
      <c r="BN56" s="46">
        <f t="array" ref="BN56">IFERROR(IF(INDEX(Historicals!$T12:$BO12,,BN$6+$D56*-1)&lt;&gt;"",INDEX(Historicals!$T12:$BO12,,BN$6+$D56*-1),$F56*BN$46*Historicals!$S12*INDEX($T$44:$BO$44,,BN$6-$D56+1)),0)</f>
        <v>0</v>
      </c>
      <c r="BO56" s="46">
        <f t="array" ref="BO56">IFERROR(IF(INDEX(Historicals!$T12:$BO12,,BO$6+$D56*-1)&lt;&gt;"",INDEX(Historicals!$T12:$BO12,,BO$6+$D56*-1),$F56*BO$46*Historicals!$S12*INDEX($T$44:$BO$44,,BO$6-$D56+1)),0)</f>
        <v>0</v>
      </c>
    </row>
    <row r="57" spans="1:67" ht="16.5" hidden="1" customHeight="1" outlineLevel="1">
      <c r="A57" s="1"/>
      <c r="B57" s="55">
        <f t="shared" si="19"/>
        <v>44255</v>
      </c>
      <c r="C57" s="17" t="s">
        <v>104</v>
      </c>
      <c r="D57" s="46">
        <f t="shared" si="20"/>
        <v>-46</v>
      </c>
      <c r="E57" s="16"/>
      <c r="F57" s="51">
        <v>1</v>
      </c>
      <c r="G57" s="16" t="s">
        <v>159</v>
      </c>
      <c r="H57" s="16" t="s">
        <v>155</v>
      </c>
      <c r="I57" s="46">
        <f>IF(H57=Forecast!$H$195,T57,IF(H57=Forecast!$H$196,BO57,IF(H57=Forecast!$H$197,SUM(T57:BO57),IF(H57=Forecast!$H$198,AVERAGE(T57:BO57),0))))</f>
        <v>0</v>
      </c>
      <c r="J57" s="16"/>
      <c r="K57" s="16"/>
      <c r="L57" s="16"/>
      <c r="M57" s="16"/>
      <c r="N57" s="16"/>
      <c r="O57" s="16"/>
      <c r="P57" s="16"/>
      <c r="Q57" s="16"/>
      <c r="R57" s="16"/>
      <c r="S57" s="16"/>
      <c r="T57" s="46">
        <f t="array" ref="T57">IFERROR(IF(INDEX(Historicals!$T13:$BO13,,T$6+$D57*-1)&lt;&gt;"",INDEX(Historicals!$T13:$BO13,,T$6+$D57*-1),$F57*T$46*Historicals!$S13*INDEX($T$44:$BO$44,,T$6-$D57+1)),0)</f>
        <v>0</v>
      </c>
      <c r="U57" s="46">
        <f t="array" ref="U57">IFERROR(IF(INDEX(Historicals!$T13:$BO13,,U$6+$D57*-1)&lt;&gt;"",INDEX(Historicals!$T13:$BO13,,U$6+$D57*-1),$F57*U$46*Historicals!$S13*INDEX($T$44:$BO$44,,U$6-$D57+1)),0)</f>
        <v>0</v>
      </c>
      <c r="V57" s="46">
        <f t="array" ref="V57">IFERROR(IF(INDEX(Historicals!$T13:$BO13,,V$6+$D57*-1)&lt;&gt;"",INDEX(Historicals!$T13:$BO13,,V$6+$D57*-1),$F57*V$46*Historicals!$S13*INDEX($T$44:$BO$44,,V$6-$D57+1)),0)</f>
        <v>0</v>
      </c>
      <c r="W57" s="46">
        <f t="array" ref="W57">IFERROR(IF(INDEX(Historicals!$T13:$BO13,,W$6+$D57*-1)&lt;&gt;"",INDEX(Historicals!$T13:$BO13,,W$6+$D57*-1),$F57*W$46*Historicals!$S13*INDEX($T$44:$BO$44,,W$6-$D57+1)),0)</f>
        <v>0</v>
      </c>
      <c r="X57" s="46">
        <f t="array" ref="X57">IFERROR(IF(INDEX(Historicals!$T13:$BO13,,X$6+$D57*-1)&lt;&gt;"",INDEX(Historicals!$T13:$BO13,,X$6+$D57*-1),$F57*X$46*Historicals!$S13*INDEX($T$44:$BO$44,,X$6-$D57+1)),0)</f>
        <v>0</v>
      </c>
      <c r="Y57" s="46">
        <f t="array" ref="Y57">IFERROR(IF(INDEX(Historicals!$T13:$BO13,,Y$6+$D57*-1)&lt;&gt;"",INDEX(Historicals!$T13:$BO13,,Y$6+$D57*-1),$F57*Y$46*Historicals!$S13*INDEX($T$44:$BO$44,,Y$6-$D57+1)),0)</f>
        <v>0</v>
      </c>
      <c r="Z57" s="46">
        <f t="array" ref="Z57">IFERROR(IF(INDEX(Historicals!$T13:$BO13,,Z$6+$D57*-1)&lt;&gt;"",INDEX(Historicals!$T13:$BO13,,Z$6+$D57*-1),$F57*Z$46*Historicals!$S13*INDEX($T$44:$BO$44,,Z$6-$D57+1)),0)</f>
        <v>0</v>
      </c>
      <c r="AA57" s="46">
        <f t="array" ref="AA57">IFERROR(IF(INDEX(Historicals!$T13:$BO13,,AA$6+$D57*-1)&lt;&gt;"",INDEX(Historicals!$T13:$BO13,,AA$6+$D57*-1),$F57*AA$46*Historicals!$S13*INDEX($T$44:$BO$44,,AA$6-$D57+1)),0)</f>
        <v>0</v>
      </c>
      <c r="AB57" s="46">
        <f t="array" ref="AB57">IFERROR(IF(INDEX(Historicals!$T13:$BO13,,AB$6+$D57*-1)&lt;&gt;"",INDEX(Historicals!$T13:$BO13,,AB$6+$D57*-1),$F57*AB$46*Historicals!$S13*INDEX($T$44:$BO$44,,AB$6-$D57+1)),0)</f>
        <v>0</v>
      </c>
      <c r="AC57" s="46">
        <f t="array" ref="AC57">IFERROR(IF(INDEX(Historicals!$T13:$BO13,,AC$6+$D57*-1)&lt;&gt;"",INDEX(Historicals!$T13:$BO13,,AC$6+$D57*-1),$F57*AC$46*Historicals!$S13*INDEX($T$44:$BO$44,,AC$6-$D57+1)),0)</f>
        <v>0</v>
      </c>
      <c r="AD57" s="46">
        <f t="array" ref="AD57">IFERROR(IF(INDEX(Historicals!$T13:$BO13,,AD$6+$D57*-1)&lt;&gt;"",INDEX(Historicals!$T13:$BO13,,AD$6+$D57*-1),$F57*AD$46*Historicals!$S13*INDEX($T$44:$BO$44,,AD$6-$D57+1)),0)</f>
        <v>0</v>
      </c>
      <c r="AE57" s="46">
        <f t="array" ref="AE57">IFERROR(IF(INDEX(Historicals!$T13:$BO13,,AE$6+$D57*-1)&lt;&gt;"",INDEX(Historicals!$T13:$BO13,,AE$6+$D57*-1),$F57*AE$46*Historicals!$S13*INDEX($T$44:$BO$44,,AE$6-$D57+1)),0)</f>
        <v>0</v>
      </c>
      <c r="AF57" s="46">
        <f t="array" ref="AF57">IFERROR(IF(INDEX(Historicals!$T13:$BO13,,AF$6+$D57*-1)&lt;&gt;"",INDEX(Historicals!$T13:$BO13,,AF$6+$D57*-1),$F57*AF$46*Historicals!$S13*INDEX($T$44:$BO$44,,AF$6-$D57+1)),0)</f>
        <v>0</v>
      </c>
      <c r="AG57" s="46">
        <f t="array" ref="AG57">IFERROR(IF(INDEX(Historicals!$T13:$BO13,,AG$6+$D57*-1)&lt;&gt;"",INDEX(Historicals!$T13:$BO13,,AG$6+$D57*-1),$F57*AG$46*Historicals!$S13*INDEX($T$44:$BO$44,,AG$6-$D57+1)),0)</f>
        <v>0</v>
      </c>
      <c r="AH57" s="46">
        <f t="array" ref="AH57">IFERROR(IF(INDEX(Historicals!$T13:$BO13,,AH$6+$D57*-1)&lt;&gt;"",INDEX(Historicals!$T13:$BO13,,AH$6+$D57*-1),$F57*AH$46*Historicals!$S13*INDEX($T$44:$BO$44,,AH$6-$D57+1)),0)</f>
        <v>0</v>
      </c>
      <c r="AI57" s="46">
        <f t="array" ref="AI57">IFERROR(IF(INDEX(Historicals!$T13:$BO13,,AI$6+$D57*-1)&lt;&gt;"",INDEX(Historicals!$T13:$BO13,,AI$6+$D57*-1),$F57*AI$46*Historicals!$S13*INDEX($T$44:$BO$44,,AI$6-$D57+1)),0)</f>
        <v>0</v>
      </c>
      <c r="AJ57" s="46">
        <f t="array" ref="AJ57">IFERROR(IF(INDEX(Historicals!$T13:$BO13,,AJ$6+$D57*-1)&lt;&gt;"",INDEX(Historicals!$T13:$BO13,,AJ$6+$D57*-1),$F57*AJ$46*Historicals!$S13*INDEX($T$44:$BO$44,,AJ$6-$D57+1)),0)</f>
        <v>0</v>
      </c>
      <c r="AK57" s="46">
        <f t="array" ref="AK57">IFERROR(IF(INDEX(Historicals!$T13:$BO13,,AK$6+$D57*-1)&lt;&gt;"",INDEX(Historicals!$T13:$BO13,,AK$6+$D57*-1),$F57*AK$46*Historicals!$S13*INDEX($T$44:$BO$44,,AK$6-$D57+1)),0)</f>
        <v>0</v>
      </c>
      <c r="AL57" s="46">
        <f t="array" ref="AL57">IFERROR(IF(INDEX(Historicals!$T13:$BO13,,AL$6+$D57*-1)&lt;&gt;"",INDEX(Historicals!$T13:$BO13,,AL$6+$D57*-1),$F57*AL$46*Historicals!$S13*INDEX($T$44:$BO$44,,AL$6-$D57+1)),0)</f>
        <v>0</v>
      </c>
      <c r="AM57" s="46">
        <f t="array" ref="AM57">IFERROR(IF(INDEX(Historicals!$T13:$BO13,,AM$6+$D57*-1)&lt;&gt;"",INDEX(Historicals!$T13:$BO13,,AM$6+$D57*-1),$F57*AM$46*Historicals!$S13*INDEX($T$44:$BO$44,,AM$6-$D57+1)),0)</f>
        <v>0</v>
      </c>
      <c r="AN57" s="46">
        <f t="array" ref="AN57">IFERROR(IF(INDEX(Historicals!$T13:$BO13,,AN$6+$D57*-1)&lt;&gt;"",INDEX(Historicals!$T13:$BO13,,AN$6+$D57*-1),$F57*AN$46*Historicals!$S13*INDEX($T$44:$BO$44,,AN$6-$D57+1)),0)</f>
        <v>0</v>
      </c>
      <c r="AO57" s="46">
        <f t="array" ref="AO57">IFERROR(IF(INDEX(Historicals!$T13:$BO13,,AO$6+$D57*-1)&lt;&gt;"",INDEX(Historicals!$T13:$BO13,,AO$6+$D57*-1),$F57*AO$46*Historicals!$S13*INDEX($T$44:$BO$44,,AO$6-$D57+1)),0)</f>
        <v>0</v>
      </c>
      <c r="AP57" s="46">
        <f t="array" ref="AP57">IFERROR(IF(INDEX(Historicals!$T13:$BO13,,AP$6+$D57*-1)&lt;&gt;"",INDEX(Historicals!$T13:$BO13,,AP$6+$D57*-1),$F57*AP$46*Historicals!$S13*INDEX($T$44:$BO$44,,AP$6-$D57+1)),0)</f>
        <v>0</v>
      </c>
      <c r="AQ57" s="46">
        <f t="array" ref="AQ57">IFERROR(IF(INDEX(Historicals!$T13:$BO13,,AQ$6+$D57*-1)&lt;&gt;"",INDEX(Historicals!$T13:$BO13,,AQ$6+$D57*-1),$F57*AQ$46*Historicals!$S13*INDEX($T$44:$BO$44,,AQ$6-$D57+1)),0)</f>
        <v>0</v>
      </c>
      <c r="AR57" s="46">
        <f t="array" ref="AR57">IFERROR(IF(INDEX(Historicals!$T13:$BO13,,AR$6+$D57*-1)&lt;&gt;"",INDEX(Historicals!$T13:$BO13,,AR$6+$D57*-1),$F57*AR$46*Historicals!$S13*INDEX($T$44:$BO$44,,AR$6-$D57+1)),0)</f>
        <v>0</v>
      </c>
      <c r="AS57" s="46">
        <f t="array" ref="AS57">IFERROR(IF(INDEX(Historicals!$T13:$BO13,,AS$6+$D57*-1)&lt;&gt;"",INDEX(Historicals!$T13:$BO13,,AS$6+$D57*-1),$F57*AS$46*Historicals!$S13*INDEX($T$44:$BO$44,,AS$6-$D57+1)),0)</f>
        <v>0</v>
      </c>
      <c r="AT57" s="46">
        <f t="array" ref="AT57">IFERROR(IF(INDEX(Historicals!$T13:$BO13,,AT$6+$D57*-1)&lt;&gt;"",INDEX(Historicals!$T13:$BO13,,AT$6+$D57*-1),$F57*AT$46*Historicals!$S13*INDEX($T$44:$BO$44,,AT$6-$D57+1)),0)</f>
        <v>0</v>
      </c>
      <c r="AU57" s="46">
        <f t="array" ref="AU57">IFERROR(IF(INDEX(Historicals!$T13:$BO13,,AU$6+$D57*-1)&lt;&gt;"",INDEX(Historicals!$T13:$BO13,,AU$6+$D57*-1),$F57*AU$46*Historicals!$S13*INDEX($T$44:$BO$44,,AU$6-$D57+1)),0)</f>
        <v>0</v>
      </c>
      <c r="AV57" s="46">
        <f t="array" ref="AV57">IFERROR(IF(INDEX(Historicals!$T13:$BO13,,AV$6+$D57*-1)&lt;&gt;"",INDEX(Historicals!$T13:$BO13,,AV$6+$D57*-1),$F57*AV$46*Historicals!$S13*INDEX($T$44:$BO$44,,AV$6-$D57+1)),0)</f>
        <v>0</v>
      </c>
      <c r="AW57" s="46">
        <f t="array" ref="AW57">IFERROR(IF(INDEX(Historicals!$T13:$BO13,,AW$6+$D57*-1)&lt;&gt;"",INDEX(Historicals!$T13:$BO13,,AW$6+$D57*-1),$F57*AW$46*Historicals!$S13*INDEX($T$44:$BO$44,,AW$6-$D57+1)),0)</f>
        <v>0</v>
      </c>
      <c r="AX57" s="46">
        <f t="array" ref="AX57">IFERROR(IF(INDEX(Historicals!$T13:$BO13,,AX$6+$D57*-1)&lt;&gt;"",INDEX(Historicals!$T13:$BO13,,AX$6+$D57*-1),$F57*AX$46*Historicals!$S13*INDEX($T$44:$BO$44,,AX$6-$D57+1)),0)</f>
        <v>0</v>
      </c>
      <c r="AY57" s="46">
        <f t="array" ref="AY57">IFERROR(IF(INDEX(Historicals!$T13:$BO13,,AY$6+$D57*-1)&lt;&gt;"",INDEX(Historicals!$T13:$BO13,,AY$6+$D57*-1),$F57*AY$46*Historicals!$S13*INDEX($T$44:$BO$44,,AY$6-$D57+1)),0)</f>
        <v>0</v>
      </c>
      <c r="AZ57" s="46">
        <f t="array" ref="AZ57">IFERROR(IF(INDEX(Historicals!$T13:$BO13,,AZ$6+$D57*-1)&lt;&gt;"",INDEX(Historicals!$T13:$BO13,,AZ$6+$D57*-1),$F57*AZ$46*Historicals!$S13*INDEX($T$44:$BO$44,,AZ$6-$D57+1)),0)</f>
        <v>0</v>
      </c>
      <c r="BA57" s="46">
        <f t="array" ref="BA57">IFERROR(IF(INDEX(Historicals!$T13:$BO13,,BA$6+$D57*-1)&lt;&gt;"",INDEX(Historicals!$T13:$BO13,,BA$6+$D57*-1),$F57*BA$46*Historicals!$S13*INDEX($T$44:$BO$44,,BA$6-$D57+1)),0)</f>
        <v>0</v>
      </c>
      <c r="BB57" s="46">
        <f t="array" ref="BB57">IFERROR(IF(INDEX(Historicals!$T13:$BO13,,BB$6+$D57*-1)&lt;&gt;"",INDEX(Historicals!$T13:$BO13,,BB$6+$D57*-1),$F57*BB$46*Historicals!$S13*INDEX($T$44:$BO$44,,BB$6-$D57+1)),0)</f>
        <v>0</v>
      </c>
      <c r="BC57" s="46">
        <f t="array" ref="BC57">IFERROR(IF(INDEX(Historicals!$T13:$BO13,,BC$6+$D57*-1)&lt;&gt;"",INDEX(Historicals!$T13:$BO13,,BC$6+$D57*-1),$F57*BC$46*Historicals!$S13*INDEX($T$44:$BO$44,,BC$6-$D57+1)),0)</f>
        <v>0</v>
      </c>
      <c r="BD57" s="46">
        <f t="array" ref="BD57">IFERROR(IF(INDEX(Historicals!$T13:$BO13,,BD$6+$D57*-1)&lt;&gt;"",INDEX(Historicals!$T13:$BO13,,BD$6+$D57*-1),$F57*BD$46*Historicals!$S13*INDEX($T$44:$BO$44,,BD$6-$D57+1)),0)</f>
        <v>0</v>
      </c>
      <c r="BE57" s="46">
        <f t="array" ref="BE57">IFERROR(IF(INDEX(Historicals!$T13:$BO13,,BE$6+$D57*-1)&lt;&gt;"",INDEX(Historicals!$T13:$BO13,,BE$6+$D57*-1),$F57*BE$46*Historicals!$S13*INDEX($T$44:$BO$44,,BE$6-$D57+1)),0)</f>
        <v>0</v>
      </c>
      <c r="BF57" s="46">
        <f t="array" ref="BF57">IFERROR(IF(INDEX(Historicals!$T13:$BO13,,BF$6+$D57*-1)&lt;&gt;"",INDEX(Historicals!$T13:$BO13,,BF$6+$D57*-1),$F57*BF$46*Historicals!$S13*INDEX($T$44:$BO$44,,BF$6-$D57+1)),0)</f>
        <v>0</v>
      </c>
      <c r="BG57" s="46">
        <f t="array" ref="BG57">IFERROR(IF(INDEX(Historicals!$T13:$BO13,,BG$6+$D57*-1)&lt;&gt;"",INDEX(Historicals!$T13:$BO13,,BG$6+$D57*-1),$F57*BG$46*Historicals!$S13*INDEX($T$44:$BO$44,,BG$6-$D57+1)),0)</f>
        <v>0</v>
      </c>
      <c r="BH57" s="46">
        <f t="array" ref="BH57">IFERROR(IF(INDEX(Historicals!$T13:$BO13,,BH$6+$D57*-1)&lt;&gt;"",INDEX(Historicals!$T13:$BO13,,BH$6+$D57*-1),$F57*BH$46*Historicals!$S13*INDEX($T$44:$BO$44,,BH$6-$D57+1)),0)</f>
        <v>0</v>
      </c>
      <c r="BI57" s="46">
        <f t="array" ref="BI57">IFERROR(IF(INDEX(Historicals!$T13:$BO13,,BI$6+$D57*-1)&lt;&gt;"",INDEX(Historicals!$T13:$BO13,,BI$6+$D57*-1),$F57*BI$46*Historicals!$S13*INDEX($T$44:$BO$44,,BI$6-$D57+1)),0)</f>
        <v>0</v>
      </c>
      <c r="BJ57" s="46">
        <f t="array" ref="BJ57">IFERROR(IF(INDEX(Historicals!$T13:$BO13,,BJ$6+$D57*-1)&lt;&gt;"",INDEX(Historicals!$T13:$BO13,,BJ$6+$D57*-1),$F57*BJ$46*Historicals!$S13*INDEX($T$44:$BO$44,,BJ$6-$D57+1)),0)</f>
        <v>0</v>
      </c>
      <c r="BK57" s="46">
        <f t="array" ref="BK57">IFERROR(IF(INDEX(Historicals!$T13:$BO13,,BK$6+$D57*-1)&lt;&gt;"",INDEX(Historicals!$T13:$BO13,,BK$6+$D57*-1),$F57*BK$46*Historicals!$S13*INDEX($T$44:$BO$44,,BK$6-$D57+1)),0)</f>
        <v>0</v>
      </c>
      <c r="BL57" s="46">
        <f t="array" ref="BL57">IFERROR(IF(INDEX(Historicals!$T13:$BO13,,BL$6+$D57*-1)&lt;&gt;"",INDEX(Historicals!$T13:$BO13,,BL$6+$D57*-1),$F57*BL$46*Historicals!$S13*INDEX($T$44:$BO$44,,BL$6-$D57+1)),0)</f>
        <v>0</v>
      </c>
      <c r="BM57" s="46">
        <f t="array" ref="BM57">IFERROR(IF(INDEX(Historicals!$T13:$BO13,,BM$6+$D57*-1)&lt;&gt;"",INDEX(Historicals!$T13:$BO13,,BM$6+$D57*-1),$F57*BM$46*Historicals!$S13*INDEX($T$44:$BO$44,,BM$6-$D57+1)),0)</f>
        <v>0</v>
      </c>
      <c r="BN57" s="46">
        <f t="array" ref="BN57">IFERROR(IF(INDEX(Historicals!$T13:$BO13,,BN$6+$D57*-1)&lt;&gt;"",INDEX(Historicals!$T13:$BO13,,BN$6+$D57*-1),$F57*BN$46*Historicals!$S13*INDEX($T$44:$BO$44,,BN$6-$D57+1)),0)</f>
        <v>0</v>
      </c>
      <c r="BO57" s="46">
        <f t="array" ref="BO57">IFERROR(IF(INDEX(Historicals!$T13:$BO13,,BO$6+$D57*-1)&lt;&gt;"",INDEX(Historicals!$T13:$BO13,,BO$6+$D57*-1),$F57*BO$46*Historicals!$S13*INDEX($T$44:$BO$44,,BO$6-$D57+1)),0)</f>
        <v>0</v>
      </c>
    </row>
    <row r="58" spans="1:67" ht="16.5" hidden="1" customHeight="1" outlineLevel="1">
      <c r="A58" s="1"/>
      <c r="B58" s="55">
        <f t="shared" si="19"/>
        <v>44283</v>
      </c>
      <c r="C58" s="17" t="s">
        <v>104</v>
      </c>
      <c r="D58" s="46">
        <f t="shared" si="20"/>
        <v>-45</v>
      </c>
      <c r="E58" s="16"/>
      <c r="F58" s="51">
        <v>1</v>
      </c>
      <c r="G58" s="16" t="s">
        <v>159</v>
      </c>
      <c r="H58" s="16" t="s">
        <v>155</v>
      </c>
      <c r="I58" s="46">
        <f>IF(H58=Forecast!$H$195,T58,IF(H58=Forecast!$H$196,BO58,IF(H58=Forecast!$H$197,SUM(T58:BO58),IF(H58=Forecast!$H$198,AVERAGE(T58:BO58),0))))</f>
        <v>0</v>
      </c>
      <c r="J58" s="16"/>
      <c r="K58" s="16"/>
      <c r="L58" s="16"/>
      <c r="M58" s="16"/>
      <c r="N58" s="16"/>
      <c r="O58" s="16"/>
      <c r="P58" s="16"/>
      <c r="Q58" s="16"/>
      <c r="R58" s="16"/>
      <c r="S58" s="16"/>
      <c r="T58" s="46">
        <f t="array" ref="T58">IFERROR(IF(INDEX(Historicals!$T14:$BO14,,T$6+$D58*-1)&lt;&gt;"",INDEX(Historicals!$T14:$BO14,,T$6+$D58*-1),$F58*T$46*Historicals!$S14*INDEX($T$44:$BO$44,,T$6-$D58+1)),0)</f>
        <v>0</v>
      </c>
      <c r="U58" s="46">
        <f t="array" ref="U58">IFERROR(IF(INDEX(Historicals!$T14:$BO14,,U$6+$D58*-1)&lt;&gt;"",INDEX(Historicals!$T14:$BO14,,U$6+$D58*-1),$F58*U$46*Historicals!$S14*INDEX($T$44:$BO$44,,U$6-$D58+1)),0)</f>
        <v>0</v>
      </c>
      <c r="V58" s="46">
        <f t="array" ref="V58">IFERROR(IF(INDEX(Historicals!$T14:$BO14,,V$6+$D58*-1)&lt;&gt;"",INDEX(Historicals!$T14:$BO14,,V$6+$D58*-1),$F58*V$46*Historicals!$S14*INDEX($T$44:$BO$44,,V$6-$D58+1)),0)</f>
        <v>0</v>
      </c>
      <c r="W58" s="46">
        <f t="array" ref="W58">IFERROR(IF(INDEX(Historicals!$T14:$BO14,,W$6+$D58*-1)&lt;&gt;"",INDEX(Historicals!$T14:$BO14,,W$6+$D58*-1),$F58*W$46*Historicals!$S14*INDEX($T$44:$BO$44,,W$6-$D58+1)),0)</f>
        <v>0</v>
      </c>
      <c r="X58" s="46">
        <f t="array" ref="X58">IFERROR(IF(INDEX(Historicals!$T14:$BO14,,X$6+$D58*-1)&lt;&gt;"",INDEX(Historicals!$T14:$BO14,,X$6+$D58*-1),$F58*X$46*Historicals!$S14*INDEX($T$44:$BO$44,,X$6-$D58+1)),0)</f>
        <v>0</v>
      </c>
      <c r="Y58" s="46">
        <f t="array" ref="Y58">IFERROR(IF(INDEX(Historicals!$T14:$BO14,,Y$6+$D58*-1)&lt;&gt;"",INDEX(Historicals!$T14:$BO14,,Y$6+$D58*-1),$F58*Y$46*Historicals!$S14*INDEX($T$44:$BO$44,,Y$6-$D58+1)),0)</f>
        <v>0</v>
      </c>
      <c r="Z58" s="46">
        <f t="array" ref="Z58">IFERROR(IF(INDEX(Historicals!$T14:$BO14,,Z$6+$D58*-1)&lt;&gt;"",INDEX(Historicals!$T14:$BO14,,Z$6+$D58*-1),$F58*Z$46*Historicals!$S14*INDEX($T$44:$BO$44,,Z$6-$D58+1)),0)</f>
        <v>0</v>
      </c>
      <c r="AA58" s="46">
        <f t="array" ref="AA58">IFERROR(IF(INDEX(Historicals!$T14:$BO14,,AA$6+$D58*-1)&lt;&gt;"",INDEX(Historicals!$T14:$BO14,,AA$6+$D58*-1),$F58*AA$46*Historicals!$S14*INDEX($T$44:$BO$44,,AA$6-$D58+1)),0)</f>
        <v>0</v>
      </c>
      <c r="AB58" s="46">
        <f t="array" ref="AB58">IFERROR(IF(INDEX(Historicals!$T14:$BO14,,AB$6+$D58*-1)&lt;&gt;"",INDEX(Historicals!$T14:$BO14,,AB$6+$D58*-1),$F58*AB$46*Historicals!$S14*INDEX($T$44:$BO$44,,AB$6-$D58+1)),0)</f>
        <v>0</v>
      </c>
      <c r="AC58" s="46">
        <f t="array" ref="AC58">IFERROR(IF(INDEX(Historicals!$T14:$BO14,,AC$6+$D58*-1)&lt;&gt;"",INDEX(Historicals!$T14:$BO14,,AC$6+$D58*-1),$F58*AC$46*Historicals!$S14*INDEX($T$44:$BO$44,,AC$6-$D58+1)),0)</f>
        <v>0</v>
      </c>
      <c r="AD58" s="46">
        <f t="array" ref="AD58">IFERROR(IF(INDEX(Historicals!$T14:$BO14,,AD$6+$D58*-1)&lt;&gt;"",INDEX(Historicals!$T14:$BO14,,AD$6+$D58*-1),$F58*AD$46*Historicals!$S14*INDEX($T$44:$BO$44,,AD$6-$D58+1)),0)</f>
        <v>0</v>
      </c>
      <c r="AE58" s="46">
        <f t="array" ref="AE58">IFERROR(IF(INDEX(Historicals!$T14:$BO14,,AE$6+$D58*-1)&lt;&gt;"",INDEX(Historicals!$T14:$BO14,,AE$6+$D58*-1),$F58*AE$46*Historicals!$S14*INDEX($T$44:$BO$44,,AE$6-$D58+1)),0)</f>
        <v>0</v>
      </c>
      <c r="AF58" s="46">
        <f t="array" ref="AF58">IFERROR(IF(INDEX(Historicals!$T14:$BO14,,AF$6+$D58*-1)&lt;&gt;"",INDEX(Historicals!$T14:$BO14,,AF$6+$D58*-1),$F58*AF$46*Historicals!$S14*INDEX($T$44:$BO$44,,AF$6-$D58+1)),0)</f>
        <v>0</v>
      </c>
      <c r="AG58" s="46">
        <f t="array" ref="AG58">IFERROR(IF(INDEX(Historicals!$T14:$BO14,,AG$6+$D58*-1)&lt;&gt;"",INDEX(Historicals!$T14:$BO14,,AG$6+$D58*-1),$F58*AG$46*Historicals!$S14*INDEX($T$44:$BO$44,,AG$6-$D58+1)),0)</f>
        <v>0</v>
      </c>
      <c r="AH58" s="46">
        <f t="array" ref="AH58">IFERROR(IF(INDEX(Historicals!$T14:$BO14,,AH$6+$D58*-1)&lt;&gt;"",INDEX(Historicals!$T14:$BO14,,AH$6+$D58*-1),$F58*AH$46*Historicals!$S14*INDEX($T$44:$BO$44,,AH$6-$D58+1)),0)</f>
        <v>0</v>
      </c>
      <c r="AI58" s="46">
        <f t="array" ref="AI58">IFERROR(IF(INDEX(Historicals!$T14:$BO14,,AI$6+$D58*-1)&lt;&gt;"",INDEX(Historicals!$T14:$BO14,,AI$6+$D58*-1),$F58*AI$46*Historicals!$S14*INDEX($T$44:$BO$44,,AI$6-$D58+1)),0)</f>
        <v>0</v>
      </c>
      <c r="AJ58" s="46">
        <f t="array" ref="AJ58">IFERROR(IF(INDEX(Historicals!$T14:$BO14,,AJ$6+$D58*-1)&lt;&gt;"",INDEX(Historicals!$T14:$BO14,,AJ$6+$D58*-1),$F58*AJ$46*Historicals!$S14*INDEX($T$44:$BO$44,,AJ$6-$D58+1)),0)</f>
        <v>0</v>
      </c>
      <c r="AK58" s="46">
        <f t="array" ref="AK58">IFERROR(IF(INDEX(Historicals!$T14:$BO14,,AK$6+$D58*-1)&lt;&gt;"",INDEX(Historicals!$T14:$BO14,,AK$6+$D58*-1),$F58*AK$46*Historicals!$S14*INDEX($T$44:$BO$44,,AK$6-$D58+1)),0)</f>
        <v>0</v>
      </c>
      <c r="AL58" s="46">
        <f t="array" ref="AL58">IFERROR(IF(INDEX(Historicals!$T14:$BO14,,AL$6+$D58*-1)&lt;&gt;"",INDEX(Historicals!$T14:$BO14,,AL$6+$D58*-1),$F58*AL$46*Historicals!$S14*INDEX($T$44:$BO$44,,AL$6-$D58+1)),0)</f>
        <v>0</v>
      </c>
      <c r="AM58" s="46">
        <f t="array" ref="AM58">IFERROR(IF(INDEX(Historicals!$T14:$BO14,,AM$6+$D58*-1)&lt;&gt;"",INDEX(Historicals!$T14:$BO14,,AM$6+$D58*-1),$F58*AM$46*Historicals!$S14*INDEX($T$44:$BO$44,,AM$6-$D58+1)),0)</f>
        <v>0</v>
      </c>
      <c r="AN58" s="46">
        <f t="array" ref="AN58">IFERROR(IF(INDEX(Historicals!$T14:$BO14,,AN$6+$D58*-1)&lt;&gt;"",INDEX(Historicals!$T14:$BO14,,AN$6+$D58*-1),$F58*AN$46*Historicals!$S14*INDEX($T$44:$BO$44,,AN$6-$D58+1)),0)</f>
        <v>0</v>
      </c>
      <c r="AO58" s="46">
        <f t="array" ref="AO58">IFERROR(IF(INDEX(Historicals!$T14:$BO14,,AO$6+$D58*-1)&lt;&gt;"",INDEX(Historicals!$T14:$BO14,,AO$6+$D58*-1),$F58*AO$46*Historicals!$S14*INDEX($T$44:$BO$44,,AO$6-$D58+1)),0)</f>
        <v>0</v>
      </c>
      <c r="AP58" s="46">
        <f t="array" ref="AP58">IFERROR(IF(INDEX(Historicals!$T14:$BO14,,AP$6+$D58*-1)&lt;&gt;"",INDEX(Historicals!$T14:$BO14,,AP$6+$D58*-1),$F58*AP$46*Historicals!$S14*INDEX($T$44:$BO$44,,AP$6-$D58+1)),0)</f>
        <v>0</v>
      </c>
      <c r="AQ58" s="46">
        <f t="array" ref="AQ58">IFERROR(IF(INDEX(Historicals!$T14:$BO14,,AQ$6+$D58*-1)&lt;&gt;"",INDEX(Historicals!$T14:$BO14,,AQ$6+$D58*-1),$F58*AQ$46*Historicals!$S14*INDEX($T$44:$BO$44,,AQ$6-$D58+1)),0)</f>
        <v>0</v>
      </c>
      <c r="AR58" s="46">
        <f t="array" ref="AR58">IFERROR(IF(INDEX(Historicals!$T14:$BO14,,AR$6+$D58*-1)&lt;&gt;"",INDEX(Historicals!$T14:$BO14,,AR$6+$D58*-1),$F58*AR$46*Historicals!$S14*INDEX($T$44:$BO$44,,AR$6-$D58+1)),0)</f>
        <v>0</v>
      </c>
      <c r="AS58" s="46">
        <f t="array" ref="AS58">IFERROR(IF(INDEX(Historicals!$T14:$BO14,,AS$6+$D58*-1)&lt;&gt;"",INDEX(Historicals!$T14:$BO14,,AS$6+$D58*-1),$F58*AS$46*Historicals!$S14*INDEX($T$44:$BO$44,,AS$6-$D58+1)),0)</f>
        <v>0</v>
      </c>
      <c r="AT58" s="46">
        <f t="array" ref="AT58">IFERROR(IF(INDEX(Historicals!$T14:$BO14,,AT$6+$D58*-1)&lt;&gt;"",INDEX(Historicals!$T14:$BO14,,AT$6+$D58*-1),$F58*AT$46*Historicals!$S14*INDEX($T$44:$BO$44,,AT$6-$D58+1)),0)</f>
        <v>0</v>
      </c>
      <c r="AU58" s="46">
        <f t="array" ref="AU58">IFERROR(IF(INDEX(Historicals!$T14:$BO14,,AU$6+$D58*-1)&lt;&gt;"",INDEX(Historicals!$T14:$BO14,,AU$6+$D58*-1),$F58*AU$46*Historicals!$S14*INDEX($T$44:$BO$44,,AU$6-$D58+1)),0)</f>
        <v>0</v>
      </c>
      <c r="AV58" s="46">
        <f t="array" ref="AV58">IFERROR(IF(INDEX(Historicals!$T14:$BO14,,AV$6+$D58*-1)&lt;&gt;"",INDEX(Historicals!$T14:$BO14,,AV$6+$D58*-1),$F58*AV$46*Historicals!$S14*INDEX($T$44:$BO$44,,AV$6-$D58+1)),0)</f>
        <v>0</v>
      </c>
      <c r="AW58" s="46">
        <f t="array" ref="AW58">IFERROR(IF(INDEX(Historicals!$T14:$BO14,,AW$6+$D58*-1)&lt;&gt;"",INDEX(Historicals!$T14:$BO14,,AW$6+$D58*-1),$F58*AW$46*Historicals!$S14*INDEX($T$44:$BO$44,,AW$6-$D58+1)),0)</f>
        <v>0</v>
      </c>
      <c r="AX58" s="46">
        <f t="array" ref="AX58">IFERROR(IF(INDEX(Historicals!$T14:$BO14,,AX$6+$D58*-1)&lt;&gt;"",INDEX(Historicals!$T14:$BO14,,AX$6+$D58*-1),$F58*AX$46*Historicals!$S14*INDEX($T$44:$BO$44,,AX$6-$D58+1)),0)</f>
        <v>0</v>
      </c>
      <c r="AY58" s="46">
        <f t="array" ref="AY58">IFERROR(IF(INDEX(Historicals!$T14:$BO14,,AY$6+$D58*-1)&lt;&gt;"",INDEX(Historicals!$T14:$BO14,,AY$6+$D58*-1),$F58*AY$46*Historicals!$S14*INDEX($T$44:$BO$44,,AY$6-$D58+1)),0)</f>
        <v>0</v>
      </c>
      <c r="AZ58" s="46">
        <f t="array" ref="AZ58">IFERROR(IF(INDEX(Historicals!$T14:$BO14,,AZ$6+$D58*-1)&lt;&gt;"",INDEX(Historicals!$T14:$BO14,,AZ$6+$D58*-1),$F58*AZ$46*Historicals!$S14*INDEX($T$44:$BO$44,,AZ$6-$D58+1)),0)</f>
        <v>0</v>
      </c>
      <c r="BA58" s="46">
        <f t="array" ref="BA58">IFERROR(IF(INDEX(Historicals!$T14:$BO14,,BA$6+$D58*-1)&lt;&gt;"",INDEX(Historicals!$T14:$BO14,,BA$6+$D58*-1),$F58*BA$46*Historicals!$S14*INDEX($T$44:$BO$44,,BA$6-$D58+1)),0)</f>
        <v>0</v>
      </c>
      <c r="BB58" s="46">
        <f t="array" ref="BB58">IFERROR(IF(INDEX(Historicals!$T14:$BO14,,BB$6+$D58*-1)&lt;&gt;"",INDEX(Historicals!$T14:$BO14,,BB$6+$D58*-1),$F58*BB$46*Historicals!$S14*INDEX($T$44:$BO$44,,BB$6-$D58+1)),0)</f>
        <v>0</v>
      </c>
      <c r="BC58" s="46">
        <f t="array" ref="BC58">IFERROR(IF(INDEX(Historicals!$T14:$BO14,,BC$6+$D58*-1)&lt;&gt;"",INDEX(Historicals!$T14:$BO14,,BC$6+$D58*-1),$F58*BC$46*Historicals!$S14*INDEX($T$44:$BO$44,,BC$6-$D58+1)),0)</f>
        <v>0</v>
      </c>
      <c r="BD58" s="46">
        <f t="array" ref="BD58">IFERROR(IF(INDEX(Historicals!$T14:$BO14,,BD$6+$D58*-1)&lt;&gt;"",INDEX(Historicals!$T14:$BO14,,BD$6+$D58*-1),$F58*BD$46*Historicals!$S14*INDEX($T$44:$BO$44,,BD$6-$D58+1)),0)</f>
        <v>0</v>
      </c>
      <c r="BE58" s="46">
        <f t="array" ref="BE58">IFERROR(IF(INDEX(Historicals!$T14:$BO14,,BE$6+$D58*-1)&lt;&gt;"",INDEX(Historicals!$T14:$BO14,,BE$6+$D58*-1),$F58*BE$46*Historicals!$S14*INDEX($T$44:$BO$44,,BE$6-$D58+1)),0)</f>
        <v>0</v>
      </c>
      <c r="BF58" s="46">
        <f t="array" ref="BF58">IFERROR(IF(INDEX(Historicals!$T14:$BO14,,BF$6+$D58*-1)&lt;&gt;"",INDEX(Historicals!$T14:$BO14,,BF$6+$D58*-1),$F58*BF$46*Historicals!$S14*INDEX($T$44:$BO$44,,BF$6-$D58+1)),0)</f>
        <v>0</v>
      </c>
      <c r="BG58" s="46">
        <f t="array" ref="BG58">IFERROR(IF(INDEX(Historicals!$T14:$BO14,,BG$6+$D58*-1)&lt;&gt;"",INDEX(Historicals!$T14:$BO14,,BG$6+$D58*-1),$F58*BG$46*Historicals!$S14*INDEX($T$44:$BO$44,,BG$6-$D58+1)),0)</f>
        <v>0</v>
      </c>
      <c r="BH58" s="46">
        <f t="array" ref="BH58">IFERROR(IF(INDEX(Historicals!$T14:$BO14,,BH$6+$D58*-1)&lt;&gt;"",INDEX(Historicals!$T14:$BO14,,BH$6+$D58*-1),$F58*BH$46*Historicals!$S14*INDEX($T$44:$BO$44,,BH$6-$D58+1)),0)</f>
        <v>0</v>
      </c>
      <c r="BI58" s="46">
        <f t="array" ref="BI58">IFERROR(IF(INDEX(Historicals!$T14:$BO14,,BI$6+$D58*-1)&lt;&gt;"",INDEX(Historicals!$T14:$BO14,,BI$6+$D58*-1),$F58*BI$46*Historicals!$S14*INDEX($T$44:$BO$44,,BI$6-$D58+1)),0)</f>
        <v>0</v>
      </c>
      <c r="BJ58" s="46">
        <f t="array" ref="BJ58">IFERROR(IF(INDEX(Historicals!$T14:$BO14,,BJ$6+$D58*-1)&lt;&gt;"",INDEX(Historicals!$T14:$BO14,,BJ$6+$D58*-1),$F58*BJ$46*Historicals!$S14*INDEX($T$44:$BO$44,,BJ$6-$D58+1)),0)</f>
        <v>0</v>
      </c>
      <c r="BK58" s="46">
        <f t="array" ref="BK58">IFERROR(IF(INDEX(Historicals!$T14:$BO14,,BK$6+$D58*-1)&lt;&gt;"",INDEX(Historicals!$T14:$BO14,,BK$6+$D58*-1),$F58*BK$46*Historicals!$S14*INDEX($T$44:$BO$44,,BK$6-$D58+1)),0)</f>
        <v>0</v>
      </c>
      <c r="BL58" s="46">
        <f t="array" ref="BL58">IFERROR(IF(INDEX(Historicals!$T14:$BO14,,BL$6+$D58*-1)&lt;&gt;"",INDEX(Historicals!$T14:$BO14,,BL$6+$D58*-1),$F58*BL$46*Historicals!$S14*INDEX($T$44:$BO$44,,BL$6-$D58+1)),0)</f>
        <v>0</v>
      </c>
      <c r="BM58" s="46">
        <f t="array" ref="BM58">IFERROR(IF(INDEX(Historicals!$T14:$BO14,,BM$6+$D58*-1)&lt;&gt;"",INDEX(Historicals!$T14:$BO14,,BM$6+$D58*-1),$F58*BM$46*Historicals!$S14*INDEX($T$44:$BO$44,,BM$6-$D58+1)),0)</f>
        <v>0</v>
      </c>
      <c r="BN58" s="46">
        <f t="array" ref="BN58">IFERROR(IF(INDEX(Historicals!$T14:$BO14,,BN$6+$D58*-1)&lt;&gt;"",INDEX(Historicals!$T14:$BO14,,BN$6+$D58*-1),$F58*BN$46*Historicals!$S14*INDEX($T$44:$BO$44,,BN$6-$D58+1)),0)</f>
        <v>0</v>
      </c>
      <c r="BO58" s="46">
        <f t="array" ref="BO58">IFERROR(IF(INDEX(Historicals!$T14:$BO14,,BO$6+$D58*-1)&lt;&gt;"",INDEX(Historicals!$T14:$BO14,,BO$6+$D58*-1),$F58*BO$46*Historicals!$S14*INDEX($T$44:$BO$44,,BO$6-$D58+1)),0)</f>
        <v>0</v>
      </c>
    </row>
    <row r="59" spans="1:67" ht="16.5" hidden="1" customHeight="1" outlineLevel="1">
      <c r="A59" s="1"/>
      <c r="B59" s="55">
        <f t="shared" si="19"/>
        <v>44314</v>
      </c>
      <c r="C59" s="17" t="s">
        <v>104</v>
      </c>
      <c r="D59" s="46">
        <f t="shared" si="20"/>
        <v>-44</v>
      </c>
      <c r="E59" s="16"/>
      <c r="F59" s="51">
        <v>1</v>
      </c>
      <c r="G59" s="16" t="s">
        <v>159</v>
      </c>
      <c r="H59" s="16" t="s">
        <v>155</v>
      </c>
      <c r="I59" s="46">
        <f>IF(H59=Forecast!$H$195,T59,IF(H59=Forecast!$H$196,BO59,IF(H59=Forecast!$H$197,SUM(T59:BO59),IF(H59=Forecast!$H$198,AVERAGE(T59:BO59),0))))</f>
        <v>0</v>
      </c>
      <c r="J59" s="16"/>
      <c r="K59" s="16"/>
      <c r="L59" s="16"/>
      <c r="M59" s="16"/>
      <c r="N59" s="16"/>
      <c r="O59" s="16"/>
      <c r="P59" s="16"/>
      <c r="Q59" s="16"/>
      <c r="R59" s="16"/>
      <c r="S59" s="16"/>
      <c r="T59" s="46">
        <f t="array" ref="T59">IFERROR(IF(INDEX(Historicals!$T15:$BO15,,T$6+$D59*-1)&lt;&gt;"",INDEX(Historicals!$T15:$BO15,,T$6+$D59*-1),$F59*T$46*Historicals!$S15*INDEX($T$44:$BO$44,,T$6-$D59+1)),0)</f>
        <v>0</v>
      </c>
      <c r="U59" s="46">
        <f t="array" ref="U59">IFERROR(IF(INDEX(Historicals!$T15:$BO15,,U$6+$D59*-1)&lt;&gt;"",INDEX(Historicals!$T15:$BO15,,U$6+$D59*-1),$F59*U$46*Historicals!$S15*INDEX($T$44:$BO$44,,U$6-$D59+1)),0)</f>
        <v>0</v>
      </c>
      <c r="V59" s="46">
        <f t="array" ref="V59">IFERROR(IF(INDEX(Historicals!$T15:$BO15,,V$6+$D59*-1)&lt;&gt;"",INDEX(Historicals!$T15:$BO15,,V$6+$D59*-1),$F59*V$46*Historicals!$S15*INDEX($T$44:$BO$44,,V$6-$D59+1)),0)</f>
        <v>0</v>
      </c>
      <c r="W59" s="46">
        <f t="array" ref="W59">IFERROR(IF(INDEX(Historicals!$T15:$BO15,,W$6+$D59*-1)&lt;&gt;"",INDEX(Historicals!$T15:$BO15,,W$6+$D59*-1),$F59*W$46*Historicals!$S15*INDEX($T$44:$BO$44,,W$6-$D59+1)),0)</f>
        <v>0</v>
      </c>
      <c r="X59" s="46">
        <f t="array" ref="X59">IFERROR(IF(INDEX(Historicals!$T15:$BO15,,X$6+$D59*-1)&lt;&gt;"",INDEX(Historicals!$T15:$BO15,,X$6+$D59*-1),$F59*X$46*Historicals!$S15*INDEX($T$44:$BO$44,,X$6-$D59+1)),0)</f>
        <v>0</v>
      </c>
      <c r="Y59" s="46">
        <f t="array" ref="Y59">IFERROR(IF(INDEX(Historicals!$T15:$BO15,,Y$6+$D59*-1)&lt;&gt;"",INDEX(Historicals!$T15:$BO15,,Y$6+$D59*-1),$F59*Y$46*Historicals!$S15*INDEX($T$44:$BO$44,,Y$6-$D59+1)),0)</f>
        <v>0</v>
      </c>
      <c r="Z59" s="46">
        <f t="array" ref="Z59">IFERROR(IF(INDEX(Historicals!$T15:$BO15,,Z$6+$D59*-1)&lt;&gt;"",INDEX(Historicals!$T15:$BO15,,Z$6+$D59*-1),$F59*Z$46*Historicals!$S15*INDEX($T$44:$BO$44,,Z$6-$D59+1)),0)</f>
        <v>0</v>
      </c>
      <c r="AA59" s="46">
        <f t="array" ref="AA59">IFERROR(IF(INDEX(Historicals!$T15:$BO15,,AA$6+$D59*-1)&lt;&gt;"",INDEX(Historicals!$T15:$BO15,,AA$6+$D59*-1),$F59*AA$46*Historicals!$S15*INDEX($T$44:$BO$44,,AA$6-$D59+1)),0)</f>
        <v>0</v>
      </c>
      <c r="AB59" s="46">
        <f t="array" ref="AB59">IFERROR(IF(INDEX(Historicals!$T15:$BO15,,AB$6+$D59*-1)&lt;&gt;"",INDEX(Historicals!$T15:$BO15,,AB$6+$D59*-1),$F59*AB$46*Historicals!$S15*INDEX($T$44:$BO$44,,AB$6-$D59+1)),0)</f>
        <v>0</v>
      </c>
      <c r="AC59" s="46">
        <f t="array" ref="AC59">IFERROR(IF(INDEX(Historicals!$T15:$BO15,,AC$6+$D59*-1)&lt;&gt;"",INDEX(Historicals!$T15:$BO15,,AC$6+$D59*-1),$F59*AC$46*Historicals!$S15*INDEX($T$44:$BO$44,,AC$6-$D59+1)),0)</f>
        <v>0</v>
      </c>
      <c r="AD59" s="46">
        <f t="array" ref="AD59">IFERROR(IF(INDEX(Historicals!$T15:$BO15,,AD$6+$D59*-1)&lt;&gt;"",INDEX(Historicals!$T15:$BO15,,AD$6+$D59*-1),$F59*AD$46*Historicals!$S15*INDEX($T$44:$BO$44,,AD$6-$D59+1)),0)</f>
        <v>0</v>
      </c>
      <c r="AE59" s="46">
        <f t="array" ref="AE59">IFERROR(IF(INDEX(Historicals!$T15:$BO15,,AE$6+$D59*-1)&lt;&gt;"",INDEX(Historicals!$T15:$BO15,,AE$6+$D59*-1),$F59*AE$46*Historicals!$S15*INDEX($T$44:$BO$44,,AE$6-$D59+1)),0)</f>
        <v>0</v>
      </c>
      <c r="AF59" s="46">
        <f t="array" ref="AF59">IFERROR(IF(INDEX(Historicals!$T15:$BO15,,AF$6+$D59*-1)&lt;&gt;"",INDEX(Historicals!$T15:$BO15,,AF$6+$D59*-1),$F59*AF$46*Historicals!$S15*INDEX($T$44:$BO$44,,AF$6-$D59+1)),0)</f>
        <v>0</v>
      </c>
      <c r="AG59" s="46">
        <f t="array" ref="AG59">IFERROR(IF(INDEX(Historicals!$T15:$BO15,,AG$6+$D59*-1)&lt;&gt;"",INDEX(Historicals!$T15:$BO15,,AG$6+$D59*-1),$F59*AG$46*Historicals!$S15*INDEX($T$44:$BO$44,,AG$6-$D59+1)),0)</f>
        <v>0</v>
      </c>
      <c r="AH59" s="46">
        <f t="array" ref="AH59">IFERROR(IF(INDEX(Historicals!$T15:$BO15,,AH$6+$D59*-1)&lt;&gt;"",INDEX(Historicals!$T15:$BO15,,AH$6+$D59*-1),$F59*AH$46*Historicals!$S15*INDEX($T$44:$BO$44,,AH$6-$D59+1)),0)</f>
        <v>0</v>
      </c>
      <c r="AI59" s="46">
        <f t="array" ref="AI59">IFERROR(IF(INDEX(Historicals!$T15:$BO15,,AI$6+$D59*-1)&lt;&gt;"",INDEX(Historicals!$T15:$BO15,,AI$6+$D59*-1),$F59*AI$46*Historicals!$S15*INDEX($T$44:$BO$44,,AI$6-$D59+1)),0)</f>
        <v>0</v>
      </c>
      <c r="AJ59" s="46">
        <f t="array" ref="AJ59">IFERROR(IF(INDEX(Historicals!$T15:$BO15,,AJ$6+$D59*-1)&lt;&gt;"",INDEX(Historicals!$T15:$BO15,,AJ$6+$D59*-1),$F59*AJ$46*Historicals!$S15*INDEX($T$44:$BO$44,,AJ$6-$D59+1)),0)</f>
        <v>0</v>
      </c>
      <c r="AK59" s="46">
        <f t="array" ref="AK59">IFERROR(IF(INDEX(Historicals!$T15:$BO15,,AK$6+$D59*-1)&lt;&gt;"",INDEX(Historicals!$T15:$BO15,,AK$6+$D59*-1),$F59*AK$46*Historicals!$S15*INDEX($T$44:$BO$44,,AK$6-$D59+1)),0)</f>
        <v>0</v>
      </c>
      <c r="AL59" s="46">
        <f t="array" ref="AL59">IFERROR(IF(INDEX(Historicals!$T15:$BO15,,AL$6+$D59*-1)&lt;&gt;"",INDEX(Historicals!$T15:$BO15,,AL$6+$D59*-1),$F59*AL$46*Historicals!$S15*INDEX($T$44:$BO$44,,AL$6-$D59+1)),0)</f>
        <v>0</v>
      </c>
      <c r="AM59" s="46">
        <f t="array" ref="AM59">IFERROR(IF(INDEX(Historicals!$T15:$BO15,,AM$6+$D59*-1)&lt;&gt;"",INDEX(Historicals!$T15:$BO15,,AM$6+$D59*-1),$F59*AM$46*Historicals!$S15*INDEX($T$44:$BO$44,,AM$6-$D59+1)),0)</f>
        <v>0</v>
      </c>
      <c r="AN59" s="46">
        <f t="array" ref="AN59">IFERROR(IF(INDEX(Historicals!$T15:$BO15,,AN$6+$D59*-1)&lt;&gt;"",INDEX(Historicals!$T15:$BO15,,AN$6+$D59*-1),$F59*AN$46*Historicals!$S15*INDEX($T$44:$BO$44,,AN$6-$D59+1)),0)</f>
        <v>0</v>
      </c>
      <c r="AO59" s="46">
        <f t="array" ref="AO59">IFERROR(IF(INDEX(Historicals!$T15:$BO15,,AO$6+$D59*-1)&lt;&gt;"",INDEX(Historicals!$T15:$BO15,,AO$6+$D59*-1),$F59*AO$46*Historicals!$S15*INDEX($T$44:$BO$44,,AO$6-$D59+1)),0)</f>
        <v>0</v>
      </c>
      <c r="AP59" s="46">
        <f t="array" ref="AP59">IFERROR(IF(INDEX(Historicals!$T15:$BO15,,AP$6+$D59*-1)&lt;&gt;"",INDEX(Historicals!$T15:$BO15,,AP$6+$D59*-1),$F59*AP$46*Historicals!$S15*INDEX($T$44:$BO$44,,AP$6-$D59+1)),0)</f>
        <v>0</v>
      </c>
      <c r="AQ59" s="46">
        <f t="array" ref="AQ59">IFERROR(IF(INDEX(Historicals!$T15:$BO15,,AQ$6+$D59*-1)&lt;&gt;"",INDEX(Historicals!$T15:$BO15,,AQ$6+$D59*-1),$F59*AQ$46*Historicals!$S15*INDEX($T$44:$BO$44,,AQ$6-$D59+1)),0)</f>
        <v>0</v>
      </c>
      <c r="AR59" s="46">
        <f t="array" ref="AR59">IFERROR(IF(INDEX(Historicals!$T15:$BO15,,AR$6+$D59*-1)&lt;&gt;"",INDEX(Historicals!$T15:$BO15,,AR$6+$D59*-1),$F59*AR$46*Historicals!$S15*INDEX($T$44:$BO$44,,AR$6-$D59+1)),0)</f>
        <v>0</v>
      </c>
      <c r="AS59" s="46">
        <f t="array" ref="AS59">IFERROR(IF(INDEX(Historicals!$T15:$BO15,,AS$6+$D59*-1)&lt;&gt;"",INDEX(Historicals!$T15:$BO15,,AS$6+$D59*-1),$F59*AS$46*Historicals!$S15*INDEX($T$44:$BO$44,,AS$6-$D59+1)),0)</f>
        <v>0</v>
      </c>
      <c r="AT59" s="46">
        <f t="array" ref="AT59">IFERROR(IF(INDEX(Historicals!$T15:$BO15,,AT$6+$D59*-1)&lt;&gt;"",INDEX(Historicals!$T15:$BO15,,AT$6+$D59*-1),$F59*AT$46*Historicals!$S15*INDEX($T$44:$BO$44,,AT$6-$D59+1)),0)</f>
        <v>0</v>
      </c>
      <c r="AU59" s="46">
        <f t="array" ref="AU59">IFERROR(IF(INDEX(Historicals!$T15:$BO15,,AU$6+$D59*-1)&lt;&gt;"",INDEX(Historicals!$T15:$BO15,,AU$6+$D59*-1),$F59*AU$46*Historicals!$S15*INDEX($T$44:$BO$44,,AU$6-$D59+1)),0)</f>
        <v>0</v>
      </c>
      <c r="AV59" s="46">
        <f t="array" ref="AV59">IFERROR(IF(INDEX(Historicals!$T15:$BO15,,AV$6+$D59*-1)&lt;&gt;"",INDEX(Historicals!$T15:$BO15,,AV$6+$D59*-1),$F59*AV$46*Historicals!$S15*INDEX($T$44:$BO$44,,AV$6-$D59+1)),0)</f>
        <v>0</v>
      </c>
      <c r="AW59" s="46">
        <f t="array" ref="AW59">IFERROR(IF(INDEX(Historicals!$T15:$BO15,,AW$6+$D59*-1)&lt;&gt;"",INDEX(Historicals!$T15:$BO15,,AW$6+$D59*-1),$F59*AW$46*Historicals!$S15*INDEX($T$44:$BO$44,,AW$6-$D59+1)),0)</f>
        <v>0</v>
      </c>
      <c r="AX59" s="46">
        <f t="array" ref="AX59">IFERROR(IF(INDEX(Historicals!$T15:$BO15,,AX$6+$D59*-1)&lt;&gt;"",INDEX(Historicals!$T15:$BO15,,AX$6+$D59*-1),$F59*AX$46*Historicals!$S15*INDEX($T$44:$BO$44,,AX$6-$D59+1)),0)</f>
        <v>0</v>
      </c>
      <c r="AY59" s="46">
        <f t="array" ref="AY59">IFERROR(IF(INDEX(Historicals!$T15:$BO15,,AY$6+$D59*-1)&lt;&gt;"",INDEX(Historicals!$T15:$BO15,,AY$6+$D59*-1),$F59*AY$46*Historicals!$S15*INDEX($T$44:$BO$44,,AY$6-$D59+1)),0)</f>
        <v>0</v>
      </c>
      <c r="AZ59" s="46">
        <f t="array" ref="AZ59">IFERROR(IF(INDEX(Historicals!$T15:$BO15,,AZ$6+$D59*-1)&lt;&gt;"",INDEX(Historicals!$T15:$BO15,,AZ$6+$D59*-1),$F59*AZ$46*Historicals!$S15*INDEX($T$44:$BO$44,,AZ$6-$D59+1)),0)</f>
        <v>0</v>
      </c>
      <c r="BA59" s="46">
        <f t="array" ref="BA59">IFERROR(IF(INDEX(Historicals!$T15:$BO15,,BA$6+$D59*-1)&lt;&gt;"",INDEX(Historicals!$T15:$BO15,,BA$6+$D59*-1),$F59*BA$46*Historicals!$S15*INDEX($T$44:$BO$44,,BA$6-$D59+1)),0)</f>
        <v>0</v>
      </c>
      <c r="BB59" s="46">
        <f t="array" ref="BB59">IFERROR(IF(INDEX(Historicals!$T15:$BO15,,BB$6+$D59*-1)&lt;&gt;"",INDEX(Historicals!$T15:$BO15,,BB$6+$D59*-1),$F59*BB$46*Historicals!$S15*INDEX($T$44:$BO$44,,BB$6-$D59+1)),0)</f>
        <v>0</v>
      </c>
      <c r="BC59" s="46">
        <f t="array" ref="BC59">IFERROR(IF(INDEX(Historicals!$T15:$BO15,,BC$6+$D59*-1)&lt;&gt;"",INDEX(Historicals!$T15:$BO15,,BC$6+$D59*-1),$F59*BC$46*Historicals!$S15*INDEX($T$44:$BO$44,,BC$6-$D59+1)),0)</f>
        <v>0</v>
      </c>
      <c r="BD59" s="46">
        <f t="array" ref="BD59">IFERROR(IF(INDEX(Historicals!$T15:$BO15,,BD$6+$D59*-1)&lt;&gt;"",INDEX(Historicals!$T15:$BO15,,BD$6+$D59*-1),$F59*BD$46*Historicals!$S15*INDEX($T$44:$BO$44,,BD$6-$D59+1)),0)</f>
        <v>0</v>
      </c>
      <c r="BE59" s="46">
        <f t="array" ref="BE59">IFERROR(IF(INDEX(Historicals!$T15:$BO15,,BE$6+$D59*-1)&lt;&gt;"",INDEX(Historicals!$T15:$BO15,,BE$6+$D59*-1),$F59*BE$46*Historicals!$S15*INDEX($T$44:$BO$44,,BE$6-$D59+1)),0)</f>
        <v>0</v>
      </c>
      <c r="BF59" s="46">
        <f t="array" ref="BF59">IFERROR(IF(INDEX(Historicals!$T15:$BO15,,BF$6+$D59*-1)&lt;&gt;"",INDEX(Historicals!$T15:$BO15,,BF$6+$D59*-1),$F59*BF$46*Historicals!$S15*INDEX($T$44:$BO$44,,BF$6-$D59+1)),0)</f>
        <v>0</v>
      </c>
      <c r="BG59" s="46">
        <f t="array" ref="BG59">IFERROR(IF(INDEX(Historicals!$T15:$BO15,,BG$6+$D59*-1)&lt;&gt;"",INDEX(Historicals!$T15:$BO15,,BG$6+$D59*-1),$F59*BG$46*Historicals!$S15*INDEX($T$44:$BO$44,,BG$6-$D59+1)),0)</f>
        <v>0</v>
      </c>
      <c r="BH59" s="46">
        <f t="array" ref="BH59">IFERROR(IF(INDEX(Historicals!$T15:$BO15,,BH$6+$D59*-1)&lt;&gt;"",INDEX(Historicals!$T15:$BO15,,BH$6+$D59*-1),$F59*BH$46*Historicals!$S15*INDEX($T$44:$BO$44,,BH$6-$D59+1)),0)</f>
        <v>0</v>
      </c>
      <c r="BI59" s="46">
        <f t="array" ref="BI59">IFERROR(IF(INDEX(Historicals!$T15:$BO15,,BI$6+$D59*-1)&lt;&gt;"",INDEX(Historicals!$T15:$BO15,,BI$6+$D59*-1),$F59*BI$46*Historicals!$S15*INDEX($T$44:$BO$44,,BI$6-$D59+1)),0)</f>
        <v>0</v>
      </c>
      <c r="BJ59" s="46">
        <f t="array" ref="BJ59">IFERROR(IF(INDEX(Historicals!$T15:$BO15,,BJ$6+$D59*-1)&lt;&gt;"",INDEX(Historicals!$T15:$BO15,,BJ$6+$D59*-1),$F59*BJ$46*Historicals!$S15*INDEX($T$44:$BO$44,,BJ$6-$D59+1)),0)</f>
        <v>0</v>
      </c>
      <c r="BK59" s="46">
        <f t="array" ref="BK59">IFERROR(IF(INDEX(Historicals!$T15:$BO15,,BK$6+$D59*-1)&lt;&gt;"",INDEX(Historicals!$T15:$BO15,,BK$6+$D59*-1),$F59*BK$46*Historicals!$S15*INDEX($T$44:$BO$44,,BK$6-$D59+1)),0)</f>
        <v>0</v>
      </c>
      <c r="BL59" s="46">
        <f t="array" ref="BL59">IFERROR(IF(INDEX(Historicals!$T15:$BO15,,BL$6+$D59*-1)&lt;&gt;"",INDEX(Historicals!$T15:$BO15,,BL$6+$D59*-1),$F59*BL$46*Historicals!$S15*INDEX($T$44:$BO$44,,BL$6-$D59+1)),0)</f>
        <v>0</v>
      </c>
      <c r="BM59" s="46">
        <f t="array" ref="BM59">IFERROR(IF(INDEX(Historicals!$T15:$BO15,,BM$6+$D59*-1)&lt;&gt;"",INDEX(Historicals!$T15:$BO15,,BM$6+$D59*-1),$F59*BM$46*Historicals!$S15*INDEX($T$44:$BO$44,,BM$6-$D59+1)),0)</f>
        <v>0</v>
      </c>
      <c r="BN59" s="46">
        <f t="array" ref="BN59">IFERROR(IF(INDEX(Historicals!$T15:$BO15,,BN$6+$D59*-1)&lt;&gt;"",INDEX(Historicals!$T15:$BO15,,BN$6+$D59*-1),$F59*BN$46*Historicals!$S15*INDEX($T$44:$BO$44,,BN$6-$D59+1)),0)</f>
        <v>0</v>
      </c>
      <c r="BO59" s="46">
        <f t="array" ref="BO59">IFERROR(IF(INDEX(Historicals!$T15:$BO15,,BO$6+$D59*-1)&lt;&gt;"",INDEX(Historicals!$T15:$BO15,,BO$6+$D59*-1),$F59*BO$46*Historicals!$S15*INDEX($T$44:$BO$44,,BO$6-$D59+1)),0)</f>
        <v>0</v>
      </c>
    </row>
    <row r="60" spans="1:67" ht="16.5" hidden="1" customHeight="1" outlineLevel="1">
      <c r="A60" s="1"/>
      <c r="B60" s="55">
        <f t="shared" si="19"/>
        <v>44344</v>
      </c>
      <c r="C60" s="17" t="s">
        <v>104</v>
      </c>
      <c r="D60" s="46">
        <f t="shared" si="20"/>
        <v>-43</v>
      </c>
      <c r="E60" s="16"/>
      <c r="F60" s="51">
        <v>1</v>
      </c>
      <c r="G60" s="16" t="s">
        <v>159</v>
      </c>
      <c r="H60" s="16" t="s">
        <v>155</v>
      </c>
      <c r="I60" s="46">
        <f>IF(H60=Forecast!$H$195,T60,IF(H60=Forecast!$H$196,BO60,IF(H60=Forecast!$H$197,SUM(T60:BO60),IF(H60=Forecast!$H$198,AVERAGE(T60:BO60),0))))</f>
        <v>0</v>
      </c>
      <c r="J60" s="16"/>
      <c r="K60" s="16"/>
      <c r="L60" s="16"/>
      <c r="M60" s="16"/>
      <c r="N60" s="16"/>
      <c r="O60" s="16"/>
      <c r="P60" s="16"/>
      <c r="Q60" s="16"/>
      <c r="R60" s="16"/>
      <c r="S60" s="16"/>
      <c r="T60" s="46">
        <f t="array" ref="T60">IFERROR(IF(INDEX(Historicals!$T16:$BO16,,T$6+$D60*-1)&lt;&gt;"",INDEX(Historicals!$T16:$BO16,,T$6+$D60*-1),$F60*T$46*Historicals!$S16*INDEX($T$44:$BO$44,,T$6-$D60+1)),0)</f>
        <v>0</v>
      </c>
      <c r="U60" s="46">
        <f t="array" ref="U60">IFERROR(IF(INDEX(Historicals!$T16:$BO16,,U$6+$D60*-1)&lt;&gt;"",INDEX(Historicals!$T16:$BO16,,U$6+$D60*-1),$F60*U$46*Historicals!$S16*INDEX($T$44:$BO$44,,U$6-$D60+1)),0)</f>
        <v>0</v>
      </c>
      <c r="V60" s="46">
        <f t="array" ref="V60">IFERROR(IF(INDEX(Historicals!$T16:$BO16,,V$6+$D60*-1)&lt;&gt;"",INDEX(Historicals!$T16:$BO16,,V$6+$D60*-1),$F60*V$46*Historicals!$S16*INDEX($T$44:$BO$44,,V$6-$D60+1)),0)</f>
        <v>0</v>
      </c>
      <c r="W60" s="46">
        <f t="array" ref="W60">IFERROR(IF(INDEX(Historicals!$T16:$BO16,,W$6+$D60*-1)&lt;&gt;"",INDEX(Historicals!$T16:$BO16,,W$6+$D60*-1),$F60*W$46*Historicals!$S16*INDEX($T$44:$BO$44,,W$6-$D60+1)),0)</f>
        <v>0</v>
      </c>
      <c r="X60" s="46">
        <f t="array" ref="X60">IFERROR(IF(INDEX(Historicals!$T16:$BO16,,X$6+$D60*-1)&lt;&gt;"",INDEX(Historicals!$T16:$BO16,,X$6+$D60*-1),$F60*X$46*Historicals!$S16*INDEX($T$44:$BO$44,,X$6-$D60+1)),0)</f>
        <v>0</v>
      </c>
      <c r="Y60" s="46">
        <f t="array" ref="Y60">IFERROR(IF(INDEX(Historicals!$T16:$BO16,,Y$6+$D60*-1)&lt;&gt;"",INDEX(Historicals!$T16:$BO16,,Y$6+$D60*-1),$F60*Y$46*Historicals!$S16*INDEX($T$44:$BO$44,,Y$6-$D60+1)),0)</f>
        <v>0</v>
      </c>
      <c r="Z60" s="46">
        <f t="array" ref="Z60">IFERROR(IF(INDEX(Historicals!$T16:$BO16,,Z$6+$D60*-1)&lt;&gt;"",INDEX(Historicals!$T16:$BO16,,Z$6+$D60*-1),$F60*Z$46*Historicals!$S16*INDEX($T$44:$BO$44,,Z$6-$D60+1)),0)</f>
        <v>0</v>
      </c>
      <c r="AA60" s="46">
        <f t="array" ref="AA60">IFERROR(IF(INDEX(Historicals!$T16:$BO16,,AA$6+$D60*-1)&lt;&gt;"",INDEX(Historicals!$T16:$BO16,,AA$6+$D60*-1),$F60*AA$46*Historicals!$S16*INDEX($T$44:$BO$44,,AA$6-$D60+1)),0)</f>
        <v>0</v>
      </c>
      <c r="AB60" s="46">
        <f t="array" ref="AB60">IFERROR(IF(INDEX(Historicals!$T16:$BO16,,AB$6+$D60*-1)&lt;&gt;"",INDEX(Historicals!$T16:$BO16,,AB$6+$D60*-1),$F60*AB$46*Historicals!$S16*INDEX($T$44:$BO$44,,AB$6-$D60+1)),0)</f>
        <v>0</v>
      </c>
      <c r="AC60" s="46">
        <f t="array" ref="AC60">IFERROR(IF(INDEX(Historicals!$T16:$BO16,,AC$6+$D60*-1)&lt;&gt;"",INDEX(Historicals!$T16:$BO16,,AC$6+$D60*-1),$F60*AC$46*Historicals!$S16*INDEX($T$44:$BO$44,,AC$6-$D60+1)),0)</f>
        <v>0</v>
      </c>
      <c r="AD60" s="46">
        <f t="array" ref="AD60">IFERROR(IF(INDEX(Historicals!$T16:$BO16,,AD$6+$D60*-1)&lt;&gt;"",INDEX(Historicals!$T16:$BO16,,AD$6+$D60*-1),$F60*AD$46*Historicals!$S16*INDEX($T$44:$BO$44,,AD$6-$D60+1)),0)</f>
        <v>0</v>
      </c>
      <c r="AE60" s="46">
        <f t="array" ref="AE60">IFERROR(IF(INDEX(Historicals!$T16:$BO16,,AE$6+$D60*-1)&lt;&gt;"",INDEX(Historicals!$T16:$BO16,,AE$6+$D60*-1),$F60*AE$46*Historicals!$S16*INDEX($T$44:$BO$44,,AE$6-$D60+1)),0)</f>
        <v>0</v>
      </c>
      <c r="AF60" s="46">
        <f t="array" ref="AF60">IFERROR(IF(INDEX(Historicals!$T16:$BO16,,AF$6+$D60*-1)&lt;&gt;"",INDEX(Historicals!$T16:$BO16,,AF$6+$D60*-1),$F60*AF$46*Historicals!$S16*INDEX($T$44:$BO$44,,AF$6-$D60+1)),0)</f>
        <v>0</v>
      </c>
      <c r="AG60" s="46">
        <f t="array" ref="AG60">IFERROR(IF(INDEX(Historicals!$T16:$BO16,,AG$6+$D60*-1)&lt;&gt;"",INDEX(Historicals!$T16:$BO16,,AG$6+$D60*-1),$F60*AG$46*Historicals!$S16*INDEX($T$44:$BO$44,,AG$6-$D60+1)),0)</f>
        <v>0</v>
      </c>
      <c r="AH60" s="46">
        <f t="array" ref="AH60">IFERROR(IF(INDEX(Historicals!$T16:$BO16,,AH$6+$D60*-1)&lt;&gt;"",INDEX(Historicals!$T16:$BO16,,AH$6+$D60*-1),$F60*AH$46*Historicals!$S16*INDEX($T$44:$BO$44,,AH$6-$D60+1)),0)</f>
        <v>0</v>
      </c>
      <c r="AI60" s="46">
        <f t="array" ref="AI60">IFERROR(IF(INDEX(Historicals!$T16:$BO16,,AI$6+$D60*-1)&lt;&gt;"",INDEX(Historicals!$T16:$BO16,,AI$6+$D60*-1),$F60*AI$46*Historicals!$S16*INDEX($T$44:$BO$44,,AI$6-$D60+1)),0)</f>
        <v>0</v>
      </c>
      <c r="AJ60" s="46">
        <f t="array" ref="AJ60">IFERROR(IF(INDEX(Historicals!$T16:$BO16,,AJ$6+$D60*-1)&lt;&gt;"",INDEX(Historicals!$T16:$BO16,,AJ$6+$D60*-1),$F60*AJ$46*Historicals!$S16*INDEX($T$44:$BO$44,,AJ$6-$D60+1)),0)</f>
        <v>0</v>
      </c>
      <c r="AK60" s="46">
        <f t="array" ref="AK60">IFERROR(IF(INDEX(Historicals!$T16:$BO16,,AK$6+$D60*-1)&lt;&gt;"",INDEX(Historicals!$T16:$BO16,,AK$6+$D60*-1),$F60*AK$46*Historicals!$S16*INDEX($T$44:$BO$44,,AK$6-$D60+1)),0)</f>
        <v>0</v>
      </c>
      <c r="AL60" s="46">
        <f t="array" ref="AL60">IFERROR(IF(INDEX(Historicals!$T16:$BO16,,AL$6+$D60*-1)&lt;&gt;"",INDEX(Historicals!$T16:$BO16,,AL$6+$D60*-1),$F60*AL$46*Historicals!$S16*INDEX($T$44:$BO$44,,AL$6-$D60+1)),0)</f>
        <v>0</v>
      </c>
      <c r="AM60" s="46">
        <f t="array" ref="AM60">IFERROR(IF(INDEX(Historicals!$T16:$BO16,,AM$6+$D60*-1)&lt;&gt;"",INDEX(Historicals!$T16:$BO16,,AM$6+$D60*-1),$F60*AM$46*Historicals!$S16*INDEX($T$44:$BO$44,,AM$6-$D60+1)),0)</f>
        <v>0</v>
      </c>
      <c r="AN60" s="46">
        <f t="array" ref="AN60">IFERROR(IF(INDEX(Historicals!$T16:$BO16,,AN$6+$D60*-1)&lt;&gt;"",INDEX(Historicals!$T16:$BO16,,AN$6+$D60*-1),$F60*AN$46*Historicals!$S16*INDEX($T$44:$BO$44,,AN$6-$D60+1)),0)</f>
        <v>0</v>
      </c>
      <c r="AO60" s="46">
        <f t="array" ref="AO60">IFERROR(IF(INDEX(Historicals!$T16:$BO16,,AO$6+$D60*-1)&lt;&gt;"",INDEX(Historicals!$T16:$BO16,,AO$6+$D60*-1),$F60*AO$46*Historicals!$S16*INDEX($T$44:$BO$44,,AO$6-$D60+1)),0)</f>
        <v>0</v>
      </c>
      <c r="AP60" s="46">
        <f t="array" ref="AP60">IFERROR(IF(INDEX(Historicals!$T16:$BO16,,AP$6+$D60*-1)&lt;&gt;"",INDEX(Historicals!$T16:$BO16,,AP$6+$D60*-1),$F60*AP$46*Historicals!$S16*INDEX($T$44:$BO$44,,AP$6-$D60+1)),0)</f>
        <v>0</v>
      </c>
      <c r="AQ60" s="46">
        <f t="array" ref="AQ60">IFERROR(IF(INDEX(Historicals!$T16:$BO16,,AQ$6+$D60*-1)&lt;&gt;"",INDEX(Historicals!$T16:$BO16,,AQ$6+$D60*-1),$F60*AQ$46*Historicals!$S16*INDEX($T$44:$BO$44,,AQ$6-$D60+1)),0)</f>
        <v>0</v>
      </c>
      <c r="AR60" s="46">
        <f t="array" ref="AR60">IFERROR(IF(INDEX(Historicals!$T16:$BO16,,AR$6+$D60*-1)&lt;&gt;"",INDEX(Historicals!$T16:$BO16,,AR$6+$D60*-1),$F60*AR$46*Historicals!$S16*INDEX($T$44:$BO$44,,AR$6-$D60+1)),0)</f>
        <v>0</v>
      </c>
      <c r="AS60" s="46">
        <f t="array" ref="AS60">IFERROR(IF(INDEX(Historicals!$T16:$BO16,,AS$6+$D60*-1)&lt;&gt;"",INDEX(Historicals!$T16:$BO16,,AS$6+$D60*-1),$F60*AS$46*Historicals!$S16*INDEX($T$44:$BO$44,,AS$6-$D60+1)),0)</f>
        <v>0</v>
      </c>
      <c r="AT60" s="46">
        <f t="array" ref="AT60">IFERROR(IF(INDEX(Historicals!$T16:$BO16,,AT$6+$D60*-1)&lt;&gt;"",INDEX(Historicals!$T16:$BO16,,AT$6+$D60*-1),$F60*AT$46*Historicals!$S16*INDEX($T$44:$BO$44,,AT$6-$D60+1)),0)</f>
        <v>0</v>
      </c>
      <c r="AU60" s="46">
        <f t="array" ref="AU60">IFERROR(IF(INDEX(Historicals!$T16:$BO16,,AU$6+$D60*-1)&lt;&gt;"",INDEX(Historicals!$T16:$BO16,,AU$6+$D60*-1),$F60*AU$46*Historicals!$S16*INDEX($T$44:$BO$44,,AU$6-$D60+1)),0)</f>
        <v>0</v>
      </c>
      <c r="AV60" s="46">
        <f t="array" ref="AV60">IFERROR(IF(INDEX(Historicals!$T16:$BO16,,AV$6+$D60*-1)&lt;&gt;"",INDEX(Historicals!$T16:$BO16,,AV$6+$D60*-1),$F60*AV$46*Historicals!$S16*INDEX($T$44:$BO$44,,AV$6-$D60+1)),0)</f>
        <v>0</v>
      </c>
      <c r="AW60" s="46">
        <f t="array" ref="AW60">IFERROR(IF(INDEX(Historicals!$T16:$BO16,,AW$6+$D60*-1)&lt;&gt;"",INDEX(Historicals!$T16:$BO16,,AW$6+$D60*-1),$F60*AW$46*Historicals!$S16*INDEX($T$44:$BO$44,,AW$6-$D60+1)),0)</f>
        <v>0</v>
      </c>
      <c r="AX60" s="46">
        <f t="array" ref="AX60">IFERROR(IF(INDEX(Historicals!$T16:$BO16,,AX$6+$D60*-1)&lt;&gt;"",INDEX(Historicals!$T16:$BO16,,AX$6+$D60*-1),$F60*AX$46*Historicals!$S16*INDEX($T$44:$BO$44,,AX$6-$D60+1)),0)</f>
        <v>0</v>
      </c>
      <c r="AY60" s="46">
        <f t="array" ref="AY60">IFERROR(IF(INDEX(Historicals!$T16:$BO16,,AY$6+$D60*-1)&lt;&gt;"",INDEX(Historicals!$T16:$BO16,,AY$6+$D60*-1),$F60*AY$46*Historicals!$S16*INDEX($T$44:$BO$44,,AY$6-$D60+1)),0)</f>
        <v>0</v>
      </c>
      <c r="AZ60" s="46">
        <f t="array" ref="AZ60">IFERROR(IF(INDEX(Historicals!$T16:$BO16,,AZ$6+$D60*-1)&lt;&gt;"",INDEX(Historicals!$T16:$BO16,,AZ$6+$D60*-1),$F60*AZ$46*Historicals!$S16*INDEX($T$44:$BO$44,,AZ$6-$D60+1)),0)</f>
        <v>0</v>
      </c>
      <c r="BA60" s="46">
        <f t="array" ref="BA60">IFERROR(IF(INDEX(Historicals!$T16:$BO16,,BA$6+$D60*-1)&lt;&gt;"",INDEX(Historicals!$T16:$BO16,,BA$6+$D60*-1),$F60*BA$46*Historicals!$S16*INDEX($T$44:$BO$44,,BA$6-$D60+1)),0)</f>
        <v>0</v>
      </c>
      <c r="BB60" s="46">
        <f t="array" ref="BB60">IFERROR(IF(INDEX(Historicals!$T16:$BO16,,BB$6+$D60*-1)&lt;&gt;"",INDEX(Historicals!$T16:$BO16,,BB$6+$D60*-1),$F60*BB$46*Historicals!$S16*INDEX($T$44:$BO$44,,BB$6-$D60+1)),0)</f>
        <v>0</v>
      </c>
      <c r="BC60" s="46">
        <f t="array" ref="BC60">IFERROR(IF(INDEX(Historicals!$T16:$BO16,,BC$6+$D60*-1)&lt;&gt;"",INDEX(Historicals!$T16:$BO16,,BC$6+$D60*-1),$F60*BC$46*Historicals!$S16*INDEX($T$44:$BO$44,,BC$6-$D60+1)),0)</f>
        <v>0</v>
      </c>
      <c r="BD60" s="46">
        <f t="array" ref="BD60">IFERROR(IF(INDEX(Historicals!$T16:$BO16,,BD$6+$D60*-1)&lt;&gt;"",INDEX(Historicals!$T16:$BO16,,BD$6+$D60*-1),$F60*BD$46*Historicals!$S16*INDEX($T$44:$BO$44,,BD$6-$D60+1)),0)</f>
        <v>0</v>
      </c>
      <c r="BE60" s="46">
        <f t="array" ref="BE60">IFERROR(IF(INDEX(Historicals!$T16:$BO16,,BE$6+$D60*-1)&lt;&gt;"",INDEX(Historicals!$T16:$BO16,,BE$6+$D60*-1),$F60*BE$46*Historicals!$S16*INDEX($T$44:$BO$44,,BE$6-$D60+1)),0)</f>
        <v>0</v>
      </c>
      <c r="BF60" s="46">
        <f t="array" ref="BF60">IFERROR(IF(INDEX(Historicals!$T16:$BO16,,BF$6+$D60*-1)&lt;&gt;"",INDEX(Historicals!$T16:$BO16,,BF$6+$D60*-1),$F60*BF$46*Historicals!$S16*INDEX($T$44:$BO$44,,BF$6-$D60+1)),0)</f>
        <v>0</v>
      </c>
      <c r="BG60" s="46">
        <f t="array" ref="BG60">IFERROR(IF(INDEX(Historicals!$T16:$BO16,,BG$6+$D60*-1)&lt;&gt;"",INDEX(Historicals!$T16:$BO16,,BG$6+$D60*-1),$F60*BG$46*Historicals!$S16*INDEX($T$44:$BO$44,,BG$6-$D60+1)),0)</f>
        <v>0</v>
      </c>
      <c r="BH60" s="46">
        <f t="array" ref="BH60">IFERROR(IF(INDEX(Historicals!$T16:$BO16,,BH$6+$D60*-1)&lt;&gt;"",INDEX(Historicals!$T16:$BO16,,BH$6+$D60*-1),$F60*BH$46*Historicals!$S16*INDEX($T$44:$BO$44,,BH$6-$D60+1)),0)</f>
        <v>0</v>
      </c>
      <c r="BI60" s="46">
        <f t="array" ref="BI60">IFERROR(IF(INDEX(Historicals!$T16:$BO16,,BI$6+$D60*-1)&lt;&gt;"",INDEX(Historicals!$T16:$BO16,,BI$6+$D60*-1),$F60*BI$46*Historicals!$S16*INDEX($T$44:$BO$44,,BI$6-$D60+1)),0)</f>
        <v>0</v>
      </c>
      <c r="BJ60" s="46">
        <f t="array" ref="BJ60">IFERROR(IF(INDEX(Historicals!$T16:$BO16,,BJ$6+$D60*-1)&lt;&gt;"",INDEX(Historicals!$T16:$BO16,,BJ$6+$D60*-1),$F60*BJ$46*Historicals!$S16*INDEX($T$44:$BO$44,,BJ$6-$D60+1)),0)</f>
        <v>0</v>
      </c>
      <c r="BK60" s="46">
        <f t="array" ref="BK60">IFERROR(IF(INDEX(Historicals!$T16:$BO16,,BK$6+$D60*-1)&lt;&gt;"",INDEX(Historicals!$T16:$BO16,,BK$6+$D60*-1),$F60*BK$46*Historicals!$S16*INDEX($T$44:$BO$44,,BK$6-$D60+1)),0)</f>
        <v>0</v>
      </c>
      <c r="BL60" s="46">
        <f t="array" ref="BL60">IFERROR(IF(INDEX(Historicals!$T16:$BO16,,BL$6+$D60*-1)&lt;&gt;"",INDEX(Historicals!$T16:$BO16,,BL$6+$D60*-1),$F60*BL$46*Historicals!$S16*INDEX($T$44:$BO$44,,BL$6-$D60+1)),0)</f>
        <v>0</v>
      </c>
      <c r="BM60" s="46">
        <f t="array" ref="BM60">IFERROR(IF(INDEX(Historicals!$T16:$BO16,,BM$6+$D60*-1)&lt;&gt;"",INDEX(Historicals!$T16:$BO16,,BM$6+$D60*-1),$F60*BM$46*Historicals!$S16*INDEX($T$44:$BO$44,,BM$6-$D60+1)),0)</f>
        <v>0</v>
      </c>
      <c r="BN60" s="46">
        <f t="array" ref="BN60">IFERROR(IF(INDEX(Historicals!$T16:$BO16,,BN$6+$D60*-1)&lt;&gt;"",INDEX(Historicals!$T16:$BO16,,BN$6+$D60*-1),$F60*BN$46*Historicals!$S16*INDEX($T$44:$BO$44,,BN$6-$D60+1)),0)</f>
        <v>0</v>
      </c>
      <c r="BO60" s="46">
        <f t="array" ref="BO60">IFERROR(IF(INDEX(Historicals!$T16:$BO16,,BO$6+$D60*-1)&lt;&gt;"",INDEX(Historicals!$T16:$BO16,,BO$6+$D60*-1),$F60*BO$46*Historicals!$S16*INDEX($T$44:$BO$44,,BO$6-$D60+1)),0)</f>
        <v>0</v>
      </c>
    </row>
    <row r="61" spans="1:67" ht="16.5" hidden="1" customHeight="1" outlineLevel="1">
      <c r="A61" s="1"/>
      <c r="B61" s="55">
        <f t="shared" si="19"/>
        <v>44375</v>
      </c>
      <c r="C61" s="17" t="s">
        <v>104</v>
      </c>
      <c r="D61" s="46">
        <f t="shared" si="20"/>
        <v>-42</v>
      </c>
      <c r="E61" s="16"/>
      <c r="F61" s="51">
        <v>1</v>
      </c>
      <c r="G61" s="16" t="s">
        <v>159</v>
      </c>
      <c r="H61" s="16" t="s">
        <v>155</v>
      </c>
      <c r="I61" s="46">
        <f>IF(H61=Forecast!$H$195,T61,IF(H61=Forecast!$H$196,BO61,IF(H61=Forecast!$H$197,SUM(T61:BO61),IF(H61=Forecast!$H$198,AVERAGE(T61:BO61),0))))</f>
        <v>0</v>
      </c>
      <c r="J61" s="16"/>
      <c r="K61" s="16"/>
      <c r="L61" s="16"/>
      <c r="M61" s="16"/>
      <c r="N61" s="16"/>
      <c r="O61" s="16"/>
      <c r="P61" s="16"/>
      <c r="Q61" s="16"/>
      <c r="R61" s="16"/>
      <c r="S61" s="16"/>
      <c r="T61" s="46">
        <f t="array" ref="T61">IFERROR(IF(INDEX(Historicals!$T17:$BO17,,T$6+$D61*-1)&lt;&gt;"",INDEX(Historicals!$T17:$BO17,,T$6+$D61*-1),$F61*T$46*Historicals!$S17*INDEX($T$44:$BO$44,,T$6-$D61+1)),0)</f>
        <v>0</v>
      </c>
      <c r="U61" s="46">
        <f t="array" ref="U61">IFERROR(IF(INDEX(Historicals!$T17:$BO17,,U$6+$D61*-1)&lt;&gt;"",INDEX(Historicals!$T17:$BO17,,U$6+$D61*-1),$F61*U$46*Historicals!$S17*INDEX($T$44:$BO$44,,U$6-$D61+1)),0)</f>
        <v>0</v>
      </c>
      <c r="V61" s="46">
        <f t="array" ref="V61">IFERROR(IF(INDEX(Historicals!$T17:$BO17,,V$6+$D61*-1)&lt;&gt;"",INDEX(Historicals!$T17:$BO17,,V$6+$D61*-1),$F61*V$46*Historicals!$S17*INDEX($T$44:$BO$44,,V$6-$D61+1)),0)</f>
        <v>0</v>
      </c>
      <c r="W61" s="46">
        <f t="array" ref="W61">IFERROR(IF(INDEX(Historicals!$T17:$BO17,,W$6+$D61*-1)&lt;&gt;"",INDEX(Historicals!$T17:$BO17,,W$6+$D61*-1),$F61*W$46*Historicals!$S17*INDEX($T$44:$BO$44,,W$6-$D61+1)),0)</f>
        <v>0</v>
      </c>
      <c r="X61" s="46">
        <f t="array" ref="X61">IFERROR(IF(INDEX(Historicals!$T17:$BO17,,X$6+$D61*-1)&lt;&gt;"",INDEX(Historicals!$T17:$BO17,,X$6+$D61*-1),$F61*X$46*Historicals!$S17*INDEX($T$44:$BO$44,,X$6-$D61+1)),0)</f>
        <v>0</v>
      </c>
      <c r="Y61" s="46">
        <f t="array" ref="Y61">IFERROR(IF(INDEX(Historicals!$T17:$BO17,,Y$6+$D61*-1)&lt;&gt;"",INDEX(Historicals!$T17:$BO17,,Y$6+$D61*-1),$F61*Y$46*Historicals!$S17*INDEX($T$44:$BO$44,,Y$6-$D61+1)),0)</f>
        <v>0</v>
      </c>
      <c r="Z61" s="46">
        <f t="array" ref="Z61">IFERROR(IF(INDEX(Historicals!$T17:$BO17,,Z$6+$D61*-1)&lt;&gt;"",INDEX(Historicals!$T17:$BO17,,Z$6+$D61*-1),$F61*Z$46*Historicals!$S17*INDEX($T$44:$BO$44,,Z$6-$D61+1)),0)</f>
        <v>0</v>
      </c>
      <c r="AA61" s="46">
        <f t="array" ref="AA61">IFERROR(IF(INDEX(Historicals!$T17:$BO17,,AA$6+$D61*-1)&lt;&gt;"",INDEX(Historicals!$T17:$BO17,,AA$6+$D61*-1),$F61*AA$46*Historicals!$S17*INDEX($T$44:$BO$44,,AA$6-$D61+1)),0)</f>
        <v>0</v>
      </c>
      <c r="AB61" s="46">
        <f t="array" ref="AB61">IFERROR(IF(INDEX(Historicals!$T17:$BO17,,AB$6+$D61*-1)&lt;&gt;"",INDEX(Historicals!$T17:$BO17,,AB$6+$D61*-1),$F61*AB$46*Historicals!$S17*INDEX($T$44:$BO$44,,AB$6-$D61+1)),0)</f>
        <v>0</v>
      </c>
      <c r="AC61" s="46">
        <f t="array" ref="AC61">IFERROR(IF(INDEX(Historicals!$T17:$BO17,,AC$6+$D61*-1)&lt;&gt;"",INDEX(Historicals!$T17:$BO17,,AC$6+$D61*-1),$F61*AC$46*Historicals!$S17*INDEX($T$44:$BO$44,,AC$6-$D61+1)),0)</f>
        <v>0</v>
      </c>
      <c r="AD61" s="46">
        <f t="array" ref="AD61">IFERROR(IF(INDEX(Historicals!$T17:$BO17,,AD$6+$D61*-1)&lt;&gt;"",INDEX(Historicals!$T17:$BO17,,AD$6+$D61*-1),$F61*AD$46*Historicals!$S17*INDEX($T$44:$BO$44,,AD$6-$D61+1)),0)</f>
        <v>0</v>
      </c>
      <c r="AE61" s="46">
        <f t="array" ref="AE61">IFERROR(IF(INDEX(Historicals!$T17:$BO17,,AE$6+$D61*-1)&lt;&gt;"",INDEX(Historicals!$T17:$BO17,,AE$6+$D61*-1),$F61*AE$46*Historicals!$S17*INDEX($T$44:$BO$44,,AE$6-$D61+1)),0)</f>
        <v>0</v>
      </c>
      <c r="AF61" s="46">
        <f t="array" ref="AF61">IFERROR(IF(INDEX(Historicals!$T17:$BO17,,AF$6+$D61*-1)&lt;&gt;"",INDEX(Historicals!$T17:$BO17,,AF$6+$D61*-1),$F61*AF$46*Historicals!$S17*INDEX($T$44:$BO$44,,AF$6-$D61+1)),0)</f>
        <v>0</v>
      </c>
      <c r="AG61" s="46">
        <f t="array" ref="AG61">IFERROR(IF(INDEX(Historicals!$T17:$BO17,,AG$6+$D61*-1)&lt;&gt;"",INDEX(Historicals!$T17:$BO17,,AG$6+$D61*-1),$F61*AG$46*Historicals!$S17*INDEX($T$44:$BO$44,,AG$6-$D61+1)),0)</f>
        <v>0</v>
      </c>
      <c r="AH61" s="46">
        <f t="array" ref="AH61">IFERROR(IF(INDEX(Historicals!$T17:$BO17,,AH$6+$D61*-1)&lt;&gt;"",INDEX(Historicals!$T17:$BO17,,AH$6+$D61*-1),$F61*AH$46*Historicals!$S17*INDEX($T$44:$BO$44,,AH$6-$D61+1)),0)</f>
        <v>0</v>
      </c>
      <c r="AI61" s="46">
        <f t="array" ref="AI61">IFERROR(IF(INDEX(Historicals!$T17:$BO17,,AI$6+$D61*-1)&lt;&gt;"",INDEX(Historicals!$T17:$BO17,,AI$6+$D61*-1),$F61*AI$46*Historicals!$S17*INDEX($T$44:$BO$44,,AI$6-$D61+1)),0)</f>
        <v>0</v>
      </c>
      <c r="AJ61" s="46">
        <f t="array" ref="AJ61">IFERROR(IF(INDEX(Historicals!$T17:$BO17,,AJ$6+$D61*-1)&lt;&gt;"",INDEX(Historicals!$T17:$BO17,,AJ$6+$D61*-1),$F61*AJ$46*Historicals!$S17*INDEX($T$44:$BO$44,,AJ$6-$D61+1)),0)</f>
        <v>0</v>
      </c>
      <c r="AK61" s="46">
        <f t="array" ref="AK61">IFERROR(IF(INDEX(Historicals!$T17:$BO17,,AK$6+$D61*-1)&lt;&gt;"",INDEX(Historicals!$T17:$BO17,,AK$6+$D61*-1),$F61*AK$46*Historicals!$S17*INDEX($T$44:$BO$44,,AK$6-$D61+1)),0)</f>
        <v>0</v>
      </c>
      <c r="AL61" s="46">
        <f t="array" ref="AL61">IFERROR(IF(INDEX(Historicals!$T17:$BO17,,AL$6+$D61*-1)&lt;&gt;"",INDEX(Historicals!$T17:$BO17,,AL$6+$D61*-1),$F61*AL$46*Historicals!$S17*INDEX($T$44:$BO$44,,AL$6-$D61+1)),0)</f>
        <v>0</v>
      </c>
      <c r="AM61" s="46">
        <f t="array" ref="AM61">IFERROR(IF(INDEX(Historicals!$T17:$BO17,,AM$6+$D61*-1)&lt;&gt;"",INDEX(Historicals!$T17:$BO17,,AM$6+$D61*-1),$F61*AM$46*Historicals!$S17*INDEX($T$44:$BO$44,,AM$6-$D61+1)),0)</f>
        <v>0</v>
      </c>
      <c r="AN61" s="46">
        <f t="array" ref="AN61">IFERROR(IF(INDEX(Historicals!$T17:$BO17,,AN$6+$D61*-1)&lt;&gt;"",INDEX(Historicals!$T17:$BO17,,AN$6+$D61*-1),$F61*AN$46*Historicals!$S17*INDEX($T$44:$BO$44,,AN$6-$D61+1)),0)</f>
        <v>0</v>
      </c>
      <c r="AO61" s="46">
        <f t="array" ref="AO61">IFERROR(IF(INDEX(Historicals!$T17:$BO17,,AO$6+$D61*-1)&lt;&gt;"",INDEX(Historicals!$T17:$BO17,,AO$6+$D61*-1),$F61*AO$46*Historicals!$S17*INDEX($T$44:$BO$44,,AO$6-$D61+1)),0)</f>
        <v>0</v>
      </c>
      <c r="AP61" s="46">
        <f t="array" ref="AP61">IFERROR(IF(INDEX(Historicals!$T17:$BO17,,AP$6+$D61*-1)&lt;&gt;"",INDEX(Historicals!$T17:$BO17,,AP$6+$D61*-1),$F61*AP$46*Historicals!$S17*INDEX($T$44:$BO$44,,AP$6-$D61+1)),0)</f>
        <v>0</v>
      </c>
      <c r="AQ61" s="46">
        <f t="array" ref="AQ61">IFERROR(IF(INDEX(Historicals!$T17:$BO17,,AQ$6+$D61*-1)&lt;&gt;"",INDEX(Historicals!$T17:$BO17,,AQ$6+$D61*-1),$F61*AQ$46*Historicals!$S17*INDEX($T$44:$BO$44,,AQ$6-$D61+1)),0)</f>
        <v>0</v>
      </c>
      <c r="AR61" s="46">
        <f t="array" ref="AR61">IFERROR(IF(INDEX(Historicals!$T17:$BO17,,AR$6+$D61*-1)&lt;&gt;"",INDEX(Historicals!$T17:$BO17,,AR$6+$D61*-1),$F61*AR$46*Historicals!$S17*INDEX($T$44:$BO$44,,AR$6-$D61+1)),0)</f>
        <v>0</v>
      </c>
      <c r="AS61" s="46">
        <f t="array" ref="AS61">IFERROR(IF(INDEX(Historicals!$T17:$BO17,,AS$6+$D61*-1)&lt;&gt;"",INDEX(Historicals!$T17:$BO17,,AS$6+$D61*-1),$F61*AS$46*Historicals!$S17*INDEX($T$44:$BO$44,,AS$6-$D61+1)),0)</f>
        <v>0</v>
      </c>
      <c r="AT61" s="46">
        <f t="array" ref="AT61">IFERROR(IF(INDEX(Historicals!$T17:$BO17,,AT$6+$D61*-1)&lt;&gt;"",INDEX(Historicals!$T17:$BO17,,AT$6+$D61*-1),$F61*AT$46*Historicals!$S17*INDEX($T$44:$BO$44,,AT$6-$D61+1)),0)</f>
        <v>0</v>
      </c>
      <c r="AU61" s="46">
        <f t="array" ref="AU61">IFERROR(IF(INDEX(Historicals!$T17:$BO17,,AU$6+$D61*-1)&lt;&gt;"",INDEX(Historicals!$T17:$BO17,,AU$6+$D61*-1),$F61*AU$46*Historicals!$S17*INDEX($T$44:$BO$44,,AU$6-$D61+1)),0)</f>
        <v>0</v>
      </c>
      <c r="AV61" s="46">
        <f t="array" ref="AV61">IFERROR(IF(INDEX(Historicals!$T17:$BO17,,AV$6+$D61*-1)&lt;&gt;"",INDEX(Historicals!$T17:$BO17,,AV$6+$D61*-1),$F61*AV$46*Historicals!$S17*INDEX($T$44:$BO$44,,AV$6-$D61+1)),0)</f>
        <v>0</v>
      </c>
      <c r="AW61" s="46">
        <f t="array" ref="AW61">IFERROR(IF(INDEX(Historicals!$T17:$BO17,,AW$6+$D61*-1)&lt;&gt;"",INDEX(Historicals!$T17:$BO17,,AW$6+$D61*-1),$F61*AW$46*Historicals!$S17*INDEX($T$44:$BO$44,,AW$6-$D61+1)),0)</f>
        <v>0</v>
      </c>
      <c r="AX61" s="46">
        <f t="array" ref="AX61">IFERROR(IF(INDEX(Historicals!$T17:$BO17,,AX$6+$D61*-1)&lt;&gt;"",INDEX(Historicals!$T17:$BO17,,AX$6+$D61*-1),$F61*AX$46*Historicals!$S17*INDEX($T$44:$BO$44,,AX$6-$D61+1)),0)</f>
        <v>0</v>
      </c>
      <c r="AY61" s="46">
        <f t="array" ref="AY61">IFERROR(IF(INDEX(Historicals!$T17:$BO17,,AY$6+$D61*-1)&lt;&gt;"",INDEX(Historicals!$T17:$BO17,,AY$6+$D61*-1),$F61*AY$46*Historicals!$S17*INDEX($T$44:$BO$44,,AY$6-$D61+1)),0)</f>
        <v>0</v>
      </c>
      <c r="AZ61" s="46">
        <f t="array" ref="AZ61">IFERROR(IF(INDEX(Historicals!$T17:$BO17,,AZ$6+$D61*-1)&lt;&gt;"",INDEX(Historicals!$T17:$BO17,,AZ$6+$D61*-1),$F61*AZ$46*Historicals!$S17*INDEX($T$44:$BO$44,,AZ$6-$D61+1)),0)</f>
        <v>0</v>
      </c>
      <c r="BA61" s="46">
        <f t="array" ref="BA61">IFERROR(IF(INDEX(Historicals!$T17:$BO17,,BA$6+$D61*-1)&lt;&gt;"",INDEX(Historicals!$T17:$BO17,,BA$6+$D61*-1),$F61*BA$46*Historicals!$S17*INDEX($T$44:$BO$44,,BA$6-$D61+1)),0)</f>
        <v>0</v>
      </c>
      <c r="BB61" s="46">
        <f t="array" ref="BB61">IFERROR(IF(INDEX(Historicals!$T17:$BO17,,BB$6+$D61*-1)&lt;&gt;"",INDEX(Historicals!$T17:$BO17,,BB$6+$D61*-1),$F61*BB$46*Historicals!$S17*INDEX($T$44:$BO$44,,BB$6-$D61+1)),0)</f>
        <v>0</v>
      </c>
      <c r="BC61" s="46">
        <f t="array" ref="BC61">IFERROR(IF(INDEX(Historicals!$T17:$BO17,,BC$6+$D61*-1)&lt;&gt;"",INDEX(Historicals!$T17:$BO17,,BC$6+$D61*-1),$F61*BC$46*Historicals!$S17*INDEX($T$44:$BO$44,,BC$6-$D61+1)),0)</f>
        <v>0</v>
      </c>
      <c r="BD61" s="46">
        <f t="array" ref="BD61">IFERROR(IF(INDEX(Historicals!$T17:$BO17,,BD$6+$D61*-1)&lt;&gt;"",INDEX(Historicals!$T17:$BO17,,BD$6+$D61*-1),$F61*BD$46*Historicals!$S17*INDEX($T$44:$BO$44,,BD$6-$D61+1)),0)</f>
        <v>0</v>
      </c>
      <c r="BE61" s="46">
        <f t="array" ref="BE61">IFERROR(IF(INDEX(Historicals!$T17:$BO17,,BE$6+$D61*-1)&lt;&gt;"",INDEX(Historicals!$T17:$BO17,,BE$6+$D61*-1),$F61*BE$46*Historicals!$S17*INDEX($T$44:$BO$44,,BE$6-$D61+1)),0)</f>
        <v>0</v>
      </c>
      <c r="BF61" s="46">
        <f t="array" ref="BF61">IFERROR(IF(INDEX(Historicals!$T17:$BO17,,BF$6+$D61*-1)&lt;&gt;"",INDEX(Historicals!$T17:$BO17,,BF$6+$D61*-1),$F61*BF$46*Historicals!$S17*INDEX($T$44:$BO$44,,BF$6-$D61+1)),0)</f>
        <v>0</v>
      </c>
      <c r="BG61" s="46">
        <f t="array" ref="BG61">IFERROR(IF(INDEX(Historicals!$T17:$BO17,,BG$6+$D61*-1)&lt;&gt;"",INDEX(Historicals!$T17:$BO17,,BG$6+$D61*-1),$F61*BG$46*Historicals!$S17*INDEX($T$44:$BO$44,,BG$6-$D61+1)),0)</f>
        <v>0</v>
      </c>
      <c r="BH61" s="46">
        <f t="array" ref="BH61">IFERROR(IF(INDEX(Historicals!$T17:$BO17,,BH$6+$D61*-1)&lt;&gt;"",INDEX(Historicals!$T17:$BO17,,BH$6+$D61*-1),$F61*BH$46*Historicals!$S17*INDEX($T$44:$BO$44,,BH$6-$D61+1)),0)</f>
        <v>0</v>
      </c>
      <c r="BI61" s="46">
        <f t="array" ref="BI61">IFERROR(IF(INDEX(Historicals!$T17:$BO17,,BI$6+$D61*-1)&lt;&gt;"",INDEX(Historicals!$T17:$BO17,,BI$6+$D61*-1),$F61*BI$46*Historicals!$S17*INDEX($T$44:$BO$44,,BI$6-$D61+1)),0)</f>
        <v>0</v>
      </c>
      <c r="BJ61" s="46">
        <f t="array" ref="BJ61">IFERROR(IF(INDEX(Historicals!$T17:$BO17,,BJ$6+$D61*-1)&lt;&gt;"",INDEX(Historicals!$T17:$BO17,,BJ$6+$D61*-1),$F61*BJ$46*Historicals!$S17*INDEX($T$44:$BO$44,,BJ$6-$D61+1)),0)</f>
        <v>0</v>
      </c>
      <c r="BK61" s="46">
        <f t="array" ref="BK61">IFERROR(IF(INDEX(Historicals!$T17:$BO17,,BK$6+$D61*-1)&lt;&gt;"",INDEX(Historicals!$T17:$BO17,,BK$6+$D61*-1),$F61*BK$46*Historicals!$S17*INDEX($T$44:$BO$44,,BK$6-$D61+1)),0)</f>
        <v>0</v>
      </c>
      <c r="BL61" s="46">
        <f t="array" ref="BL61">IFERROR(IF(INDEX(Historicals!$T17:$BO17,,BL$6+$D61*-1)&lt;&gt;"",INDEX(Historicals!$T17:$BO17,,BL$6+$D61*-1),$F61*BL$46*Historicals!$S17*INDEX($T$44:$BO$44,,BL$6-$D61+1)),0)</f>
        <v>0</v>
      </c>
      <c r="BM61" s="46">
        <f t="array" ref="BM61">IFERROR(IF(INDEX(Historicals!$T17:$BO17,,BM$6+$D61*-1)&lt;&gt;"",INDEX(Historicals!$T17:$BO17,,BM$6+$D61*-1),$F61*BM$46*Historicals!$S17*INDEX($T$44:$BO$44,,BM$6-$D61+1)),0)</f>
        <v>0</v>
      </c>
      <c r="BN61" s="46">
        <f t="array" ref="BN61">IFERROR(IF(INDEX(Historicals!$T17:$BO17,,BN$6+$D61*-1)&lt;&gt;"",INDEX(Historicals!$T17:$BO17,,BN$6+$D61*-1),$F61*BN$46*Historicals!$S17*INDEX($T$44:$BO$44,,BN$6-$D61+1)),0)</f>
        <v>0</v>
      </c>
      <c r="BO61" s="46">
        <f t="array" ref="BO61">IFERROR(IF(INDEX(Historicals!$T17:$BO17,,BO$6+$D61*-1)&lt;&gt;"",INDEX(Historicals!$T17:$BO17,,BO$6+$D61*-1),$F61*BO$46*Historicals!$S17*INDEX($T$44:$BO$44,,BO$6-$D61+1)),0)</f>
        <v>0</v>
      </c>
    </row>
    <row r="62" spans="1:67" ht="16.5" hidden="1" customHeight="1" outlineLevel="1">
      <c r="A62" s="1"/>
      <c r="B62" s="55">
        <f t="shared" si="19"/>
        <v>44405</v>
      </c>
      <c r="C62" s="17" t="s">
        <v>104</v>
      </c>
      <c r="D62" s="46">
        <f t="shared" si="20"/>
        <v>-41</v>
      </c>
      <c r="E62" s="16"/>
      <c r="F62" s="51">
        <v>1</v>
      </c>
      <c r="G62" s="16" t="s">
        <v>159</v>
      </c>
      <c r="H62" s="16" t="s">
        <v>155</v>
      </c>
      <c r="I62" s="46">
        <f>IF(H62=Forecast!$H$195,T62,IF(H62=Forecast!$H$196,BO62,IF(H62=Forecast!$H$197,SUM(T62:BO62),IF(H62=Forecast!$H$198,AVERAGE(T62:BO62),0))))</f>
        <v>0</v>
      </c>
      <c r="J62" s="16"/>
      <c r="K62" s="16"/>
      <c r="L62" s="16"/>
      <c r="M62" s="16"/>
      <c r="N62" s="16"/>
      <c r="O62" s="16"/>
      <c r="P62" s="16"/>
      <c r="Q62" s="16"/>
      <c r="R62" s="16"/>
      <c r="S62" s="16"/>
      <c r="T62" s="46">
        <f t="array" ref="T62">IFERROR(IF(INDEX(Historicals!$T18:$BO18,,T$6+$D62*-1)&lt;&gt;"",INDEX(Historicals!$T18:$BO18,,T$6+$D62*-1),$F62*T$46*Historicals!$S18*INDEX($T$44:$BO$44,,T$6-$D62+1)),0)</f>
        <v>0</v>
      </c>
      <c r="U62" s="46">
        <f t="array" ref="U62">IFERROR(IF(INDEX(Historicals!$T18:$BO18,,U$6+$D62*-1)&lt;&gt;"",INDEX(Historicals!$T18:$BO18,,U$6+$D62*-1),$F62*U$46*Historicals!$S18*INDEX($T$44:$BO$44,,U$6-$D62+1)),0)</f>
        <v>0</v>
      </c>
      <c r="V62" s="46">
        <f t="array" ref="V62">IFERROR(IF(INDEX(Historicals!$T18:$BO18,,V$6+$D62*-1)&lt;&gt;"",INDEX(Historicals!$T18:$BO18,,V$6+$D62*-1),$F62*V$46*Historicals!$S18*INDEX($T$44:$BO$44,,V$6-$D62+1)),0)</f>
        <v>0</v>
      </c>
      <c r="W62" s="46">
        <f t="array" ref="W62">IFERROR(IF(INDEX(Historicals!$T18:$BO18,,W$6+$D62*-1)&lt;&gt;"",INDEX(Historicals!$T18:$BO18,,W$6+$D62*-1),$F62*W$46*Historicals!$S18*INDEX($T$44:$BO$44,,W$6-$D62+1)),0)</f>
        <v>0</v>
      </c>
      <c r="X62" s="46">
        <f t="array" ref="X62">IFERROR(IF(INDEX(Historicals!$T18:$BO18,,X$6+$D62*-1)&lt;&gt;"",INDEX(Historicals!$T18:$BO18,,X$6+$D62*-1),$F62*X$46*Historicals!$S18*INDEX($T$44:$BO$44,,X$6-$D62+1)),0)</f>
        <v>0</v>
      </c>
      <c r="Y62" s="46">
        <f t="array" ref="Y62">IFERROR(IF(INDEX(Historicals!$T18:$BO18,,Y$6+$D62*-1)&lt;&gt;"",INDEX(Historicals!$T18:$BO18,,Y$6+$D62*-1),$F62*Y$46*Historicals!$S18*INDEX($T$44:$BO$44,,Y$6-$D62+1)),0)</f>
        <v>0</v>
      </c>
      <c r="Z62" s="46">
        <f t="array" ref="Z62">IFERROR(IF(INDEX(Historicals!$T18:$BO18,,Z$6+$D62*-1)&lt;&gt;"",INDEX(Historicals!$T18:$BO18,,Z$6+$D62*-1),$F62*Z$46*Historicals!$S18*INDEX($T$44:$BO$44,,Z$6-$D62+1)),0)</f>
        <v>0</v>
      </c>
      <c r="AA62" s="46">
        <f t="array" ref="AA62">IFERROR(IF(INDEX(Historicals!$T18:$BO18,,AA$6+$D62*-1)&lt;&gt;"",INDEX(Historicals!$T18:$BO18,,AA$6+$D62*-1),$F62*AA$46*Historicals!$S18*INDEX($T$44:$BO$44,,AA$6-$D62+1)),0)</f>
        <v>0</v>
      </c>
      <c r="AB62" s="46">
        <f t="array" ref="AB62">IFERROR(IF(INDEX(Historicals!$T18:$BO18,,AB$6+$D62*-1)&lt;&gt;"",INDEX(Historicals!$T18:$BO18,,AB$6+$D62*-1),$F62*AB$46*Historicals!$S18*INDEX($T$44:$BO$44,,AB$6-$D62+1)),0)</f>
        <v>0</v>
      </c>
      <c r="AC62" s="46">
        <f t="array" ref="AC62">IFERROR(IF(INDEX(Historicals!$T18:$BO18,,AC$6+$D62*-1)&lt;&gt;"",INDEX(Historicals!$T18:$BO18,,AC$6+$D62*-1),$F62*AC$46*Historicals!$S18*INDEX($T$44:$BO$44,,AC$6-$D62+1)),0)</f>
        <v>0</v>
      </c>
      <c r="AD62" s="46">
        <f t="array" ref="AD62">IFERROR(IF(INDEX(Historicals!$T18:$BO18,,AD$6+$D62*-1)&lt;&gt;"",INDEX(Historicals!$T18:$BO18,,AD$6+$D62*-1),$F62*AD$46*Historicals!$S18*INDEX($T$44:$BO$44,,AD$6-$D62+1)),0)</f>
        <v>0</v>
      </c>
      <c r="AE62" s="46">
        <f t="array" ref="AE62">IFERROR(IF(INDEX(Historicals!$T18:$BO18,,AE$6+$D62*-1)&lt;&gt;"",INDEX(Historicals!$T18:$BO18,,AE$6+$D62*-1),$F62*AE$46*Historicals!$S18*INDEX($T$44:$BO$44,,AE$6-$D62+1)),0)</f>
        <v>0</v>
      </c>
      <c r="AF62" s="46">
        <f t="array" ref="AF62">IFERROR(IF(INDEX(Historicals!$T18:$BO18,,AF$6+$D62*-1)&lt;&gt;"",INDEX(Historicals!$T18:$BO18,,AF$6+$D62*-1),$F62*AF$46*Historicals!$S18*INDEX($T$44:$BO$44,,AF$6-$D62+1)),0)</f>
        <v>0</v>
      </c>
      <c r="AG62" s="46">
        <f t="array" ref="AG62">IFERROR(IF(INDEX(Historicals!$T18:$BO18,,AG$6+$D62*-1)&lt;&gt;"",INDEX(Historicals!$T18:$BO18,,AG$6+$D62*-1),$F62*AG$46*Historicals!$S18*INDEX($T$44:$BO$44,,AG$6-$D62+1)),0)</f>
        <v>0</v>
      </c>
      <c r="AH62" s="46">
        <f t="array" ref="AH62">IFERROR(IF(INDEX(Historicals!$T18:$BO18,,AH$6+$D62*-1)&lt;&gt;"",INDEX(Historicals!$T18:$BO18,,AH$6+$D62*-1),$F62*AH$46*Historicals!$S18*INDEX($T$44:$BO$44,,AH$6-$D62+1)),0)</f>
        <v>0</v>
      </c>
      <c r="AI62" s="46">
        <f t="array" ref="AI62">IFERROR(IF(INDEX(Historicals!$T18:$BO18,,AI$6+$D62*-1)&lt;&gt;"",INDEX(Historicals!$T18:$BO18,,AI$6+$D62*-1),$F62*AI$46*Historicals!$S18*INDEX($T$44:$BO$44,,AI$6-$D62+1)),0)</f>
        <v>0</v>
      </c>
      <c r="AJ62" s="46">
        <f t="array" ref="AJ62">IFERROR(IF(INDEX(Historicals!$T18:$BO18,,AJ$6+$D62*-1)&lt;&gt;"",INDEX(Historicals!$T18:$BO18,,AJ$6+$D62*-1),$F62*AJ$46*Historicals!$S18*INDEX($T$44:$BO$44,,AJ$6-$D62+1)),0)</f>
        <v>0</v>
      </c>
      <c r="AK62" s="46">
        <f t="array" ref="AK62">IFERROR(IF(INDEX(Historicals!$T18:$BO18,,AK$6+$D62*-1)&lt;&gt;"",INDEX(Historicals!$T18:$BO18,,AK$6+$D62*-1),$F62*AK$46*Historicals!$S18*INDEX($T$44:$BO$44,,AK$6-$D62+1)),0)</f>
        <v>0</v>
      </c>
      <c r="AL62" s="46">
        <f t="array" ref="AL62">IFERROR(IF(INDEX(Historicals!$T18:$BO18,,AL$6+$D62*-1)&lt;&gt;"",INDEX(Historicals!$T18:$BO18,,AL$6+$D62*-1),$F62*AL$46*Historicals!$S18*INDEX($T$44:$BO$44,,AL$6-$D62+1)),0)</f>
        <v>0</v>
      </c>
      <c r="AM62" s="46">
        <f t="array" ref="AM62">IFERROR(IF(INDEX(Historicals!$T18:$BO18,,AM$6+$D62*-1)&lt;&gt;"",INDEX(Historicals!$T18:$BO18,,AM$6+$D62*-1),$F62*AM$46*Historicals!$S18*INDEX($T$44:$BO$44,,AM$6-$D62+1)),0)</f>
        <v>0</v>
      </c>
      <c r="AN62" s="46">
        <f t="array" ref="AN62">IFERROR(IF(INDEX(Historicals!$T18:$BO18,,AN$6+$D62*-1)&lt;&gt;"",INDEX(Historicals!$T18:$BO18,,AN$6+$D62*-1),$F62*AN$46*Historicals!$S18*INDEX($T$44:$BO$44,,AN$6-$D62+1)),0)</f>
        <v>0</v>
      </c>
      <c r="AO62" s="46">
        <f t="array" ref="AO62">IFERROR(IF(INDEX(Historicals!$T18:$BO18,,AO$6+$D62*-1)&lt;&gt;"",INDEX(Historicals!$T18:$BO18,,AO$6+$D62*-1),$F62*AO$46*Historicals!$S18*INDEX($T$44:$BO$44,,AO$6-$D62+1)),0)</f>
        <v>0</v>
      </c>
      <c r="AP62" s="46">
        <f t="array" ref="AP62">IFERROR(IF(INDEX(Historicals!$T18:$BO18,,AP$6+$D62*-1)&lt;&gt;"",INDEX(Historicals!$T18:$BO18,,AP$6+$D62*-1),$F62*AP$46*Historicals!$S18*INDEX($T$44:$BO$44,,AP$6-$D62+1)),0)</f>
        <v>0</v>
      </c>
      <c r="AQ62" s="46">
        <f t="array" ref="AQ62">IFERROR(IF(INDEX(Historicals!$T18:$BO18,,AQ$6+$D62*-1)&lt;&gt;"",INDEX(Historicals!$T18:$BO18,,AQ$6+$D62*-1),$F62*AQ$46*Historicals!$S18*INDEX($T$44:$BO$44,,AQ$6-$D62+1)),0)</f>
        <v>0</v>
      </c>
      <c r="AR62" s="46">
        <f t="array" ref="AR62">IFERROR(IF(INDEX(Historicals!$T18:$BO18,,AR$6+$D62*-1)&lt;&gt;"",INDEX(Historicals!$T18:$BO18,,AR$6+$D62*-1),$F62*AR$46*Historicals!$S18*INDEX($T$44:$BO$44,,AR$6-$D62+1)),0)</f>
        <v>0</v>
      </c>
      <c r="AS62" s="46">
        <f t="array" ref="AS62">IFERROR(IF(INDEX(Historicals!$T18:$BO18,,AS$6+$D62*-1)&lt;&gt;"",INDEX(Historicals!$T18:$BO18,,AS$6+$D62*-1),$F62*AS$46*Historicals!$S18*INDEX($T$44:$BO$44,,AS$6-$D62+1)),0)</f>
        <v>0</v>
      </c>
      <c r="AT62" s="46">
        <f t="array" ref="AT62">IFERROR(IF(INDEX(Historicals!$T18:$BO18,,AT$6+$D62*-1)&lt;&gt;"",INDEX(Historicals!$T18:$BO18,,AT$6+$D62*-1),$F62*AT$46*Historicals!$S18*INDEX($T$44:$BO$44,,AT$6-$D62+1)),0)</f>
        <v>0</v>
      </c>
      <c r="AU62" s="46">
        <f t="array" ref="AU62">IFERROR(IF(INDEX(Historicals!$T18:$BO18,,AU$6+$D62*-1)&lt;&gt;"",INDEX(Historicals!$T18:$BO18,,AU$6+$D62*-1),$F62*AU$46*Historicals!$S18*INDEX($T$44:$BO$44,,AU$6-$D62+1)),0)</f>
        <v>0</v>
      </c>
      <c r="AV62" s="46">
        <f t="array" ref="AV62">IFERROR(IF(INDEX(Historicals!$T18:$BO18,,AV$6+$D62*-1)&lt;&gt;"",INDEX(Historicals!$T18:$BO18,,AV$6+$D62*-1),$F62*AV$46*Historicals!$S18*INDEX($T$44:$BO$44,,AV$6-$D62+1)),0)</f>
        <v>0</v>
      </c>
      <c r="AW62" s="46">
        <f t="array" ref="AW62">IFERROR(IF(INDEX(Historicals!$T18:$BO18,,AW$6+$D62*-1)&lt;&gt;"",INDEX(Historicals!$T18:$BO18,,AW$6+$D62*-1),$F62*AW$46*Historicals!$S18*INDEX($T$44:$BO$44,,AW$6-$D62+1)),0)</f>
        <v>0</v>
      </c>
      <c r="AX62" s="46">
        <f t="array" ref="AX62">IFERROR(IF(INDEX(Historicals!$T18:$BO18,,AX$6+$D62*-1)&lt;&gt;"",INDEX(Historicals!$T18:$BO18,,AX$6+$D62*-1),$F62*AX$46*Historicals!$S18*INDEX($T$44:$BO$44,,AX$6-$D62+1)),0)</f>
        <v>0</v>
      </c>
      <c r="AY62" s="46">
        <f t="array" ref="AY62">IFERROR(IF(INDEX(Historicals!$T18:$BO18,,AY$6+$D62*-1)&lt;&gt;"",INDEX(Historicals!$T18:$BO18,,AY$6+$D62*-1),$F62*AY$46*Historicals!$S18*INDEX($T$44:$BO$44,,AY$6-$D62+1)),0)</f>
        <v>0</v>
      </c>
      <c r="AZ62" s="46">
        <f t="array" ref="AZ62">IFERROR(IF(INDEX(Historicals!$T18:$BO18,,AZ$6+$D62*-1)&lt;&gt;"",INDEX(Historicals!$T18:$BO18,,AZ$6+$D62*-1),$F62*AZ$46*Historicals!$S18*INDEX($T$44:$BO$44,,AZ$6-$D62+1)),0)</f>
        <v>0</v>
      </c>
      <c r="BA62" s="46">
        <f t="array" ref="BA62">IFERROR(IF(INDEX(Historicals!$T18:$BO18,,BA$6+$D62*-1)&lt;&gt;"",INDEX(Historicals!$T18:$BO18,,BA$6+$D62*-1),$F62*BA$46*Historicals!$S18*INDEX($T$44:$BO$44,,BA$6-$D62+1)),0)</f>
        <v>0</v>
      </c>
      <c r="BB62" s="46">
        <f t="array" ref="BB62">IFERROR(IF(INDEX(Historicals!$T18:$BO18,,BB$6+$D62*-1)&lt;&gt;"",INDEX(Historicals!$T18:$BO18,,BB$6+$D62*-1),$F62*BB$46*Historicals!$S18*INDEX($T$44:$BO$44,,BB$6-$D62+1)),0)</f>
        <v>0</v>
      </c>
      <c r="BC62" s="46">
        <f t="array" ref="BC62">IFERROR(IF(INDEX(Historicals!$T18:$BO18,,BC$6+$D62*-1)&lt;&gt;"",INDEX(Historicals!$T18:$BO18,,BC$6+$D62*-1),$F62*BC$46*Historicals!$S18*INDEX($T$44:$BO$44,,BC$6-$D62+1)),0)</f>
        <v>0</v>
      </c>
      <c r="BD62" s="46">
        <f t="array" ref="BD62">IFERROR(IF(INDEX(Historicals!$T18:$BO18,,BD$6+$D62*-1)&lt;&gt;"",INDEX(Historicals!$T18:$BO18,,BD$6+$D62*-1),$F62*BD$46*Historicals!$S18*INDEX($T$44:$BO$44,,BD$6-$D62+1)),0)</f>
        <v>0</v>
      </c>
      <c r="BE62" s="46">
        <f t="array" ref="BE62">IFERROR(IF(INDEX(Historicals!$T18:$BO18,,BE$6+$D62*-1)&lt;&gt;"",INDEX(Historicals!$T18:$BO18,,BE$6+$D62*-1),$F62*BE$46*Historicals!$S18*INDEX($T$44:$BO$44,,BE$6-$D62+1)),0)</f>
        <v>0</v>
      </c>
      <c r="BF62" s="46">
        <f t="array" ref="BF62">IFERROR(IF(INDEX(Historicals!$T18:$BO18,,BF$6+$D62*-1)&lt;&gt;"",INDEX(Historicals!$T18:$BO18,,BF$6+$D62*-1),$F62*BF$46*Historicals!$S18*INDEX($T$44:$BO$44,,BF$6-$D62+1)),0)</f>
        <v>0</v>
      </c>
      <c r="BG62" s="46">
        <f t="array" ref="BG62">IFERROR(IF(INDEX(Historicals!$T18:$BO18,,BG$6+$D62*-1)&lt;&gt;"",INDEX(Historicals!$T18:$BO18,,BG$6+$D62*-1),$F62*BG$46*Historicals!$S18*INDEX($T$44:$BO$44,,BG$6-$D62+1)),0)</f>
        <v>0</v>
      </c>
      <c r="BH62" s="46">
        <f t="array" ref="BH62">IFERROR(IF(INDEX(Historicals!$T18:$BO18,,BH$6+$D62*-1)&lt;&gt;"",INDEX(Historicals!$T18:$BO18,,BH$6+$D62*-1),$F62*BH$46*Historicals!$S18*INDEX($T$44:$BO$44,,BH$6-$D62+1)),0)</f>
        <v>0</v>
      </c>
      <c r="BI62" s="46">
        <f t="array" ref="BI62">IFERROR(IF(INDEX(Historicals!$T18:$BO18,,BI$6+$D62*-1)&lt;&gt;"",INDEX(Historicals!$T18:$BO18,,BI$6+$D62*-1),$F62*BI$46*Historicals!$S18*INDEX($T$44:$BO$44,,BI$6-$D62+1)),0)</f>
        <v>0</v>
      </c>
      <c r="BJ62" s="46">
        <f t="array" ref="BJ62">IFERROR(IF(INDEX(Historicals!$T18:$BO18,,BJ$6+$D62*-1)&lt;&gt;"",INDEX(Historicals!$T18:$BO18,,BJ$6+$D62*-1),$F62*BJ$46*Historicals!$S18*INDEX($T$44:$BO$44,,BJ$6-$D62+1)),0)</f>
        <v>0</v>
      </c>
      <c r="BK62" s="46">
        <f t="array" ref="BK62">IFERROR(IF(INDEX(Historicals!$T18:$BO18,,BK$6+$D62*-1)&lt;&gt;"",INDEX(Historicals!$T18:$BO18,,BK$6+$D62*-1),$F62*BK$46*Historicals!$S18*INDEX($T$44:$BO$44,,BK$6-$D62+1)),0)</f>
        <v>0</v>
      </c>
      <c r="BL62" s="46">
        <f t="array" ref="BL62">IFERROR(IF(INDEX(Historicals!$T18:$BO18,,BL$6+$D62*-1)&lt;&gt;"",INDEX(Historicals!$T18:$BO18,,BL$6+$D62*-1),$F62*BL$46*Historicals!$S18*INDEX($T$44:$BO$44,,BL$6-$D62+1)),0)</f>
        <v>0</v>
      </c>
      <c r="BM62" s="46">
        <f t="array" ref="BM62">IFERROR(IF(INDEX(Historicals!$T18:$BO18,,BM$6+$D62*-1)&lt;&gt;"",INDEX(Historicals!$T18:$BO18,,BM$6+$D62*-1),$F62*BM$46*Historicals!$S18*INDEX($T$44:$BO$44,,BM$6-$D62+1)),0)</f>
        <v>0</v>
      </c>
      <c r="BN62" s="46">
        <f t="array" ref="BN62">IFERROR(IF(INDEX(Historicals!$T18:$BO18,,BN$6+$D62*-1)&lt;&gt;"",INDEX(Historicals!$T18:$BO18,,BN$6+$D62*-1),$F62*BN$46*Historicals!$S18*INDEX($T$44:$BO$44,,BN$6-$D62+1)),0)</f>
        <v>0</v>
      </c>
      <c r="BO62" s="46">
        <f t="array" ref="BO62">IFERROR(IF(INDEX(Historicals!$T18:$BO18,,BO$6+$D62*-1)&lt;&gt;"",INDEX(Historicals!$T18:$BO18,,BO$6+$D62*-1),$F62*BO$46*Historicals!$S18*INDEX($T$44:$BO$44,,BO$6-$D62+1)),0)</f>
        <v>0</v>
      </c>
    </row>
    <row r="63" spans="1:67" ht="16.5" hidden="1" customHeight="1" outlineLevel="1">
      <c r="A63" s="1"/>
      <c r="B63" s="55">
        <f t="shared" si="19"/>
        <v>44436</v>
      </c>
      <c r="C63" s="17" t="s">
        <v>104</v>
      </c>
      <c r="D63" s="46">
        <f t="shared" si="20"/>
        <v>-40</v>
      </c>
      <c r="E63" s="16"/>
      <c r="F63" s="51">
        <v>1</v>
      </c>
      <c r="G63" s="16" t="s">
        <v>159</v>
      </c>
      <c r="H63" s="16" t="s">
        <v>155</v>
      </c>
      <c r="I63" s="46">
        <f>IF(H63=Forecast!$H$195,T63,IF(H63=Forecast!$H$196,BO63,IF(H63=Forecast!$H$197,SUM(T63:BO63),IF(H63=Forecast!$H$198,AVERAGE(T63:BO63),0))))</f>
        <v>0</v>
      </c>
      <c r="J63" s="16"/>
      <c r="K63" s="16"/>
      <c r="L63" s="16"/>
      <c r="M63" s="16"/>
      <c r="N63" s="16"/>
      <c r="O63" s="16"/>
      <c r="P63" s="16"/>
      <c r="Q63" s="16"/>
      <c r="R63" s="16"/>
      <c r="S63" s="16"/>
      <c r="T63" s="46">
        <f t="array" ref="T63">IFERROR(IF(INDEX(Historicals!$T19:$BO19,,T$6+$D63*-1)&lt;&gt;"",INDEX(Historicals!$T19:$BO19,,T$6+$D63*-1),$F63*T$46*Historicals!$S19*INDEX($T$44:$BO$44,,T$6-$D63+1)),0)</f>
        <v>0</v>
      </c>
      <c r="U63" s="46">
        <f t="array" ref="U63">IFERROR(IF(INDEX(Historicals!$T19:$BO19,,U$6+$D63*-1)&lt;&gt;"",INDEX(Historicals!$T19:$BO19,,U$6+$D63*-1),$F63*U$46*Historicals!$S19*INDEX($T$44:$BO$44,,U$6-$D63+1)),0)</f>
        <v>0</v>
      </c>
      <c r="V63" s="46">
        <f t="array" ref="V63">IFERROR(IF(INDEX(Historicals!$T19:$BO19,,V$6+$D63*-1)&lt;&gt;"",INDEX(Historicals!$T19:$BO19,,V$6+$D63*-1),$F63*V$46*Historicals!$S19*INDEX($T$44:$BO$44,,V$6-$D63+1)),0)</f>
        <v>0</v>
      </c>
      <c r="W63" s="46">
        <f t="array" ref="W63">IFERROR(IF(INDEX(Historicals!$T19:$BO19,,W$6+$D63*-1)&lt;&gt;"",INDEX(Historicals!$T19:$BO19,,W$6+$D63*-1),$F63*W$46*Historicals!$S19*INDEX($T$44:$BO$44,,W$6-$D63+1)),0)</f>
        <v>0</v>
      </c>
      <c r="X63" s="46">
        <f t="array" ref="X63">IFERROR(IF(INDEX(Historicals!$T19:$BO19,,X$6+$D63*-1)&lt;&gt;"",INDEX(Historicals!$T19:$BO19,,X$6+$D63*-1),$F63*X$46*Historicals!$S19*INDEX($T$44:$BO$44,,X$6-$D63+1)),0)</f>
        <v>0</v>
      </c>
      <c r="Y63" s="46">
        <f t="array" ref="Y63">IFERROR(IF(INDEX(Historicals!$T19:$BO19,,Y$6+$D63*-1)&lt;&gt;"",INDEX(Historicals!$T19:$BO19,,Y$6+$D63*-1),$F63*Y$46*Historicals!$S19*INDEX($T$44:$BO$44,,Y$6-$D63+1)),0)</f>
        <v>0</v>
      </c>
      <c r="Z63" s="46">
        <f t="array" ref="Z63">IFERROR(IF(INDEX(Historicals!$T19:$BO19,,Z$6+$D63*-1)&lt;&gt;"",INDEX(Historicals!$T19:$BO19,,Z$6+$D63*-1),$F63*Z$46*Historicals!$S19*INDEX($T$44:$BO$44,,Z$6-$D63+1)),0)</f>
        <v>0</v>
      </c>
      <c r="AA63" s="46">
        <f t="array" ref="AA63">IFERROR(IF(INDEX(Historicals!$T19:$BO19,,AA$6+$D63*-1)&lt;&gt;"",INDEX(Historicals!$T19:$BO19,,AA$6+$D63*-1),$F63*AA$46*Historicals!$S19*INDEX($T$44:$BO$44,,AA$6-$D63+1)),0)</f>
        <v>0</v>
      </c>
      <c r="AB63" s="46">
        <f t="array" ref="AB63">IFERROR(IF(INDEX(Historicals!$T19:$BO19,,AB$6+$D63*-1)&lt;&gt;"",INDEX(Historicals!$T19:$BO19,,AB$6+$D63*-1),$F63*AB$46*Historicals!$S19*INDEX($T$44:$BO$44,,AB$6-$D63+1)),0)</f>
        <v>0</v>
      </c>
      <c r="AC63" s="46">
        <f t="array" ref="AC63">IFERROR(IF(INDEX(Historicals!$T19:$BO19,,AC$6+$D63*-1)&lt;&gt;"",INDEX(Historicals!$T19:$BO19,,AC$6+$D63*-1),$F63*AC$46*Historicals!$S19*INDEX($T$44:$BO$44,,AC$6-$D63+1)),0)</f>
        <v>0</v>
      </c>
      <c r="AD63" s="46">
        <f t="array" ref="AD63">IFERROR(IF(INDEX(Historicals!$T19:$BO19,,AD$6+$D63*-1)&lt;&gt;"",INDEX(Historicals!$T19:$BO19,,AD$6+$D63*-1),$F63*AD$46*Historicals!$S19*INDEX($T$44:$BO$44,,AD$6-$D63+1)),0)</f>
        <v>0</v>
      </c>
      <c r="AE63" s="46">
        <f t="array" ref="AE63">IFERROR(IF(INDEX(Historicals!$T19:$BO19,,AE$6+$D63*-1)&lt;&gt;"",INDEX(Historicals!$T19:$BO19,,AE$6+$D63*-1),$F63*AE$46*Historicals!$S19*INDEX($T$44:$BO$44,,AE$6-$D63+1)),0)</f>
        <v>0</v>
      </c>
      <c r="AF63" s="46">
        <f t="array" ref="AF63">IFERROR(IF(INDEX(Historicals!$T19:$BO19,,AF$6+$D63*-1)&lt;&gt;"",INDEX(Historicals!$T19:$BO19,,AF$6+$D63*-1),$F63*AF$46*Historicals!$S19*INDEX($T$44:$BO$44,,AF$6-$D63+1)),0)</f>
        <v>0</v>
      </c>
      <c r="AG63" s="46">
        <f t="array" ref="AG63">IFERROR(IF(INDEX(Historicals!$T19:$BO19,,AG$6+$D63*-1)&lt;&gt;"",INDEX(Historicals!$T19:$BO19,,AG$6+$D63*-1),$F63*AG$46*Historicals!$S19*INDEX($T$44:$BO$44,,AG$6-$D63+1)),0)</f>
        <v>0</v>
      </c>
      <c r="AH63" s="46">
        <f t="array" ref="AH63">IFERROR(IF(INDEX(Historicals!$T19:$BO19,,AH$6+$D63*-1)&lt;&gt;"",INDEX(Historicals!$T19:$BO19,,AH$6+$D63*-1),$F63*AH$46*Historicals!$S19*INDEX($T$44:$BO$44,,AH$6-$D63+1)),0)</f>
        <v>0</v>
      </c>
      <c r="AI63" s="46">
        <f t="array" ref="AI63">IFERROR(IF(INDEX(Historicals!$T19:$BO19,,AI$6+$D63*-1)&lt;&gt;"",INDEX(Historicals!$T19:$BO19,,AI$6+$D63*-1),$F63*AI$46*Historicals!$S19*INDEX($T$44:$BO$44,,AI$6-$D63+1)),0)</f>
        <v>0</v>
      </c>
      <c r="AJ63" s="46">
        <f t="array" ref="AJ63">IFERROR(IF(INDEX(Historicals!$T19:$BO19,,AJ$6+$D63*-1)&lt;&gt;"",INDEX(Historicals!$T19:$BO19,,AJ$6+$D63*-1),$F63*AJ$46*Historicals!$S19*INDEX($T$44:$BO$44,,AJ$6-$D63+1)),0)</f>
        <v>0</v>
      </c>
      <c r="AK63" s="46">
        <f t="array" ref="AK63">IFERROR(IF(INDEX(Historicals!$T19:$BO19,,AK$6+$D63*-1)&lt;&gt;"",INDEX(Historicals!$T19:$BO19,,AK$6+$D63*-1),$F63*AK$46*Historicals!$S19*INDEX($T$44:$BO$44,,AK$6-$D63+1)),0)</f>
        <v>0</v>
      </c>
      <c r="AL63" s="46">
        <f t="array" ref="AL63">IFERROR(IF(INDEX(Historicals!$T19:$BO19,,AL$6+$D63*-1)&lt;&gt;"",INDEX(Historicals!$T19:$BO19,,AL$6+$D63*-1),$F63*AL$46*Historicals!$S19*INDEX($T$44:$BO$44,,AL$6-$D63+1)),0)</f>
        <v>0</v>
      </c>
      <c r="AM63" s="46">
        <f t="array" ref="AM63">IFERROR(IF(INDEX(Historicals!$T19:$BO19,,AM$6+$D63*-1)&lt;&gt;"",INDEX(Historicals!$T19:$BO19,,AM$6+$D63*-1),$F63*AM$46*Historicals!$S19*INDEX($T$44:$BO$44,,AM$6-$D63+1)),0)</f>
        <v>0</v>
      </c>
      <c r="AN63" s="46">
        <f t="array" ref="AN63">IFERROR(IF(INDEX(Historicals!$T19:$BO19,,AN$6+$D63*-1)&lt;&gt;"",INDEX(Historicals!$T19:$BO19,,AN$6+$D63*-1),$F63*AN$46*Historicals!$S19*INDEX($T$44:$BO$44,,AN$6-$D63+1)),0)</f>
        <v>0</v>
      </c>
      <c r="AO63" s="46">
        <f t="array" ref="AO63">IFERROR(IF(INDEX(Historicals!$T19:$BO19,,AO$6+$D63*-1)&lt;&gt;"",INDEX(Historicals!$T19:$BO19,,AO$6+$D63*-1),$F63*AO$46*Historicals!$S19*INDEX($T$44:$BO$44,,AO$6-$D63+1)),0)</f>
        <v>0</v>
      </c>
      <c r="AP63" s="46">
        <f t="array" ref="AP63">IFERROR(IF(INDEX(Historicals!$T19:$BO19,,AP$6+$D63*-1)&lt;&gt;"",INDEX(Historicals!$T19:$BO19,,AP$6+$D63*-1),$F63*AP$46*Historicals!$S19*INDEX($T$44:$BO$44,,AP$6-$D63+1)),0)</f>
        <v>0</v>
      </c>
      <c r="AQ63" s="46">
        <f t="array" ref="AQ63">IFERROR(IF(INDEX(Historicals!$T19:$BO19,,AQ$6+$D63*-1)&lt;&gt;"",INDEX(Historicals!$T19:$BO19,,AQ$6+$D63*-1),$F63*AQ$46*Historicals!$S19*INDEX($T$44:$BO$44,,AQ$6-$D63+1)),0)</f>
        <v>0</v>
      </c>
      <c r="AR63" s="46">
        <f t="array" ref="AR63">IFERROR(IF(INDEX(Historicals!$T19:$BO19,,AR$6+$D63*-1)&lt;&gt;"",INDEX(Historicals!$T19:$BO19,,AR$6+$D63*-1),$F63*AR$46*Historicals!$S19*INDEX($T$44:$BO$44,,AR$6-$D63+1)),0)</f>
        <v>0</v>
      </c>
      <c r="AS63" s="46">
        <f t="array" ref="AS63">IFERROR(IF(INDEX(Historicals!$T19:$BO19,,AS$6+$D63*-1)&lt;&gt;"",INDEX(Historicals!$T19:$BO19,,AS$6+$D63*-1),$F63*AS$46*Historicals!$S19*INDEX($T$44:$BO$44,,AS$6-$D63+1)),0)</f>
        <v>0</v>
      </c>
      <c r="AT63" s="46">
        <f t="array" ref="AT63">IFERROR(IF(INDEX(Historicals!$T19:$BO19,,AT$6+$D63*-1)&lt;&gt;"",INDEX(Historicals!$T19:$BO19,,AT$6+$D63*-1),$F63*AT$46*Historicals!$S19*INDEX($T$44:$BO$44,,AT$6-$D63+1)),0)</f>
        <v>0</v>
      </c>
      <c r="AU63" s="46">
        <f t="array" ref="AU63">IFERROR(IF(INDEX(Historicals!$T19:$BO19,,AU$6+$D63*-1)&lt;&gt;"",INDEX(Historicals!$T19:$BO19,,AU$6+$D63*-1),$F63*AU$46*Historicals!$S19*INDEX($T$44:$BO$44,,AU$6-$D63+1)),0)</f>
        <v>0</v>
      </c>
      <c r="AV63" s="46">
        <f t="array" ref="AV63">IFERROR(IF(INDEX(Historicals!$T19:$BO19,,AV$6+$D63*-1)&lt;&gt;"",INDEX(Historicals!$T19:$BO19,,AV$6+$D63*-1),$F63*AV$46*Historicals!$S19*INDEX($T$44:$BO$44,,AV$6-$D63+1)),0)</f>
        <v>0</v>
      </c>
      <c r="AW63" s="46">
        <f t="array" ref="AW63">IFERROR(IF(INDEX(Historicals!$T19:$BO19,,AW$6+$D63*-1)&lt;&gt;"",INDEX(Historicals!$T19:$BO19,,AW$6+$D63*-1),$F63*AW$46*Historicals!$S19*INDEX($T$44:$BO$44,,AW$6-$D63+1)),0)</f>
        <v>0</v>
      </c>
      <c r="AX63" s="46">
        <f t="array" ref="AX63">IFERROR(IF(INDEX(Historicals!$T19:$BO19,,AX$6+$D63*-1)&lt;&gt;"",INDEX(Historicals!$T19:$BO19,,AX$6+$D63*-1),$F63*AX$46*Historicals!$S19*INDEX($T$44:$BO$44,,AX$6-$D63+1)),0)</f>
        <v>0</v>
      </c>
      <c r="AY63" s="46">
        <f t="array" ref="AY63">IFERROR(IF(INDEX(Historicals!$T19:$BO19,,AY$6+$D63*-1)&lt;&gt;"",INDEX(Historicals!$T19:$BO19,,AY$6+$D63*-1),$F63*AY$46*Historicals!$S19*INDEX($T$44:$BO$44,,AY$6-$D63+1)),0)</f>
        <v>0</v>
      </c>
      <c r="AZ63" s="46">
        <f t="array" ref="AZ63">IFERROR(IF(INDEX(Historicals!$T19:$BO19,,AZ$6+$D63*-1)&lt;&gt;"",INDEX(Historicals!$T19:$BO19,,AZ$6+$D63*-1),$F63*AZ$46*Historicals!$S19*INDEX($T$44:$BO$44,,AZ$6-$D63+1)),0)</f>
        <v>0</v>
      </c>
      <c r="BA63" s="46">
        <f t="array" ref="BA63">IFERROR(IF(INDEX(Historicals!$T19:$BO19,,BA$6+$D63*-1)&lt;&gt;"",INDEX(Historicals!$T19:$BO19,,BA$6+$D63*-1),$F63*BA$46*Historicals!$S19*INDEX($T$44:$BO$44,,BA$6-$D63+1)),0)</f>
        <v>0</v>
      </c>
      <c r="BB63" s="46">
        <f t="array" ref="BB63">IFERROR(IF(INDEX(Historicals!$T19:$BO19,,BB$6+$D63*-1)&lt;&gt;"",INDEX(Historicals!$T19:$BO19,,BB$6+$D63*-1),$F63*BB$46*Historicals!$S19*INDEX($T$44:$BO$44,,BB$6-$D63+1)),0)</f>
        <v>0</v>
      </c>
      <c r="BC63" s="46">
        <f t="array" ref="BC63">IFERROR(IF(INDEX(Historicals!$T19:$BO19,,BC$6+$D63*-1)&lt;&gt;"",INDEX(Historicals!$T19:$BO19,,BC$6+$D63*-1),$F63*BC$46*Historicals!$S19*INDEX($T$44:$BO$44,,BC$6-$D63+1)),0)</f>
        <v>0</v>
      </c>
      <c r="BD63" s="46">
        <f t="array" ref="BD63">IFERROR(IF(INDEX(Historicals!$T19:$BO19,,BD$6+$D63*-1)&lt;&gt;"",INDEX(Historicals!$T19:$BO19,,BD$6+$D63*-1),$F63*BD$46*Historicals!$S19*INDEX($T$44:$BO$44,,BD$6-$D63+1)),0)</f>
        <v>0</v>
      </c>
      <c r="BE63" s="46">
        <f t="array" ref="BE63">IFERROR(IF(INDEX(Historicals!$T19:$BO19,,BE$6+$D63*-1)&lt;&gt;"",INDEX(Historicals!$T19:$BO19,,BE$6+$D63*-1),$F63*BE$46*Historicals!$S19*INDEX($T$44:$BO$44,,BE$6-$D63+1)),0)</f>
        <v>0</v>
      </c>
      <c r="BF63" s="46">
        <f t="array" ref="BF63">IFERROR(IF(INDEX(Historicals!$T19:$BO19,,BF$6+$D63*-1)&lt;&gt;"",INDEX(Historicals!$T19:$BO19,,BF$6+$D63*-1),$F63*BF$46*Historicals!$S19*INDEX($T$44:$BO$44,,BF$6-$D63+1)),0)</f>
        <v>0</v>
      </c>
      <c r="BG63" s="46">
        <f t="array" ref="BG63">IFERROR(IF(INDEX(Historicals!$T19:$BO19,,BG$6+$D63*-1)&lt;&gt;"",INDEX(Historicals!$T19:$BO19,,BG$6+$D63*-1),$F63*BG$46*Historicals!$S19*INDEX($T$44:$BO$44,,BG$6-$D63+1)),0)</f>
        <v>0</v>
      </c>
      <c r="BH63" s="46">
        <f t="array" ref="BH63">IFERROR(IF(INDEX(Historicals!$T19:$BO19,,BH$6+$D63*-1)&lt;&gt;"",INDEX(Historicals!$T19:$BO19,,BH$6+$D63*-1),$F63*BH$46*Historicals!$S19*INDEX($T$44:$BO$44,,BH$6-$D63+1)),0)</f>
        <v>0</v>
      </c>
      <c r="BI63" s="46">
        <f t="array" ref="BI63">IFERROR(IF(INDEX(Historicals!$T19:$BO19,,BI$6+$D63*-1)&lt;&gt;"",INDEX(Historicals!$T19:$BO19,,BI$6+$D63*-1),$F63*BI$46*Historicals!$S19*INDEX($T$44:$BO$44,,BI$6-$D63+1)),0)</f>
        <v>0</v>
      </c>
      <c r="BJ63" s="46">
        <f t="array" ref="BJ63">IFERROR(IF(INDEX(Historicals!$T19:$BO19,,BJ$6+$D63*-1)&lt;&gt;"",INDEX(Historicals!$T19:$BO19,,BJ$6+$D63*-1),$F63*BJ$46*Historicals!$S19*INDEX($T$44:$BO$44,,BJ$6-$D63+1)),0)</f>
        <v>0</v>
      </c>
      <c r="BK63" s="46">
        <f t="array" ref="BK63">IFERROR(IF(INDEX(Historicals!$T19:$BO19,,BK$6+$D63*-1)&lt;&gt;"",INDEX(Historicals!$T19:$BO19,,BK$6+$D63*-1),$F63*BK$46*Historicals!$S19*INDEX($T$44:$BO$44,,BK$6-$D63+1)),0)</f>
        <v>0</v>
      </c>
      <c r="BL63" s="46">
        <f t="array" ref="BL63">IFERROR(IF(INDEX(Historicals!$T19:$BO19,,BL$6+$D63*-1)&lt;&gt;"",INDEX(Historicals!$T19:$BO19,,BL$6+$D63*-1),$F63*BL$46*Historicals!$S19*INDEX($T$44:$BO$44,,BL$6-$D63+1)),0)</f>
        <v>0</v>
      </c>
      <c r="BM63" s="46">
        <f t="array" ref="BM63">IFERROR(IF(INDEX(Historicals!$T19:$BO19,,BM$6+$D63*-1)&lt;&gt;"",INDEX(Historicals!$T19:$BO19,,BM$6+$D63*-1),$F63*BM$46*Historicals!$S19*INDEX($T$44:$BO$44,,BM$6-$D63+1)),0)</f>
        <v>0</v>
      </c>
      <c r="BN63" s="46">
        <f t="array" ref="BN63">IFERROR(IF(INDEX(Historicals!$T19:$BO19,,BN$6+$D63*-1)&lt;&gt;"",INDEX(Historicals!$T19:$BO19,,BN$6+$D63*-1),$F63*BN$46*Historicals!$S19*INDEX($T$44:$BO$44,,BN$6-$D63+1)),0)</f>
        <v>0</v>
      </c>
      <c r="BO63" s="46">
        <f t="array" ref="BO63">IFERROR(IF(INDEX(Historicals!$T19:$BO19,,BO$6+$D63*-1)&lt;&gt;"",INDEX(Historicals!$T19:$BO19,,BO$6+$D63*-1),$F63*BO$46*Historicals!$S19*INDEX($T$44:$BO$44,,BO$6-$D63+1)),0)</f>
        <v>0</v>
      </c>
    </row>
    <row r="64" spans="1:67" ht="16.5" hidden="1" customHeight="1" outlineLevel="1">
      <c r="A64" s="1"/>
      <c r="B64" s="55">
        <f t="shared" si="19"/>
        <v>44467</v>
      </c>
      <c r="C64" s="17" t="s">
        <v>104</v>
      </c>
      <c r="D64" s="46">
        <f t="shared" si="20"/>
        <v>-39</v>
      </c>
      <c r="E64" s="16"/>
      <c r="F64" s="51">
        <v>1</v>
      </c>
      <c r="G64" s="16" t="s">
        <v>159</v>
      </c>
      <c r="H64" s="16" t="s">
        <v>155</v>
      </c>
      <c r="I64" s="46">
        <f>IF(H64=Forecast!$H$195,T64,IF(H64=Forecast!$H$196,BO64,IF(H64=Forecast!$H$197,SUM(T64:BO64),IF(H64=Forecast!$H$198,AVERAGE(T64:BO64),0))))</f>
        <v>0</v>
      </c>
      <c r="J64" s="16"/>
      <c r="K64" s="16"/>
      <c r="L64" s="16"/>
      <c r="M64" s="16"/>
      <c r="N64" s="16"/>
      <c r="O64" s="16"/>
      <c r="P64" s="16"/>
      <c r="Q64" s="16"/>
      <c r="R64" s="16"/>
      <c r="S64" s="16"/>
      <c r="T64" s="46">
        <f t="array" ref="T64">IFERROR(IF(INDEX(Historicals!$T20:$BO20,,T$6+$D64*-1)&lt;&gt;"",INDEX(Historicals!$T20:$BO20,,T$6+$D64*-1),$F64*T$46*Historicals!$S20*INDEX($T$44:$BO$44,,T$6-$D64+1)),0)</f>
        <v>0</v>
      </c>
      <c r="U64" s="46">
        <f t="array" ref="U64">IFERROR(IF(INDEX(Historicals!$T20:$BO20,,U$6+$D64*-1)&lt;&gt;"",INDEX(Historicals!$T20:$BO20,,U$6+$D64*-1),$F64*U$46*Historicals!$S20*INDEX($T$44:$BO$44,,U$6-$D64+1)),0)</f>
        <v>0</v>
      </c>
      <c r="V64" s="46">
        <f t="array" ref="V64">IFERROR(IF(INDEX(Historicals!$T20:$BO20,,V$6+$D64*-1)&lt;&gt;"",INDEX(Historicals!$T20:$BO20,,V$6+$D64*-1),$F64*V$46*Historicals!$S20*INDEX($T$44:$BO$44,,V$6-$D64+1)),0)</f>
        <v>0</v>
      </c>
      <c r="W64" s="46">
        <f t="array" ref="W64">IFERROR(IF(INDEX(Historicals!$T20:$BO20,,W$6+$D64*-1)&lt;&gt;"",INDEX(Historicals!$T20:$BO20,,W$6+$D64*-1),$F64*W$46*Historicals!$S20*INDEX($T$44:$BO$44,,W$6-$D64+1)),0)</f>
        <v>0</v>
      </c>
      <c r="X64" s="46">
        <f t="array" ref="X64">IFERROR(IF(INDEX(Historicals!$T20:$BO20,,X$6+$D64*-1)&lt;&gt;"",INDEX(Historicals!$T20:$BO20,,X$6+$D64*-1),$F64*X$46*Historicals!$S20*INDEX($T$44:$BO$44,,X$6-$D64+1)),0)</f>
        <v>0</v>
      </c>
      <c r="Y64" s="46">
        <f t="array" ref="Y64">IFERROR(IF(INDEX(Historicals!$T20:$BO20,,Y$6+$D64*-1)&lt;&gt;"",INDEX(Historicals!$T20:$BO20,,Y$6+$D64*-1),$F64*Y$46*Historicals!$S20*INDEX($T$44:$BO$44,,Y$6-$D64+1)),0)</f>
        <v>0</v>
      </c>
      <c r="Z64" s="46">
        <f t="array" ref="Z64">IFERROR(IF(INDEX(Historicals!$T20:$BO20,,Z$6+$D64*-1)&lt;&gt;"",INDEX(Historicals!$T20:$BO20,,Z$6+$D64*-1),$F64*Z$46*Historicals!$S20*INDEX($T$44:$BO$44,,Z$6-$D64+1)),0)</f>
        <v>0</v>
      </c>
      <c r="AA64" s="46">
        <f t="array" ref="AA64">IFERROR(IF(INDEX(Historicals!$T20:$BO20,,AA$6+$D64*-1)&lt;&gt;"",INDEX(Historicals!$T20:$BO20,,AA$6+$D64*-1),$F64*AA$46*Historicals!$S20*INDEX($T$44:$BO$44,,AA$6-$D64+1)),0)</f>
        <v>0</v>
      </c>
      <c r="AB64" s="46">
        <f t="array" ref="AB64">IFERROR(IF(INDEX(Historicals!$T20:$BO20,,AB$6+$D64*-1)&lt;&gt;"",INDEX(Historicals!$T20:$BO20,,AB$6+$D64*-1),$F64*AB$46*Historicals!$S20*INDEX($T$44:$BO$44,,AB$6-$D64+1)),0)</f>
        <v>0</v>
      </c>
      <c r="AC64" s="46">
        <f t="array" ref="AC64">IFERROR(IF(INDEX(Historicals!$T20:$BO20,,AC$6+$D64*-1)&lt;&gt;"",INDEX(Historicals!$T20:$BO20,,AC$6+$D64*-1),$F64*AC$46*Historicals!$S20*INDEX($T$44:$BO$44,,AC$6-$D64+1)),0)</f>
        <v>0</v>
      </c>
      <c r="AD64" s="46">
        <f t="array" ref="AD64">IFERROR(IF(INDEX(Historicals!$T20:$BO20,,AD$6+$D64*-1)&lt;&gt;"",INDEX(Historicals!$T20:$BO20,,AD$6+$D64*-1),$F64*AD$46*Historicals!$S20*INDEX($T$44:$BO$44,,AD$6-$D64+1)),0)</f>
        <v>0</v>
      </c>
      <c r="AE64" s="46">
        <f t="array" ref="AE64">IFERROR(IF(INDEX(Historicals!$T20:$BO20,,AE$6+$D64*-1)&lt;&gt;"",INDEX(Historicals!$T20:$BO20,,AE$6+$D64*-1),$F64*AE$46*Historicals!$S20*INDEX($T$44:$BO$44,,AE$6-$D64+1)),0)</f>
        <v>0</v>
      </c>
      <c r="AF64" s="46">
        <f t="array" ref="AF64">IFERROR(IF(INDEX(Historicals!$T20:$BO20,,AF$6+$D64*-1)&lt;&gt;"",INDEX(Historicals!$T20:$BO20,,AF$6+$D64*-1),$F64*AF$46*Historicals!$S20*INDEX($T$44:$BO$44,,AF$6-$D64+1)),0)</f>
        <v>0</v>
      </c>
      <c r="AG64" s="46">
        <f t="array" ref="AG64">IFERROR(IF(INDEX(Historicals!$T20:$BO20,,AG$6+$D64*-1)&lt;&gt;"",INDEX(Historicals!$T20:$BO20,,AG$6+$D64*-1),$F64*AG$46*Historicals!$S20*INDEX($T$44:$BO$44,,AG$6-$D64+1)),0)</f>
        <v>0</v>
      </c>
      <c r="AH64" s="46">
        <f t="array" ref="AH64">IFERROR(IF(INDEX(Historicals!$T20:$BO20,,AH$6+$D64*-1)&lt;&gt;"",INDEX(Historicals!$T20:$BO20,,AH$6+$D64*-1),$F64*AH$46*Historicals!$S20*INDEX($T$44:$BO$44,,AH$6-$D64+1)),0)</f>
        <v>0</v>
      </c>
      <c r="AI64" s="46">
        <f t="array" ref="AI64">IFERROR(IF(INDEX(Historicals!$T20:$BO20,,AI$6+$D64*-1)&lt;&gt;"",INDEX(Historicals!$T20:$BO20,,AI$6+$D64*-1),$F64*AI$46*Historicals!$S20*INDEX($T$44:$BO$44,,AI$6-$D64+1)),0)</f>
        <v>0</v>
      </c>
      <c r="AJ64" s="46">
        <f t="array" ref="AJ64">IFERROR(IF(INDEX(Historicals!$T20:$BO20,,AJ$6+$D64*-1)&lt;&gt;"",INDEX(Historicals!$T20:$BO20,,AJ$6+$D64*-1),$F64*AJ$46*Historicals!$S20*INDEX($T$44:$BO$44,,AJ$6-$D64+1)),0)</f>
        <v>0</v>
      </c>
      <c r="AK64" s="46">
        <f t="array" ref="AK64">IFERROR(IF(INDEX(Historicals!$T20:$BO20,,AK$6+$D64*-1)&lt;&gt;"",INDEX(Historicals!$T20:$BO20,,AK$6+$D64*-1),$F64*AK$46*Historicals!$S20*INDEX($T$44:$BO$44,,AK$6-$D64+1)),0)</f>
        <v>0</v>
      </c>
      <c r="AL64" s="46">
        <f t="array" ref="AL64">IFERROR(IF(INDEX(Historicals!$T20:$BO20,,AL$6+$D64*-1)&lt;&gt;"",INDEX(Historicals!$T20:$BO20,,AL$6+$D64*-1),$F64*AL$46*Historicals!$S20*INDEX($T$44:$BO$44,,AL$6-$D64+1)),0)</f>
        <v>0</v>
      </c>
      <c r="AM64" s="46">
        <f t="array" ref="AM64">IFERROR(IF(INDEX(Historicals!$T20:$BO20,,AM$6+$D64*-1)&lt;&gt;"",INDEX(Historicals!$T20:$BO20,,AM$6+$D64*-1),$F64*AM$46*Historicals!$S20*INDEX($T$44:$BO$44,,AM$6-$D64+1)),0)</f>
        <v>0</v>
      </c>
      <c r="AN64" s="46">
        <f t="array" ref="AN64">IFERROR(IF(INDEX(Historicals!$T20:$BO20,,AN$6+$D64*-1)&lt;&gt;"",INDEX(Historicals!$T20:$BO20,,AN$6+$D64*-1),$F64*AN$46*Historicals!$S20*INDEX($T$44:$BO$44,,AN$6-$D64+1)),0)</f>
        <v>0</v>
      </c>
      <c r="AO64" s="46">
        <f t="array" ref="AO64">IFERROR(IF(INDEX(Historicals!$T20:$BO20,,AO$6+$D64*-1)&lt;&gt;"",INDEX(Historicals!$T20:$BO20,,AO$6+$D64*-1),$F64*AO$46*Historicals!$S20*INDEX($T$44:$BO$44,,AO$6-$D64+1)),0)</f>
        <v>0</v>
      </c>
      <c r="AP64" s="46">
        <f t="array" ref="AP64">IFERROR(IF(INDEX(Historicals!$T20:$BO20,,AP$6+$D64*-1)&lt;&gt;"",INDEX(Historicals!$T20:$BO20,,AP$6+$D64*-1),$F64*AP$46*Historicals!$S20*INDEX($T$44:$BO$44,,AP$6-$D64+1)),0)</f>
        <v>0</v>
      </c>
      <c r="AQ64" s="46">
        <f t="array" ref="AQ64">IFERROR(IF(INDEX(Historicals!$T20:$BO20,,AQ$6+$D64*-1)&lt;&gt;"",INDEX(Historicals!$T20:$BO20,,AQ$6+$D64*-1),$F64*AQ$46*Historicals!$S20*INDEX($T$44:$BO$44,,AQ$6-$D64+1)),0)</f>
        <v>0</v>
      </c>
      <c r="AR64" s="46">
        <f t="array" ref="AR64">IFERROR(IF(INDEX(Historicals!$T20:$BO20,,AR$6+$D64*-1)&lt;&gt;"",INDEX(Historicals!$T20:$BO20,,AR$6+$D64*-1),$F64*AR$46*Historicals!$S20*INDEX($T$44:$BO$44,,AR$6-$D64+1)),0)</f>
        <v>0</v>
      </c>
      <c r="AS64" s="46">
        <f t="array" ref="AS64">IFERROR(IF(INDEX(Historicals!$T20:$BO20,,AS$6+$D64*-1)&lt;&gt;"",INDEX(Historicals!$T20:$BO20,,AS$6+$D64*-1),$F64*AS$46*Historicals!$S20*INDEX($T$44:$BO$44,,AS$6-$D64+1)),0)</f>
        <v>0</v>
      </c>
      <c r="AT64" s="46">
        <f t="array" ref="AT64">IFERROR(IF(INDEX(Historicals!$T20:$BO20,,AT$6+$D64*-1)&lt;&gt;"",INDEX(Historicals!$T20:$BO20,,AT$6+$D64*-1),$F64*AT$46*Historicals!$S20*INDEX($T$44:$BO$44,,AT$6-$D64+1)),0)</f>
        <v>0</v>
      </c>
      <c r="AU64" s="46">
        <f t="array" ref="AU64">IFERROR(IF(INDEX(Historicals!$T20:$BO20,,AU$6+$D64*-1)&lt;&gt;"",INDEX(Historicals!$T20:$BO20,,AU$6+$D64*-1),$F64*AU$46*Historicals!$S20*INDEX($T$44:$BO$44,,AU$6-$D64+1)),0)</f>
        <v>0</v>
      </c>
      <c r="AV64" s="46">
        <f t="array" ref="AV64">IFERROR(IF(INDEX(Historicals!$T20:$BO20,,AV$6+$D64*-1)&lt;&gt;"",INDEX(Historicals!$T20:$BO20,,AV$6+$D64*-1),$F64*AV$46*Historicals!$S20*INDEX($T$44:$BO$44,,AV$6-$D64+1)),0)</f>
        <v>0</v>
      </c>
      <c r="AW64" s="46">
        <f t="array" ref="AW64">IFERROR(IF(INDEX(Historicals!$T20:$BO20,,AW$6+$D64*-1)&lt;&gt;"",INDEX(Historicals!$T20:$BO20,,AW$6+$D64*-1),$F64*AW$46*Historicals!$S20*INDEX($T$44:$BO$44,,AW$6-$D64+1)),0)</f>
        <v>0</v>
      </c>
      <c r="AX64" s="46">
        <f t="array" ref="AX64">IFERROR(IF(INDEX(Historicals!$T20:$BO20,,AX$6+$D64*-1)&lt;&gt;"",INDEX(Historicals!$T20:$BO20,,AX$6+$D64*-1),$F64*AX$46*Historicals!$S20*INDEX($T$44:$BO$44,,AX$6-$D64+1)),0)</f>
        <v>0</v>
      </c>
      <c r="AY64" s="46">
        <f t="array" ref="AY64">IFERROR(IF(INDEX(Historicals!$T20:$BO20,,AY$6+$D64*-1)&lt;&gt;"",INDEX(Historicals!$T20:$BO20,,AY$6+$D64*-1),$F64*AY$46*Historicals!$S20*INDEX($T$44:$BO$44,,AY$6-$D64+1)),0)</f>
        <v>0</v>
      </c>
      <c r="AZ64" s="46">
        <f t="array" ref="AZ64">IFERROR(IF(INDEX(Historicals!$T20:$BO20,,AZ$6+$D64*-1)&lt;&gt;"",INDEX(Historicals!$T20:$BO20,,AZ$6+$D64*-1),$F64*AZ$46*Historicals!$S20*INDEX($T$44:$BO$44,,AZ$6-$D64+1)),0)</f>
        <v>0</v>
      </c>
      <c r="BA64" s="46">
        <f t="array" ref="BA64">IFERROR(IF(INDEX(Historicals!$T20:$BO20,,BA$6+$D64*-1)&lt;&gt;"",INDEX(Historicals!$T20:$BO20,,BA$6+$D64*-1),$F64*BA$46*Historicals!$S20*INDEX($T$44:$BO$44,,BA$6-$D64+1)),0)</f>
        <v>0</v>
      </c>
      <c r="BB64" s="46">
        <f t="array" ref="BB64">IFERROR(IF(INDEX(Historicals!$T20:$BO20,,BB$6+$D64*-1)&lt;&gt;"",INDEX(Historicals!$T20:$BO20,,BB$6+$D64*-1),$F64*BB$46*Historicals!$S20*INDEX($T$44:$BO$44,,BB$6-$D64+1)),0)</f>
        <v>0</v>
      </c>
      <c r="BC64" s="46">
        <f t="array" ref="BC64">IFERROR(IF(INDEX(Historicals!$T20:$BO20,,BC$6+$D64*-1)&lt;&gt;"",INDEX(Historicals!$T20:$BO20,,BC$6+$D64*-1),$F64*BC$46*Historicals!$S20*INDEX($T$44:$BO$44,,BC$6-$D64+1)),0)</f>
        <v>0</v>
      </c>
      <c r="BD64" s="46">
        <f t="array" ref="BD64">IFERROR(IF(INDEX(Historicals!$T20:$BO20,,BD$6+$D64*-1)&lt;&gt;"",INDEX(Historicals!$T20:$BO20,,BD$6+$D64*-1),$F64*BD$46*Historicals!$S20*INDEX($T$44:$BO$44,,BD$6-$D64+1)),0)</f>
        <v>0</v>
      </c>
      <c r="BE64" s="46">
        <f t="array" ref="BE64">IFERROR(IF(INDEX(Historicals!$T20:$BO20,,BE$6+$D64*-1)&lt;&gt;"",INDEX(Historicals!$T20:$BO20,,BE$6+$D64*-1),$F64*BE$46*Historicals!$S20*INDEX($T$44:$BO$44,,BE$6-$D64+1)),0)</f>
        <v>0</v>
      </c>
      <c r="BF64" s="46">
        <f t="array" ref="BF64">IFERROR(IF(INDEX(Historicals!$T20:$BO20,,BF$6+$D64*-1)&lt;&gt;"",INDEX(Historicals!$T20:$BO20,,BF$6+$D64*-1),$F64*BF$46*Historicals!$S20*INDEX($T$44:$BO$44,,BF$6-$D64+1)),0)</f>
        <v>0</v>
      </c>
      <c r="BG64" s="46">
        <f t="array" ref="BG64">IFERROR(IF(INDEX(Historicals!$T20:$BO20,,BG$6+$D64*-1)&lt;&gt;"",INDEX(Historicals!$T20:$BO20,,BG$6+$D64*-1),$F64*BG$46*Historicals!$S20*INDEX($T$44:$BO$44,,BG$6-$D64+1)),0)</f>
        <v>0</v>
      </c>
      <c r="BH64" s="46">
        <f t="array" ref="BH64">IFERROR(IF(INDEX(Historicals!$T20:$BO20,,BH$6+$D64*-1)&lt;&gt;"",INDEX(Historicals!$T20:$BO20,,BH$6+$D64*-1),$F64*BH$46*Historicals!$S20*INDEX($T$44:$BO$44,,BH$6-$D64+1)),0)</f>
        <v>0</v>
      </c>
      <c r="BI64" s="46">
        <f t="array" ref="BI64">IFERROR(IF(INDEX(Historicals!$T20:$BO20,,BI$6+$D64*-1)&lt;&gt;"",INDEX(Historicals!$T20:$BO20,,BI$6+$D64*-1),$F64*BI$46*Historicals!$S20*INDEX($T$44:$BO$44,,BI$6-$D64+1)),0)</f>
        <v>0</v>
      </c>
      <c r="BJ64" s="46">
        <f t="array" ref="BJ64">IFERROR(IF(INDEX(Historicals!$T20:$BO20,,BJ$6+$D64*-1)&lt;&gt;"",INDEX(Historicals!$T20:$BO20,,BJ$6+$D64*-1),$F64*BJ$46*Historicals!$S20*INDEX($T$44:$BO$44,,BJ$6-$D64+1)),0)</f>
        <v>0</v>
      </c>
      <c r="BK64" s="46">
        <f t="array" ref="BK64">IFERROR(IF(INDEX(Historicals!$T20:$BO20,,BK$6+$D64*-1)&lt;&gt;"",INDEX(Historicals!$T20:$BO20,,BK$6+$D64*-1),$F64*BK$46*Historicals!$S20*INDEX($T$44:$BO$44,,BK$6-$D64+1)),0)</f>
        <v>0</v>
      </c>
      <c r="BL64" s="46">
        <f t="array" ref="BL64">IFERROR(IF(INDEX(Historicals!$T20:$BO20,,BL$6+$D64*-1)&lt;&gt;"",INDEX(Historicals!$T20:$BO20,,BL$6+$D64*-1),$F64*BL$46*Historicals!$S20*INDEX($T$44:$BO$44,,BL$6-$D64+1)),0)</f>
        <v>0</v>
      </c>
      <c r="BM64" s="46">
        <f t="array" ref="BM64">IFERROR(IF(INDEX(Historicals!$T20:$BO20,,BM$6+$D64*-1)&lt;&gt;"",INDEX(Historicals!$T20:$BO20,,BM$6+$D64*-1),$F64*BM$46*Historicals!$S20*INDEX($T$44:$BO$44,,BM$6-$D64+1)),0)</f>
        <v>0</v>
      </c>
      <c r="BN64" s="46">
        <f t="array" ref="BN64">IFERROR(IF(INDEX(Historicals!$T20:$BO20,,BN$6+$D64*-1)&lt;&gt;"",INDEX(Historicals!$T20:$BO20,,BN$6+$D64*-1),$F64*BN$46*Historicals!$S20*INDEX($T$44:$BO$44,,BN$6-$D64+1)),0)</f>
        <v>0</v>
      </c>
      <c r="BO64" s="46">
        <f t="array" ref="BO64">IFERROR(IF(INDEX(Historicals!$T20:$BO20,,BO$6+$D64*-1)&lt;&gt;"",INDEX(Historicals!$T20:$BO20,,BO$6+$D64*-1),$F64*BO$46*Historicals!$S20*INDEX($T$44:$BO$44,,BO$6-$D64+1)),0)</f>
        <v>0</v>
      </c>
    </row>
    <row r="65" spans="1:67" ht="16.5" hidden="1" customHeight="1" outlineLevel="1">
      <c r="A65" s="1"/>
      <c r="B65" s="55">
        <f t="shared" si="19"/>
        <v>44497</v>
      </c>
      <c r="C65" s="17" t="s">
        <v>104</v>
      </c>
      <c r="D65" s="46">
        <f t="shared" si="20"/>
        <v>-38</v>
      </c>
      <c r="E65" s="16"/>
      <c r="F65" s="51">
        <v>1</v>
      </c>
      <c r="G65" s="16" t="s">
        <v>159</v>
      </c>
      <c r="H65" s="16" t="s">
        <v>155</v>
      </c>
      <c r="I65" s="46">
        <f>IF(H65=Forecast!$H$195,T65,IF(H65=Forecast!$H$196,BO65,IF(H65=Forecast!$H$197,SUM(T65:BO65),IF(H65=Forecast!$H$198,AVERAGE(T65:BO65),0))))</f>
        <v>0</v>
      </c>
      <c r="J65" s="16"/>
      <c r="K65" s="16"/>
      <c r="L65" s="16"/>
      <c r="M65" s="16"/>
      <c r="N65" s="16"/>
      <c r="O65" s="16"/>
      <c r="P65" s="16"/>
      <c r="Q65" s="16"/>
      <c r="R65" s="16"/>
      <c r="S65" s="16"/>
      <c r="T65" s="46">
        <f t="array" ref="T65">IFERROR(IF(INDEX(Historicals!$T21:$BO21,,T$6+$D65*-1)&lt;&gt;"",INDEX(Historicals!$T21:$BO21,,T$6+$D65*-1),$F65*T$46*Historicals!$S21*INDEX($T$44:$BO$44,,T$6-$D65+1)),0)</f>
        <v>0</v>
      </c>
      <c r="U65" s="46">
        <f t="array" ref="U65">IFERROR(IF(INDEX(Historicals!$T21:$BO21,,U$6+$D65*-1)&lt;&gt;"",INDEX(Historicals!$T21:$BO21,,U$6+$D65*-1),$F65*U$46*Historicals!$S21*INDEX($T$44:$BO$44,,U$6-$D65+1)),0)</f>
        <v>0</v>
      </c>
      <c r="V65" s="46">
        <f t="array" ref="V65">IFERROR(IF(INDEX(Historicals!$T21:$BO21,,V$6+$D65*-1)&lt;&gt;"",INDEX(Historicals!$T21:$BO21,,V$6+$D65*-1),$F65*V$46*Historicals!$S21*INDEX($T$44:$BO$44,,V$6-$D65+1)),0)</f>
        <v>0</v>
      </c>
      <c r="W65" s="46">
        <f t="array" ref="W65">IFERROR(IF(INDEX(Historicals!$T21:$BO21,,W$6+$D65*-1)&lt;&gt;"",INDEX(Historicals!$T21:$BO21,,W$6+$D65*-1),$F65*W$46*Historicals!$S21*INDEX($T$44:$BO$44,,W$6-$D65+1)),0)</f>
        <v>0</v>
      </c>
      <c r="X65" s="46">
        <f t="array" ref="X65">IFERROR(IF(INDEX(Historicals!$T21:$BO21,,X$6+$D65*-1)&lt;&gt;"",INDEX(Historicals!$T21:$BO21,,X$6+$D65*-1),$F65*X$46*Historicals!$S21*INDEX($T$44:$BO$44,,X$6-$D65+1)),0)</f>
        <v>0</v>
      </c>
      <c r="Y65" s="46">
        <f t="array" ref="Y65">IFERROR(IF(INDEX(Historicals!$T21:$BO21,,Y$6+$D65*-1)&lt;&gt;"",INDEX(Historicals!$T21:$BO21,,Y$6+$D65*-1),$F65*Y$46*Historicals!$S21*INDEX($T$44:$BO$44,,Y$6-$D65+1)),0)</f>
        <v>0</v>
      </c>
      <c r="Z65" s="46">
        <f t="array" ref="Z65">IFERROR(IF(INDEX(Historicals!$T21:$BO21,,Z$6+$D65*-1)&lt;&gt;"",INDEX(Historicals!$T21:$BO21,,Z$6+$D65*-1),$F65*Z$46*Historicals!$S21*INDEX($T$44:$BO$44,,Z$6-$D65+1)),0)</f>
        <v>0</v>
      </c>
      <c r="AA65" s="46">
        <f t="array" ref="AA65">IFERROR(IF(INDEX(Historicals!$T21:$BO21,,AA$6+$D65*-1)&lt;&gt;"",INDEX(Historicals!$T21:$BO21,,AA$6+$D65*-1),$F65*AA$46*Historicals!$S21*INDEX($T$44:$BO$44,,AA$6-$D65+1)),0)</f>
        <v>0</v>
      </c>
      <c r="AB65" s="46">
        <f t="array" ref="AB65">IFERROR(IF(INDEX(Historicals!$T21:$BO21,,AB$6+$D65*-1)&lt;&gt;"",INDEX(Historicals!$T21:$BO21,,AB$6+$D65*-1),$F65*AB$46*Historicals!$S21*INDEX($T$44:$BO$44,,AB$6-$D65+1)),0)</f>
        <v>0</v>
      </c>
      <c r="AC65" s="46">
        <f t="array" ref="AC65">IFERROR(IF(INDEX(Historicals!$T21:$BO21,,AC$6+$D65*-1)&lt;&gt;"",INDEX(Historicals!$T21:$BO21,,AC$6+$D65*-1),$F65*AC$46*Historicals!$S21*INDEX($T$44:$BO$44,,AC$6-$D65+1)),0)</f>
        <v>0</v>
      </c>
      <c r="AD65" s="46">
        <f t="array" ref="AD65">IFERROR(IF(INDEX(Historicals!$T21:$BO21,,AD$6+$D65*-1)&lt;&gt;"",INDEX(Historicals!$T21:$BO21,,AD$6+$D65*-1),$F65*AD$46*Historicals!$S21*INDEX($T$44:$BO$44,,AD$6-$D65+1)),0)</f>
        <v>0</v>
      </c>
      <c r="AE65" s="46">
        <f t="array" ref="AE65">IFERROR(IF(INDEX(Historicals!$T21:$BO21,,AE$6+$D65*-1)&lt;&gt;"",INDEX(Historicals!$T21:$BO21,,AE$6+$D65*-1),$F65*AE$46*Historicals!$S21*INDEX($T$44:$BO$44,,AE$6-$D65+1)),0)</f>
        <v>0</v>
      </c>
      <c r="AF65" s="46">
        <f t="array" ref="AF65">IFERROR(IF(INDEX(Historicals!$T21:$BO21,,AF$6+$D65*-1)&lt;&gt;"",INDEX(Historicals!$T21:$BO21,,AF$6+$D65*-1),$F65*AF$46*Historicals!$S21*INDEX($T$44:$BO$44,,AF$6-$D65+1)),0)</f>
        <v>0</v>
      </c>
      <c r="AG65" s="46">
        <f t="array" ref="AG65">IFERROR(IF(INDEX(Historicals!$T21:$BO21,,AG$6+$D65*-1)&lt;&gt;"",INDEX(Historicals!$T21:$BO21,,AG$6+$D65*-1),$F65*AG$46*Historicals!$S21*INDEX($T$44:$BO$44,,AG$6-$D65+1)),0)</f>
        <v>0</v>
      </c>
      <c r="AH65" s="46">
        <f t="array" ref="AH65">IFERROR(IF(INDEX(Historicals!$T21:$BO21,,AH$6+$D65*-1)&lt;&gt;"",INDEX(Historicals!$T21:$BO21,,AH$6+$D65*-1),$F65*AH$46*Historicals!$S21*INDEX($T$44:$BO$44,,AH$6-$D65+1)),0)</f>
        <v>0</v>
      </c>
      <c r="AI65" s="46">
        <f t="array" ref="AI65">IFERROR(IF(INDEX(Historicals!$T21:$BO21,,AI$6+$D65*-1)&lt;&gt;"",INDEX(Historicals!$T21:$BO21,,AI$6+$D65*-1),$F65*AI$46*Historicals!$S21*INDEX($T$44:$BO$44,,AI$6-$D65+1)),0)</f>
        <v>0</v>
      </c>
      <c r="AJ65" s="46">
        <f t="array" ref="AJ65">IFERROR(IF(INDEX(Historicals!$T21:$BO21,,AJ$6+$D65*-1)&lt;&gt;"",INDEX(Historicals!$T21:$BO21,,AJ$6+$D65*-1),$F65*AJ$46*Historicals!$S21*INDEX($T$44:$BO$44,,AJ$6-$D65+1)),0)</f>
        <v>0</v>
      </c>
      <c r="AK65" s="46">
        <f t="array" ref="AK65">IFERROR(IF(INDEX(Historicals!$T21:$BO21,,AK$6+$D65*-1)&lt;&gt;"",INDEX(Historicals!$T21:$BO21,,AK$6+$D65*-1),$F65*AK$46*Historicals!$S21*INDEX($T$44:$BO$44,,AK$6-$D65+1)),0)</f>
        <v>0</v>
      </c>
      <c r="AL65" s="46">
        <f t="array" ref="AL65">IFERROR(IF(INDEX(Historicals!$T21:$BO21,,AL$6+$D65*-1)&lt;&gt;"",INDEX(Historicals!$T21:$BO21,,AL$6+$D65*-1),$F65*AL$46*Historicals!$S21*INDEX($T$44:$BO$44,,AL$6-$D65+1)),0)</f>
        <v>0</v>
      </c>
      <c r="AM65" s="46">
        <f t="array" ref="AM65">IFERROR(IF(INDEX(Historicals!$T21:$BO21,,AM$6+$D65*-1)&lt;&gt;"",INDEX(Historicals!$T21:$BO21,,AM$6+$D65*-1),$F65*AM$46*Historicals!$S21*INDEX($T$44:$BO$44,,AM$6-$D65+1)),0)</f>
        <v>0</v>
      </c>
      <c r="AN65" s="46">
        <f t="array" ref="AN65">IFERROR(IF(INDEX(Historicals!$T21:$BO21,,AN$6+$D65*-1)&lt;&gt;"",INDEX(Historicals!$T21:$BO21,,AN$6+$D65*-1),$F65*AN$46*Historicals!$S21*INDEX($T$44:$BO$44,,AN$6-$D65+1)),0)</f>
        <v>0</v>
      </c>
      <c r="AO65" s="46">
        <f t="array" ref="AO65">IFERROR(IF(INDEX(Historicals!$T21:$BO21,,AO$6+$D65*-1)&lt;&gt;"",INDEX(Historicals!$T21:$BO21,,AO$6+$D65*-1),$F65*AO$46*Historicals!$S21*INDEX($T$44:$BO$44,,AO$6-$D65+1)),0)</f>
        <v>0</v>
      </c>
      <c r="AP65" s="46">
        <f t="array" ref="AP65">IFERROR(IF(INDEX(Historicals!$T21:$BO21,,AP$6+$D65*-1)&lt;&gt;"",INDEX(Historicals!$T21:$BO21,,AP$6+$D65*-1),$F65*AP$46*Historicals!$S21*INDEX($T$44:$BO$44,,AP$6-$D65+1)),0)</f>
        <v>0</v>
      </c>
      <c r="AQ65" s="46">
        <f t="array" ref="AQ65">IFERROR(IF(INDEX(Historicals!$T21:$BO21,,AQ$6+$D65*-1)&lt;&gt;"",INDEX(Historicals!$T21:$BO21,,AQ$6+$D65*-1),$F65*AQ$46*Historicals!$S21*INDEX($T$44:$BO$44,,AQ$6-$D65+1)),0)</f>
        <v>0</v>
      </c>
      <c r="AR65" s="46">
        <f t="array" ref="AR65">IFERROR(IF(INDEX(Historicals!$T21:$BO21,,AR$6+$D65*-1)&lt;&gt;"",INDEX(Historicals!$T21:$BO21,,AR$6+$D65*-1),$F65*AR$46*Historicals!$S21*INDEX($T$44:$BO$44,,AR$6-$D65+1)),0)</f>
        <v>0</v>
      </c>
      <c r="AS65" s="46">
        <f t="array" ref="AS65">IFERROR(IF(INDEX(Historicals!$T21:$BO21,,AS$6+$D65*-1)&lt;&gt;"",INDEX(Historicals!$T21:$BO21,,AS$6+$D65*-1),$F65*AS$46*Historicals!$S21*INDEX($T$44:$BO$44,,AS$6-$D65+1)),0)</f>
        <v>0</v>
      </c>
      <c r="AT65" s="46">
        <f t="array" ref="AT65">IFERROR(IF(INDEX(Historicals!$T21:$BO21,,AT$6+$D65*-1)&lt;&gt;"",INDEX(Historicals!$T21:$BO21,,AT$6+$D65*-1),$F65*AT$46*Historicals!$S21*INDEX($T$44:$BO$44,,AT$6-$D65+1)),0)</f>
        <v>0</v>
      </c>
      <c r="AU65" s="46">
        <f t="array" ref="AU65">IFERROR(IF(INDEX(Historicals!$T21:$BO21,,AU$6+$D65*-1)&lt;&gt;"",INDEX(Historicals!$T21:$BO21,,AU$6+$D65*-1),$F65*AU$46*Historicals!$S21*INDEX($T$44:$BO$44,,AU$6-$D65+1)),0)</f>
        <v>0</v>
      </c>
      <c r="AV65" s="46">
        <f t="array" ref="AV65">IFERROR(IF(INDEX(Historicals!$T21:$BO21,,AV$6+$D65*-1)&lt;&gt;"",INDEX(Historicals!$T21:$BO21,,AV$6+$D65*-1),$F65*AV$46*Historicals!$S21*INDEX($T$44:$BO$44,,AV$6-$D65+1)),0)</f>
        <v>0</v>
      </c>
      <c r="AW65" s="46">
        <f t="array" ref="AW65">IFERROR(IF(INDEX(Historicals!$T21:$BO21,,AW$6+$D65*-1)&lt;&gt;"",INDEX(Historicals!$T21:$BO21,,AW$6+$D65*-1),$F65*AW$46*Historicals!$S21*INDEX($T$44:$BO$44,,AW$6-$D65+1)),0)</f>
        <v>0</v>
      </c>
      <c r="AX65" s="46">
        <f t="array" ref="AX65">IFERROR(IF(INDEX(Historicals!$T21:$BO21,,AX$6+$D65*-1)&lt;&gt;"",INDEX(Historicals!$T21:$BO21,,AX$6+$D65*-1),$F65*AX$46*Historicals!$S21*INDEX($T$44:$BO$44,,AX$6-$D65+1)),0)</f>
        <v>0</v>
      </c>
      <c r="AY65" s="46">
        <f t="array" ref="AY65">IFERROR(IF(INDEX(Historicals!$T21:$BO21,,AY$6+$D65*-1)&lt;&gt;"",INDEX(Historicals!$T21:$BO21,,AY$6+$D65*-1),$F65*AY$46*Historicals!$S21*INDEX($T$44:$BO$44,,AY$6-$D65+1)),0)</f>
        <v>0</v>
      </c>
      <c r="AZ65" s="46">
        <f t="array" ref="AZ65">IFERROR(IF(INDEX(Historicals!$T21:$BO21,,AZ$6+$D65*-1)&lt;&gt;"",INDEX(Historicals!$T21:$BO21,,AZ$6+$D65*-1),$F65*AZ$46*Historicals!$S21*INDEX($T$44:$BO$44,,AZ$6-$D65+1)),0)</f>
        <v>0</v>
      </c>
      <c r="BA65" s="46">
        <f t="array" ref="BA65">IFERROR(IF(INDEX(Historicals!$T21:$BO21,,BA$6+$D65*-1)&lt;&gt;"",INDEX(Historicals!$T21:$BO21,,BA$6+$D65*-1),$F65*BA$46*Historicals!$S21*INDEX($T$44:$BO$44,,BA$6-$D65+1)),0)</f>
        <v>0</v>
      </c>
      <c r="BB65" s="46">
        <f t="array" ref="BB65">IFERROR(IF(INDEX(Historicals!$T21:$BO21,,BB$6+$D65*-1)&lt;&gt;"",INDEX(Historicals!$T21:$BO21,,BB$6+$D65*-1),$F65*BB$46*Historicals!$S21*INDEX($T$44:$BO$44,,BB$6-$D65+1)),0)</f>
        <v>0</v>
      </c>
      <c r="BC65" s="46">
        <f t="array" ref="BC65">IFERROR(IF(INDEX(Historicals!$T21:$BO21,,BC$6+$D65*-1)&lt;&gt;"",INDEX(Historicals!$T21:$BO21,,BC$6+$D65*-1),$F65*BC$46*Historicals!$S21*INDEX($T$44:$BO$44,,BC$6-$D65+1)),0)</f>
        <v>0</v>
      </c>
      <c r="BD65" s="46">
        <f t="array" ref="BD65">IFERROR(IF(INDEX(Historicals!$T21:$BO21,,BD$6+$D65*-1)&lt;&gt;"",INDEX(Historicals!$T21:$BO21,,BD$6+$D65*-1),$F65*BD$46*Historicals!$S21*INDEX($T$44:$BO$44,,BD$6-$D65+1)),0)</f>
        <v>0</v>
      </c>
      <c r="BE65" s="46">
        <f t="array" ref="BE65">IFERROR(IF(INDEX(Historicals!$T21:$BO21,,BE$6+$D65*-1)&lt;&gt;"",INDEX(Historicals!$T21:$BO21,,BE$6+$D65*-1),$F65*BE$46*Historicals!$S21*INDEX($T$44:$BO$44,,BE$6-$D65+1)),0)</f>
        <v>0</v>
      </c>
      <c r="BF65" s="46">
        <f t="array" ref="BF65">IFERROR(IF(INDEX(Historicals!$T21:$BO21,,BF$6+$D65*-1)&lt;&gt;"",INDEX(Historicals!$T21:$BO21,,BF$6+$D65*-1),$F65*BF$46*Historicals!$S21*INDEX($T$44:$BO$44,,BF$6-$D65+1)),0)</f>
        <v>0</v>
      </c>
      <c r="BG65" s="46">
        <f t="array" ref="BG65">IFERROR(IF(INDEX(Historicals!$T21:$BO21,,BG$6+$D65*-1)&lt;&gt;"",INDEX(Historicals!$T21:$BO21,,BG$6+$D65*-1),$F65*BG$46*Historicals!$S21*INDEX($T$44:$BO$44,,BG$6-$D65+1)),0)</f>
        <v>0</v>
      </c>
      <c r="BH65" s="46">
        <f t="array" ref="BH65">IFERROR(IF(INDEX(Historicals!$T21:$BO21,,BH$6+$D65*-1)&lt;&gt;"",INDEX(Historicals!$T21:$BO21,,BH$6+$D65*-1),$F65*BH$46*Historicals!$S21*INDEX($T$44:$BO$44,,BH$6-$D65+1)),0)</f>
        <v>0</v>
      </c>
      <c r="BI65" s="46">
        <f t="array" ref="BI65">IFERROR(IF(INDEX(Historicals!$T21:$BO21,,BI$6+$D65*-1)&lt;&gt;"",INDEX(Historicals!$T21:$BO21,,BI$6+$D65*-1),$F65*BI$46*Historicals!$S21*INDEX($T$44:$BO$44,,BI$6-$D65+1)),0)</f>
        <v>0</v>
      </c>
      <c r="BJ65" s="46">
        <f t="array" ref="BJ65">IFERROR(IF(INDEX(Historicals!$T21:$BO21,,BJ$6+$D65*-1)&lt;&gt;"",INDEX(Historicals!$T21:$BO21,,BJ$6+$D65*-1),$F65*BJ$46*Historicals!$S21*INDEX($T$44:$BO$44,,BJ$6-$D65+1)),0)</f>
        <v>0</v>
      </c>
      <c r="BK65" s="46">
        <f t="array" ref="BK65">IFERROR(IF(INDEX(Historicals!$T21:$BO21,,BK$6+$D65*-1)&lt;&gt;"",INDEX(Historicals!$T21:$BO21,,BK$6+$D65*-1),$F65*BK$46*Historicals!$S21*INDEX($T$44:$BO$44,,BK$6-$D65+1)),0)</f>
        <v>0</v>
      </c>
      <c r="BL65" s="46">
        <f t="array" ref="BL65">IFERROR(IF(INDEX(Historicals!$T21:$BO21,,BL$6+$D65*-1)&lt;&gt;"",INDEX(Historicals!$T21:$BO21,,BL$6+$D65*-1),$F65*BL$46*Historicals!$S21*INDEX($T$44:$BO$44,,BL$6-$D65+1)),0)</f>
        <v>0</v>
      </c>
      <c r="BM65" s="46">
        <f t="array" ref="BM65">IFERROR(IF(INDEX(Historicals!$T21:$BO21,,BM$6+$D65*-1)&lt;&gt;"",INDEX(Historicals!$T21:$BO21,,BM$6+$D65*-1),$F65*BM$46*Historicals!$S21*INDEX($T$44:$BO$44,,BM$6-$D65+1)),0)</f>
        <v>0</v>
      </c>
      <c r="BN65" s="46">
        <f t="array" ref="BN65">IFERROR(IF(INDEX(Historicals!$T21:$BO21,,BN$6+$D65*-1)&lt;&gt;"",INDEX(Historicals!$T21:$BO21,,BN$6+$D65*-1),$F65*BN$46*Historicals!$S21*INDEX($T$44:$BO$44,,BN$6-$D65+1)),0)</f>
        <v>0</v>
      </c>
      <c r="BO65" s="46">
        <f t="array" ref="BO65">IFERROR(IF(INDEX(Historicals!$T21:$BO21,,BO$6+$D65*-1)&lt;&gt;"",INDEX(Historicals!$T21:$BO21,,BO$6+$D65*-1),$F65*BO$46*Historicals!$S21*INDEX($T$44:$BO$44,,BO$6-$D65+1)),0)</f>
        <v>0</v>
      </c>
    </row>
    <row r="66" spans="1:67" ht="16.5" hidden="1" customHeight="1" outlineLevel="1">
      <c r="A66" s="1"/>
      <c r="B66" s="55">
        <f t="shared" si="19"/>
        <v>44528</v>
      </c>
      <c r="C66" s="17" t="s">
        <v>104</v>
      </c>
      <c r="D66" s="46">
        <f t="shared" si="20"/>
        <v>-37</v>
      </c>
      <c r="E66" s="16"/>
      <c r="F66" s="51">
        <v>1</v>
      </c>
      <c r="G66" s="16" t="s">
        <v>159</v>
      </c>
      <c r="H66" s="16" t="s">
        <v>155</v>
      </c>
      <c r="I66" s="46">
        <f>IF(H66=Forecast!$H$195,T66,IF(H66=Forecast!$H$196,BO66,IF(H66=Forecast!$H$197,SUM(T66:BO66),IF(H66=Forecast!$H$198,AVERAGE(T66:BO66),0))))</f>
        <v>0</v>
      </c>
      <c r="J66" s="16"/>
      <c r="K66" s="16"/>
      <c r="L66" s="16"/>
      <c r="M66" s="16"/>
      <c r="N66" s="16"/>
      <c r="O66" s="16"/>
      <c r="P66" s="16"/>
      <c r="Q66" s="16"/>
      <c r="R66" s="16"/>
      <c r="S66" s="16"/>
      <c r="T66" s="46">
        <f t="array" ref="T66">IFERROR(IF(INDEX(Historicals!$T22:$BO22,,T$6+$D66*-1)&lt;&gt;"",INDEX(Historicals!$T22:$BO22,,T$6+$D66*-1),$F66*T$46*Historicals!$S22*INDEX($T$44:$BO$44,,T$6-$D66+1)),0)</f>
        <v>0</v>
      </c>
      <c r="U66" s="46">
        <f t="array" ref="U66">IFERROR(IF(INDEX(Historicals!$T22:$BO22,,U$6+$D66*-1)&lt;&gt;"",INDEX(Historicals!$T22:$BO22,,U$6+$D66*-1),$F66*U$46*Historicals!$S22*INDEX($T$44:$BO$44,,U$6-$D66+1)),0)</f>
        <v>0</v>
      </c>
      <c r="V66" s="46">
        <f t="array" ref="V66">IFERROR(IF(INDEX(Historicals!$T22:$BO22,,V$6+$D66*-1)&lt;&gt;"",INDEX(Historicals!$T22:$BO22,,V$6+$D66*-1),$F66*V$46*Historicals!$S22*INDEX($T$44:$BO$44,,V$6-$D66+1)),0)</f>
        <v>0</v>
      </c>
      <c r="W66" s="46">
        <f t="array" ref="W66">IFERROR(IF(INDEX(Historicals!$T22:$BO22,,W$6+$D66*-1)&lt;&gt;"",INDEX(Historicals!$T22:$BO22,,W$6+$D66*-1),$F66*W$46*Historicals!$S22*INDEX($T$44:$BO$44,,W$6-$D66+1)),0)</f>
        <v>0</v>
      </c>
      <c r="X66" s="46">
        <f t="array" ref="X66">IFERROR(IF(INDEX(Historicals!$T22:$BO22,,X$6+$D66*-1)&lt;&gt;"",INDEX(Historicals!$T22:$BO22,,X$6+$D66*-1),$F66*X$46*Historicals!$S22*INDEX($T$44:$BO$44,,X$6-$D66+1)),0)</f>
        <v>0</v>
      </c>
      <c r="Y66" s="46">
        <f t="array" ref="Y66">IFERROR(IF(INDEX(Historicals!$T22:$BO22,,Y$6+$D66*-1)&lt;&gt;"",INDEX(Historicals!$T22:$BO22,,Y$6+$D66*-1),$F66*Y$46*Historicals!$S22*INDEX($T$44:$BO$44,,Y$6-$D66+1)),0)</f>
        <v>0</v>
      </c>
      <c r="Z66" s="46">
        <f t="array" ref="Z66">IFERROR(IF(INDEX(Historicals!$T22:$BO22,,Z$6+$D66*-1)&lt;&gt;"",INDEX(Historicals!$T22:$BO22,,Z$6+$D66*-1),$F66*Z$46*Historicals!$S22*INDEX($T$44:$BO$44,,Z$6-$D66+1)),0)</f>
        <v>0</v>
      </c>
      <c r="AA66" s="46">
        <f t="array" ref="AA66">IFERROR(IF(INDEX(Historicals!$T22:$BO22,,AA$6+$D66*-1)&lt;&gt;"",INDEX(Historicals!$T22:$BO22,,AA$6+$D66*-1),$F66*AA$46*Historicals!$S22*INDEX($T$44:$BO$44,,AA$6-$D66+1)),0)</f>
        <v>0</v>
      </c>
      <c r="AB66" s="46">
        <f t="array" ref="AB66">IFERROR(IF(INDEX(Historicals!$T22:$BO22,,AB$6+$D66*-1)&lt;&gt;"",INDEX(Historicals!$T22:$BO22,,AB$6+$D66*-1),$F66*AB$46*Historicals!$S22*INDEX($T$44:$BO$44,,AB$6-$D66+1)),0)</f>
        <v>0</v>
      </c>
      <c r="AC66" s="46">
        <f t="array" ref="AC66">IFERROR(IF(INDEX(Historicals!$T22:$BO22,,AC$6+$D66*-1)&lt;&gt;"",INDEX(Historicals!$T22:$BO22,,AC$6+$D66*-1),$F66*AC$46*Historicals!$S22*INDEX($T$44:$BO$44,,AC$6-$D66+1)),0)</f>
        <v>0</v>
      </c>
      <c r="AD66" s="46">
        <f t="array" ref="AD66">IFERROR(IF(INDEX(Historicals!$T22:$BO22,,AD$6+$D66*-1)&lt;&gt;"",INDEX(Historicals!$T22:$BO22,,AD$6+$D66*-1),$F66*AD$46*Historicals!$S22*INDEX($T$44:$BO$44,,AD$6-$D66+1)),0)</f>
        <v>0</v>
      </c>
      <c r="AE66" s="46">
        <f t="array" ref="AE66">IFERROR(IF(INDEX(Historicals!$T22:$BO22,,AE$6+$D66*-1)&lt;&gt;"",INDEX(Historicals!$T22:$BO22,,AE$6+$D66*-1),$F66*AE$46*Historicals!$S22*INDEX($T$44:$BO$44,,AE$6-$D66+1)),0)</f>
        <v>0</v>
      </c>
      <c r="AF66" s="46">
        <f t="array" ref="AF66">IFERROR(IF(INDEX(Historicals!$T22:$BO22,,AF$6+$D66*-1)&lt;&gt;"",INDEX(Historicals!$T22:$BO22,,AF$6+$D66*-1),$F66*AF$46*Historicals!$S22*INDEX($T$44:$BO$44,,AF$6-$D66+1)),0)</f>
        <v>0</v>
      </c>
      <c r="AG66" s="46">
        <f t="array" ref="AG66">IFERROR(IF(INDEX(Historicals!$T22:$BO22,,AG$6+$D66*-1)&lt;&gt;"",INDEX(Historicals!$T22:$BO22,,AG$6+$D66*-1),$F66*AG$46*Historicals!$S22*INDEX($T$44:$BO$44,,AG$6-$D66+1)),0)</f>
        <v>0</v>
      </c>
      <c r="AH66" s="46">
        <f t="array" ref="AH66">IFERROR(IF(INDEX(Historicals!$T22:$BO22,,AH$6+$D66*-1)&lt;&gt;"",INDEX(Historicals!$T22:$BO22,,AH$6+$D66*-1),$F66*AH$46*Historicals!$S22*INDEX($T$44:$BO$44,,AH$6-$D66+1)),0)</f>
        <v>0</v>
      </c>
      <c r="AI66" s="46">
        <f t="array" ref="AI66">IFERROR(IF(INDEX(Historicals!$T22:$BO22,,AI$6+$D66*-1)&lt;&gt;"",INDEX(Historicals!$T22:$BO22,,AI$6+$D66*-1),$F66*AI$46*Historicals!$S22*INDEX($T$44:$BO$44,,AI$6-$D66+1)),0)</f>
        <v>0</v>
      </c>
      <c r="AJ66" s="46">
        <f t="array" ref="AJ66">IFERROR(IF(INDEX(Historicals!$T22:$BO22,,AJ$6+$D66*-1)&lt;&gt;"",INDEX(Historicals!$T22:$BO22,,AJ$6+$D66*-1),$F66*AJ$46*Historicals!$S22*INDEX($T$44:$BO$44,,AJ$6-$D66+1)),0)</f>
        <v>0</v>
      </c>
      <c r="AK66" s="46">
        <f t="array" ref="AK66">IFERROR(IF(INDEX(Historicals!$T22:$BO22,,AK$6+$D66*-1)&lt;&gt;"",INDEX(Historicals!$T22:$BO22,,AK$6+$D66*-1),$F66*AK$46*Historicals!$S22*INDEX($T$44:$BO$44,,AK$6-$D66+1)),0)</f>
        <v>0</v>
      </c>
      <c r="AL66" s="46">
        <f t="array" ref="AL66">IFERROR(IF(INDEX(Historicals!$T22:$BO22,,AL$6+$D66*-1)&lt;&gt;"",INDEX(Historicals!$T22:$BO22,,AL$6+$D66*-1),$F66*AL$46*Historicals!$S22*INDEX($T$44:$BO$44,,AL$6-$D66+1)),0)</f>
        <v>0</v>
      </c>
      <c r="AM66" s="46">
        <f t="array" ref="AM66">IFERROR(IF(INDEX(Historicals!$T22:$BO22,,AM$6+$D66*-1)&lt;&gt;"",INDEX(Historicals!$T22:$BO22,,AM$6+$D66*-1),$F66*AM$46*Historicals!$S22*INDEX($T$44:$BO$44,,AM$6-$D66+1)),0)</f>
        <v>0</v>
      </c>
      <c r="AN66" s="46">
        <f t="array" ref="AN66">IFERROR(IF(INDEX(Historicals!$T22:$BO22,,AN$6+$D66*-1)&lt;&gt;"",INDEX(Historicals!$T22:$BO22,,AN$6+$D66*-1),$F66*AN$46*Historicals!$S22*INDEX($T$44:$BO$44,,AN$6-$D66+1)),0)</f>
        <v>0</v>
      </c>
      <c r="AO66" s="46">
        <f t="array" ref="AO66">IFERROR(IF(INDEX(Historicals!$T22:$BO22,,AO$6+$D66*-1)&lt;&gt;"",INDEX(Historicals!$T22:$BO22,,AO$6+$D66*-1),$F66*AO$46*Historicals!$S22*INDEX($T$44:$BO$44,,AO$6-$D66+1)),0)</f>
        <v>0</v>
      </c>
      <c r="AP66" s="46">
        <f t="array" ref="AP66">IFERROR(IF(INDEX(Historicals!$T22:$BO22,,AP$6+$D66*-1)&lt;&gt;"",INDEX(Historicals!$T22:$BO22,,AP$6+$D66*-1),$F66*AP$46*Historicals!$S22*INDEX($T$44:$BO$44,,AP$6-$D66+1)),0)</f>
        <v>0</v>
      </c>
      <c r="AQ66" s="46">
        <f t="array" ref="AQ66">IFERROR(IF(INDEX(Historicals!$T22:$BO22,,AQ$6+$D66*-1)&lt;&gt;"",INDEX(Historicals!$T22:$BO22,,AQ$6+$D66*-1),$F66*AQ$46*Historicals!$S22*INDEX($T$44:$BO$44,,AQ$6-$D66+1)),0)</f>
        <v>0</v>
      </c>
      <c r="AR66" s="46">
        <f t="array" ref="AR66">IFERROR(IF(INDEX(Historicals!$T22:$BO22,,AR$6+$D66*-1)&lt;&gt;"",INDEX(Historicals!$T22:$BO22,,AR$6+$D66*-1),$F66*AR$46*Historicals!$S22*INDEX($T$44:$BO$44,,AR$6-$D66+1)),0)</f>
        <v>0</v>
      </c>
      <c r="AS66" s="46">
        <f t="array" ref="AS66">IFERROR(IF(INDEX(Historicals!$T22:$BO22,,AS$6+$D66*-1)&lt;&gt;"",INDEX(Historicals!$T22:$BO22,,AS$6+$D66*-1),$F66*AS$46*Historicals!$S22*INDEX($T$44:$BO$44,,AS$6-$D66+1)),0)</f>
        <v>0</v>
      </c>
      <c r="AT66" s="46">
        <f t="array" ref="AT66">IFERROR(IF(INDEX(Historicals!$T22:$BO22,,AT$6+$D66*-1)&lt;&gt;"",INDEX(Historicals!$T22:$BO22,,AT$6+$D66*-1),$F66*AT$46*Historicals!$S22*INDEX($T$44:$BO$44,,AT$6-$D66+1)),0)</f>
        <v>0</v>
      </c>
      <c r="AU66" s="46">
        <f t="array" ref="AU66">IFERROR(IF(INDEX(Historicals!$T22:$BO22,,AU$6+$D66*-1)&lt;&gt;"",INDEX(Historicals!$T22:$BO22,,AU$6+$D66*-1),$F66*AU$46*Historicals!$S22*INDEX($T$44:$BO$44,,AU$6-$D66+1)),0)</f>
        <v>0</v>
      </c>
      <c r="AV66" s="46">
        <f t="array" ref="AV66">IFERROR(IF(INDEX(Historicals!$T22:$BO22,,AV$6+$D66*-1)&lt;&gt;"",INDEX(Historicals!$T22:$BO22,,AV$6+$D66*-1),$F66*AV$46*Historicals!$S22*INDEX($T$44:$BO$44,,AV$6-$D66+1)),0)</f>
        <v>0</v>
      </c>
      <c r="AW66" s="46">
        <f t="array" ref="AW66">IFERROR(IF(INDEX(Historicals!$T22:$BO22,,AW$6+$D66*-1)&lt;&gt;"",INDEX(Historicals!$T22:$BO22,,AW$6+$D66*-1),$F66*AW$46*Historicals!$S22*INDEX($T$44:$BO$44,,AW$6-$D66+1)),0)</f>
        <v>0</v>
      </c>
      <c r="AX66" s="46">
        <f t="array" ref="AX66">IFERROR(IF(INDEX(Historicals!$T22:$BO22,,AX$6+$D66*-1)&lt;&gt;"",INDEX(Historicals!$T22:$BO22,,AX$6+$D66*-1),$F66*AX$46*Historicals!$S22*INDEX($T$44:$BO$44,,AX$6-$D66+1)),0)</f>
        <v>0</v>
      </c>
      <c r="AY66" s="46">
        <f t="array" ref="AY66">IFERROR(IF(INDEX(Historicals!$T22:$BO22,,AY$6+$D66*-1)&lt;&gt;"",INDEX(Historicals!$T22:$BO22,,AY$6+$D66*-1),$F66*AY$46*Historicals!$S22*INDEX($T$44:$BO$44,,AY$6-$D66+1)),0)</f>
        <v>0</v>
      </c>
      <c r="AZ66" s="46">
        <f t="array" ref="AZ66">IFERROR(IF(INDEX(Historicals!$T22:$BO22,,AZ$6+$D66*-1)&lt;&gt;"",INDEX(Historicals!$T22:$BO22,,AZ$6+$D66*-1),$F66*AZ$46*Historicals!$S22*INDEX($T$44:$BO$44,,AZ$6-$D66+1)),0)</f>
        <v>0</v>
      </c>
      <c r="BA66" s="46">
        <f t="array" ref="BA66">IFERROR(IF(INDEX(Historicals!$T22:$BO22,,BA$6+$D66*-1)&lt;&gt;"",INDEX(Historicals!$T22:$BO22,,BA$6+$D66*-1),$F66*BA$46*Historicals!$S22*INDEX($T$44:$BO$44,,BA$6-$D66+1)),0)</f>
        <v>0</v>
      </c>
      <c r="BB66" s="46">
        <f t="array" ref="BB66">IFERROR(IF(INDEX(Historicals!$T22:$BO22,,BB$6+$D66*-1)&lt;&gt;"",INDEX(Historicals!$T22:$BO22,,BB$6+$D66*-1),$F66*BB$46*Historicals!$S22*INDEX($T$44:$BO$44,,BB$6-$D66+1)),0)</f>
        <v>0</v>
      </c>
      <c r="BC66" s="46">
        <f t="array" ref="BC66">IFERROR(IF(INDEX(Historicals!$T22:$BO22,,BC$6+$D66*-1)&lt;&gt;"",INDEX(Historicals!$T22:$BO22,,BC$6+$D66*-1),$F66*BC$46*Historicals!$S22*INDEX($T$44:$BO$44,,BC$6-$D66+1)),0)</f>
        <v>0</v>
      </c>
      <c r="BD66" s="46">
        <f t="array" ref="BD66">IFERROR(IF(INDEX(Historicals!$T22:$BO22,,BD$6+$D66*-1)&lt;&gt;"",INDEX(Historicals!$T22:$BO22,,BD$6+$D66*-1),$F66*BD$46*Historicals!$S22*INDEX($T$44:$BO$44,,BD$6-$D66+1)),0)</f>
        <v>0</v>
      </c>
      <c r="BE66" s="46">
        <f t="array" ref="BE66">IFERROR(IF(INDEX(Historicals!$T22:$BO22,,BE$6+$D66*-1)&lt;&gt;"",INDEX(Historicals!$T22:$BO22,,BE$6+$D66*-1),$F66*BE$46*Historicals!$S22*INDEX($T$44:$BO$44,,BE$6-$D66+1)),0)</f>
        <v>0</v>
      </c>
      <c r="BF66" s="46">
        <f t="array" ref="BF66">IFERROR(IF(INDEX(Historicals!$T22:$BO22,,BF$6+$D66*-1)&lt;&gt;"",INDEX(Historicals!$T22:$BO22,,BF$6+$D66*-1),$F66*BF$46*Historicals!$S22*INDEX($T$44:$BO$44,,BF$6-$D66+1)),0)</f>
        <v>0</v>
      </c>
      <c r="BG66" s="46">
        <f t="array" ref="BG66">IFERROR(IF(INDEX(Historicals!$T22:$BO22,,BG$6+$D66*-1)&lt;&gt;"",INDEX(Historicals!$T22:$BO22,,BG$6+$D66*-1),$F66*BG$46*Historicals!$S22*INDEX($T$44:$BO$44,,BG$6-$D66+1)),0)</f>
        <v>0</v>
      </c>
      <c r="BH66" s="46">
        <f t="array" ref="BH66">IFERROR(IF(INDEX(Historicals!$T22:$BO22,,BH$6+$D66*-1)&lt;&gt;"",INDEX(Historicals!$T22:$BO22,,BH$6+$D66*-1),$F66*BH$46*Historicals!$S22*INDEX($T$44:$BO$44,,BH$6-$D66+1)),0)</f>
        <v>0</v>
      </c>
      <c r="BI66" s="46">
        <f t="array" ref="BI66">IFERROR(IF(INDEX(Historicals!$T22:$BO22,,BI$6+$D66*-1)&lt;&gt;"",INDEX(Historicals!$T22:$BO22,,BI$6+$D66*-1),$F66*BI$46*Historicals!$S22*INDEX($T$44:$BO$44,,BI$6-$D66+1)),0)</f>
        <v>0</v>
      </c>
      <c r="BJ66" s="46">
        <f t="array" ref="BJ66">IFERROR(IF(INDEX(Historicals!$T22:$BO22,,BJ$6+$D66*-1)&lt;&gt;"",INDEX(Historicals!$T22:$BO22,,BJ$6+$D66*-1),$F66*BJ$46*Historicals!$S22*INDEX($T$44:$BO$44,,BJ$6-$D66+1)),0)</f>
        <v>0</v>
      </c>
      <c r="BK66" s="46">
        <f t="array" ref="BK66">IFERROR(IF(INDEX(Historicals!$T22:$BO22,,BK$6+$D66*-1)&lt;&gt;"",INDEX(Historicals!$T22:$BO22,,BK$6+$D66*-1),$F66*BK$46*Historicals!$S22*INDEX($T$44:$BO$44,,BK$6-$D66+1)),0)</f>
        <v>0</v>
      </c>
      <c r="BL66" s="46">
        <f t="array" ref="BL66">IFERROR(IF(INDEX(Historicals!$T22:$BO22,,BL$6+$D66*-1)&lt;&gt;"",INDEX(Historicals!$T22:$BO22,,BL$6+$D66*-1),$F66*BL$46*Historicals!$S22*INDEX($T$44:$BO$44,,BL$6-$D66+1)),0)</f>
        <v>0</v>
      </c>
      <c r="BM66" s="46">
        <f t="array" ref="BM66">IFERROR(IF(INDEX(Historicals!$T22:$BO22,,BM$6+$D66*-1)&lt;&gt;"",INDEX(Historicals!$T22:$BO22,,BM$6+$D66*-1),$F66*BM$46*Historicals!$S22*INDEX($T$44:$BO$44,,BM$6-$D66+1)),0)</f>
        <v>0</v>
      </c>
      <c r="BN66" s="46">
        <f t="array" ref="BN66">IFERROR(IF(INDEX(Historicals!$T22:$BO22,,BN$6+$D66*-1)&lt;&gt;"",INDEX(Historicals!$T22:$BO22,,BN$6+$D66*-1),$F66*BN$46*Historicals!$S22*INDEX($T$44:$BO$44,,BN$6-$D66+1)),0)</f>
        <v>0</v>
      </c>
      <c r="BO66" s="46">
        <f t="array" ref="BO66">IFERROR(IF(INDEX(Historicals!$T22:$BO22,,BO$6+$D66*-1)&lt;&gt;"",INDEX(Historicals!$T22:$BO22,,BO$6+$D66*-1),$F66*BO$46*Historicals!$S22*INDEX($T$44:$BO$44,,BO$6-$D66+1)),0)</f>
        <v>0</v>
      </c>
    </row>
    <row r="67" spans="1:67" ht="16.5" hidden="1" customHeight="1" outlineLevel="1">
      <c r="A67" s="1"/>
      <c r="B67" s="55">
        <f t="shared" si="19"/>
        <v>44558</v>
      </c>
      <c r="C67" s="17" t="s">
        <v>104</v>
      </c>
      <c r="D67" s="46">
        <f t="shared" si="20"/>
        <v>-36</v>
      </c>
      <c r="E67" s="16"/>
      <c r="F67" s="51">
        <v>1</v>
      </c>
      <c r="G67" s="16" t="s">
        <v>159</v>
      </c>
      <c r="H67" s="16" t="s">
        <v>155</v>
      </c>
      <c r="I67" s="46">
        <f>IF(H67=Forecast!$H$195,T67,IF(H67=Forecast!$H$196,BO67,IF(H67=Forecast!$H$197,SUM(T67:BO67),IF(H67=Forecast!$H$198,AVERAGE(T67:BO67),0))))</f>
        <v>0</v>
      </c>
      <c r="J67" s="16"/>
      <c r="K67" s="16"/>
      <c r="L67" s="16"/>
      <c r="M67" s="16"/>
      <c r="N67" s="16"/>
      <c r="O67" s="16"/>
      <c r="P67" s="16"/>
      <c r="Q67" s="16"/>
      <c r="R67" s="16"/>
      <c r="S67" s="16"/>
      <c r="T67" s="46">
        <f t="array" ref="T67">IFERROR(IF(INDEX(Historicals!$T23:$BO23,,T$6+$D67*-1)&lt;&gt;"",INDEX(Historicals!$T23:$BO23,,T$6+$D67*-1),$F67*T$46*Historicals!$S23*INDEX($T$44:$BO$44,,T$6-$D67+1)),0)</f>
        <v>0</v>
      </c>
      <c r="U67" s="46">
        <f t="array" ref="U67">IFERROR(IF(INDEX(Historicals!$T23:$BO23,,U$6+$D67*-1)&lt;&gt;"",INDEX(Historicals!$T23:$BO23,,U$6+$D67*-1),$F67*U$46*Historicals!$S23*INDEX($T$44:$BO$44,,U$6-$D67+1)),0)</f>
        <v>0</v>
      </c>
      <c r="V67" s="46">
        <f t="array" ref="V67">IFERROR(IF(INDEX(Historicals!$T23:$BO23,,V$6+$D67*-1)&lt;&gt;"",INDEX(Historicals!$T23:$BO23,,V$6+$D67*-1),$F67*V$46*Historicals!$S23*INDEX($T$44:$BO$44,,V$6-$D67+1)),0)</f>
        <v>0</v>
      </c>
      <c r="W67" s="46">
        <f t="array" ref="W67">IFERROR(IF(INDEX(Historicals!$T23:$BO23,,W$6+$D67*-1)&lt;&gt;"",INDEX(Historicals!$T23:$BO23,,W$6+$D67*-1),$F67*W$46*Historicals!$S23*INDEX($T$44:$BO$44,,W$6-$D67+1)),0)</f>
        <v>0</v>
      </c>
      <c r="X67" s="46">
        <f t="array" ref="X67">IFERROR(IF(INDEX(Historicals!$T23:$BO23,,X$6+$D67*-1)&lt;&gt;"",INDEX(Historicals!$T23:$BO23,,X$6+$D67*-1),$F67*X$46*Historicals!$S23*INDEX($T$44:$BO$44,,X$6-$D67+1)),0)</f>
        <v>0</v>
      </c>
      <c r="Y67" s="46">
        <f t="array" ref="Y67">IFERROR(IF(INDEX(Historicals!$T23:$BO23,,Y$6+$D67*-1)&lt;&gt;"",INDEX(Historicals!$T23:$BO23,,Y$6+$D67*-1),$F67*Y$46*Historicals!$S23*INDEX($T$44:$BO$44,,Y$6-$D67+1)),0)</f>
        <v>0</v>
      </c>
      <c r="Z67" s="46">
        <f t="array" ref="Z67">IFERROR(IF(INDEX(Historicals!$T23:$BO23,,Z$6+$D67*-1)&lt;&gt;"",INDEX(Historicals!$T23:$BO23,,Z$6+$D67*-1),$F67*Z$46*Historicals!$S23*INDEX($T$44:$BO$44,,Z$6-$D67+1)),0)</f>
        <v>0</v>
      </c>
      <c r="AA67" s="46">
        <f t="array" ref="AA67">IFERROR(IF(INDEX(Historicals!$T23:$BO23,,AA$6+$D67*-1)&lt;&gt;"",INDEX(Historicals!$T23:$BO23,,AA$6+$D67*-1),$F67*AA$46*Historicals!$S23*INDEX($T$44:$BO$44,,AA$6-$D67+1)),0)</f>
        <v>0</v>
      </c>
      <c r="AB67" s="46">
        <f t="array" ref="AB67">IFERROR(IF(INDEX(Historicals!$T23:$BO23,,AB$6+$D67*-1)&lt;&gt;"",INDEX(Historicals!$T23:$BO23,,AB$6+$D67*-1),$F67*AB$46*Historicals!$S23*INDEX($T$44:$BO$44,,AB$6-$D67+1)),0)</f>
        <v>0</v>
      </c>
      <c r="AC67" s="46">
        <f t="array" ref="AC67">IFERROR(IF(INDEX(Historicals!$T23:$BO23,,AC$6+$D67*-1)&lt;&gt;"",INDEX(Historicals!$T23:$BO23,,AC$6+$D67*-1),$F67*AC$46*Historicals!$S23*INDEX($T$44:$BO$44,,AC$6-$D67+1)),0)</f>
        <v>0</v>
      </c>
      <c r="AD67" s="46">
        <f t="array" ref="AD67">IFERROR(IF(INDEX(Historicals!$T23:$BO23,,AD$6+$D67*-1)&lt;&gt;"",INDEX(Historicals!$T23:$BO23,,AD$6+$D67*-1),$F67*AD$46*Historicals!$S23*INDEX($T$44:$BO$44,,AD$6-$D67+1)),0)</f>
        <v>0</v>
      </c>
      <c r="AE67" s="46">
        <f t="array" ref="AE67">IFERROR(IF(INDEX(Historicals!$T23:$BO23,,AE$6+$D67*-1)&lt;&gt;"",INDEX(Historicals!$T23:$BO23,,AE$6+$D67*-1),$F67*AE$46*Historicals!$S23*INDEX($T$44:$BO$44,,AE$6-$D67+1)),0)</f>
        <v>0</v>
      </c>
      <c r="AF67" s="46">
        <f t="array" ref="AF67">IFERROR(IF(INDEX(Historicals!$T23:$BO23,,AF$6+$D67*-1)&lt;&gt;"",INDEX(Historicals!$T23:$BO23,,AF$6+$D67*-1),$F67*AF$46*Historicals!$S23*INDEX($T$44:$BO$44,,AF$6-$D67+1)),0)</f>
        <v>0</v>
      </c>
      <c r="AG67" s="46">
        <f t="array" ref="AG67">IFERROR(IF(INDEX(Historicals!$T23:$BO23,,AG$6+$D67*-1)&lt;&gt;"",INDEX(Historicals!$T23:$BO23,,AG$6+$D67*-1),$F67*AG$46*Historicals!$S23*INDEX($T$44:$BO$44,,AG$6-$D67+1)),0)</f>
        <v>0</v>
      </c>
      <c r="AH67" s="46">
        <f t="array" ref="AH67">IFERROR(IF(INDEX(Historicals!$T23:$BO23,,AH$6+$D67*-1)&lt;&gt;"",INDEX(Historicals!$T23:$BO23,,AH$6+$D67*-1),$F67*AH$46*Historicals!$S23*INDEX($T$44:$BO$44,,AH$6-$D67+1)),0)</f>
        <v>0</v>
      </c>
      <c r="AI67" s="46">
        <f t="array" ref="AI67">IFERROR(IF(INDEX(Historicals!$T23:$BO23,,AI$6+$D67*-1)&lt;&gt;"",INDEX(Historicals!$T23:$BO23,,AI$6+$D67*-1),$F67*AI$46*Historicals!$S23*INDEX($T$44:$BO$44,,AI$6-$D67+1)),0)</f>
        <v>0</v>
      </c>
      <c r="AJ67" s="46">
        <f t="array" ref="AJ67">IFERROR(IF(INDEX(Historicals!$T23:$BO23,,AJ$6+$D67*-1)&lt;&gt;"",INDEX(Historicals!$T23:$BO23,,AJ$6+$D67*-1),$F67*AJ$46*Historicals!$S23*INDEX($T$44:$BO$44,,AJ$6-$D67+1)),0)</f>
        <v>0</v>
      </c>
      <c r="AK67" s="46">
        <f t="array" ref="AK67">IFERROR(IF(INDEX(Historicals!$T23:$BO23,,AK$6+$D67*-1)&lt;&gt;"",INDEX(Historicals!$T23:$BO23,,AK$6+$D67*-1),$F67*AK$46*Historicals!$S23*INDEX($T$44:$BO$44,,AK$6-$D67+1)),0)</f>
        <v>0</v>
      </c>
      <c r="AL67" s="46">
        <f t="array" ref="AL67">IFERROR(IF(INDEX(Historicals!$T23:$BO23,,AL$6+$D67*-1)&lt;&gt;"",INDEX(Historicals!$T23:$BO23,,AL$6+$D67*-1),$F67*AL$46*Historicals!$S23*INDEX($T$44:$BO$44,,AL$6-$D67+1)),0)</f>
        <v>0</v>
      </c>
      <c r="AM67" s="46">
        <f t="array" ref="AM67">IFERROR(IF(INDEX(Historicals!$T23:$BO23,,AM$6+$D67*-1)&lt;&gt;"",INDEX(Historicals!$T23:$BO23,,AM$6+$D67*-1),$F67*AM$46*Historicals!$S23*INDEX($T$44:$BO$44,,AM$6-$D67+1)),0)</f>
        <v>0</v>
      </c>
      <c r="AN67" s="46">
        <f t="array" ref="AN67">IFERROR(IF(INDEX(Historicals!$T23:$BO23,,AN$6+$D67*-1)&lt;&gt;"",INDEX(Historicals!$T23:$BO23,,AN$6+$D67*-1),$F67*AN$46*Historicals!$S23*INDEX($T$44:$BO$44,,AN$6-$D67+1)),0)</f>
        <v>0</v>
      </c>
      <c r="AO67" s="46">
        <f t="array" ref="AO67">IFERROR(IF(INDEX(Historicals!$T23:$BO23,,AO$6+$D67*-1)&lt;&gt;"",INDEX(Historicals!$T23:$BO23,,AO$6+$D67*-1),$F67*AO$46*Historicals!$S23*INDEX($T$44:$BO$44,,AO$6-$D67+1)),0)</f>
        <v>0</v>
      </c>
      <c r="AP67" s="46">
        <f t="array" ref="AP67">IFERROR(IF(INDEX(Historicals!$T23:$BO23,,AP$6+$D67*-1)&lt;&gt;"",INDEX(Historicals!$T23:$BO23,,AP$6+$D67*-1),$F67*AP$46*Historicals!$S23*INDEX($T$44:$BO$44,,AP$6-$D67+1)),0)</f>
        <v>0</v>
      </c>
      <c r="AQ67" s="46">
        <f t="array" ref="AQ67">IFERROR(IF(INDEX(Historicals!$T23:$BO23,,AQ$6+$D67*-1)&lt;&gt;"",INDEX(Historicals!$T23:$BO23,,AQ$6+$D67*-1),$F67*AQ$46*Historicals!$S23*INDEX($T$44:$BO$44,,AQ$6-$D67+1)),0)</f>
        <v>0</v>
      </c>
      <c r="AR67" s="46">
        <f t="array" ref="AR67">IFERROR(IF(INDEX(Historicals!$T23:$BO23,,AR$6+$D67*-1)&lt;&gt;"",INDEX(Historicals!$T23:$BO23,,AR$6+$D67*-1),$F67*AR$46*Historicals!$S23*INDEX($T$44:$BO$44,,AR$6-$D67+1)),0)</f>
        <v>0</v>
      </c>
      <c r="AS67" s="46">
        <f t="array" ref="AS67">IFERROR(IF(INDEX(Historicals!$T23:$BO23,,AS$6+$D67*-1)&lt;&gt;"",INDEX(Historicals!$T23:$BO23,,AS$6+$D67*-1),$F67*AS$46*Historicals!$S23*INDEX($T$44:$BO$44,,AS$6-$D67+1)),0)</f>
        <v>0</v>
      </c>
      <c r="AT67" s="46">
        <f t="array" ref="AT67">IFERROR(IF(INDEX(Historicals!$T23:$BO23,,AT$6+$D67*-1)&lt;&gt;"",INDEX(Historicals!$T23:$BO23,,AT$6+$D67*-1),$F67*AT$46*Historicals!$S23*INDEX($T$44:$BO$44,,AT$6-$D67+1)),0)</f>
        <v>0</v>
      </c>
      <c r="AU67" s="46">
        <f t="array" ref="AU67">IFERROR(IF(INDEX(Historicals!$T23:$BO23,,AU$6+$D67*-1)&lt;&gt;"",INDEX(Historicals!$T23:$BO23,,AU$6+$D67*-1),$F67*AU$46*Historicals!$S23*INDEX($T$44:$BO$44,,AU$6-$D67+1)),0)</f>
        <v>0</v>
      </c>
      <c r="AV67" s="46">
        <f t="array" ref="AV67">IFERROR(IF(INDEX(Historicals!$T23:$BO23,,AV$6+$D67*-1)&lt;&gt;"",INDEX(Historicals!$T23:$BO23,,AV$6+$D67*-1),$F67*AV$46*Historicals!$S23*INDEX($T$44:$BO$44,,AV$6-$D67+1)),0)</f>
        <v>0</v>
      </c>
      <c r="AW67" s="46">
        <f t="array" ref="AW67">IFERROR(IF(INDEX(Historicals!$T23:$BO23,,AW$6+$D67*-1)&lt;&gt;"",INDEX(Historicals!$T23:$BO23,,AW$6+$D67*-1),$F67*AW$46*Historicals!$S23*INDEX($T$44:$BO$44,,AW$6-$D67+1)),0)</f>
        <v>0</v>
      </c>
      <c r="AX67" s="46">
        <f t="array" ref="AX67">IFERROR(IF(INDEX(Historicals!$T23:$BO23,,AX$6+$D67*-1)&lt;&gt;"",INDEX(Historicals!$T23:$BO23,,AX$6+$D67*-1),$F67*AX$46*Historicals!$S23*INDEX($T$44:$BO$44,,AX$6-$D67+1)),0)</f>
        <v>0</v>
      </c>
      <c r="AY67" s="46">
        <f t="array" ref="AY67">IFERROR(IF(INDEX(Historicals!$T23:$BO23,,AY$6+$D67*-1)&lt;&gt;"",INDEX(Historicals!$T23:$BO23,,AY$6+$D67*-1),$F67*AY$46*Historicals!$S23*INDEX($T$44:$BO$44,,AY$6-$D67+1)),0)</f>
        <v>0</v>
      </c>
      <c r="AZ67" s="46">
        <f t="array" ref="AZ67">IFERROR(IF(INDEX(Historicals!$T23:$BO23,,AZ$6+$D67*-1)&lt;&gt;"",INDEX(Historicals!$T23:$BO23,,AZ$6+$D67*-1),$F67*AZ$46*Historicals!$S23*INDEX($T$44:$BO$44,,AZ$6-$D67+1)),0)</f>
        <v>0</v>
      </c>
      <c r="BA67" s="46">
        <f t="array" ref="BA67">IFERROR(IF(INDEX(Historicals!$T23:$BO23,,BA$6+$D67*-1)&lt;&gt;"",INDEX(Historicals!$T23:$BO23,,BA$6+$D67*-1),$F67*BA$46*Historicals!$S23*INDEX($T$44:$BO$44,,BA$6-$D67+1)),0)</f>
        <v>0</v>
      </c>
      <c r="BB67" s="46">
        <f t="array" ref="BB67">IFERROR(IF(INDEX(Historicals!$T23:$BO23,,BB$6+$D67*-1)&lt;&gt;"",INDEX(Historicals!$T23:$BO23,,BB$6+$D67*-1),$F67*BB$46*Historicals!$S23*INDEX($T$44:$BO$44,,BB$6-$D67+1)),0)</f>
        <v>0</v>
      </c>
      <c r="BC67" s="46">
        <f t="array" ref="BC67">IFERROR(IF(INDEX(Historicals!$T23:$BO23,,BC$6+$D67*-1)&lt;&gt;"",INDEX(Historicals!$T23:$BO23,,BC$6+$D67*-1),$F67*BC$46*Historicals!$S23*INDEX($T$44:$BO$44,,BC$6-$D67+1)),0)</f>
        <v>0</v>
      </c>
      <c r="BD67" s="46">
        <f t="array" ref="BD67">IFERROR(IF(INDEX(Historicals!$T23:$BO23,,BD$6+$D67*-1)&lt;&gt;"",INDEX(Historicals!$T23:$BO23,,BD$6+$D67*-1),$F67*BD$46*Historicals!$S23*INDEX($T$44:$BO$44,,BD$6-$D67+1)),0)</f>
        <v>0</v>
      </c>
      <c r="BE67" s="46">
        <f t="array" ref="BE67">IFERROR(IF(INDEX(Historicals!$T23:$BO23,,BE$6+$D67*-1)&lt;&gt;"",INDEX(Historicals!$T23:$BO23,,BE$6+$D67*-1),$F67*BE$46*Historicals!$S23*INDEX($T$44:$BO$44,,BE$6-$D67+1)),0)</f>
        <v>0</v>
      </c>
      <c r="BF67" s="46">
        <f t="array" ref="BF67">IFERROR(IF(INDEX(Historicals!$T23:$BO23,,BF$6+$D67*-1)&lt;&gt;"",INDEX(Historicals!$T23:$BO23,,BF$6+$D67*-1),$F67*BF$46*Historicals!$S23*INDEX($T$44:$BO$44,,BF$6-$D67+1)),0)</f>
        <v>0</v>
      </c>
      <c r="BG67" s="46">
        <f t="array" ref="BG67">IFERROR(IF(INDEX(Historicals!$T23:$BO23,,BG$6+$D67*-1)&lt;&gt;"",INDEX(Historicals!$T23:$BO23,,BG$6+$D67*-1),$F67*BG$46*Historicals!$S23*INDEX($T$44:$BO$44,,BG$6-$D67+1)),0)</f>
        <v>0</v>
      </c>
      <c r="BH67" s="46">
        <f t="array" ref="BH67">IFERROR(IF(INDEX(Historicals!$T23:$BO23,,BH$6+$D67*-1)&lt;&gt;"",INDEX(Historicals!$T23:$BO23,,BH$6+$D67*-1),$F67*BH$46*Historicals!$S23*INDEX($T$44:$BO$44,,BH$6-$D67+1)),0)</f>
        <v>0</v>
      </c>
      <c r="BI67" s="46">
        <f t="array" ref="BI67">IFERROR(IF(INDEX(Historicals!$T23:$BO23,,BI$6+$D67*-1)&lt;&gt;"",INDEX(Historicals!$T23:$BO23,,BI$6+$D67*-1),$F67*BI$46*Historicals!$S23*INDEX($T$44:$BO$44,,BI$6-$D67+1)),0)</f>
        <v>0</v>
      </c>
      <c r="BJ67" s="46">
        <f t="array" ref="BJ67">IFERROR(IF(INDEX(Historicals!$T23:$BO23,,BJ$6+$D67*-1)&lt;&gt;"",INDEX(Historicals!$T23:$BO23,,BJ$6+$D67*-1),$F67*BJ$46*Historicals!$S23*INDEX($T$44:$BO$44,,BJ$6-$D67+1)),0)</f>
        <v>0</v>
      </c>
      <c r="BK67" s="46">
        <f t="array" ref="BK67">IFERROR(IF(INDEX(Historicals!$T23:$BO23,,BK$6+$D67*-1)&lt;&gt;"",INDEX(Historicals!$T23:$BO23,,BK$6+$D67*-1),$F67*BK$46*Historicals!$S23*INDEX($T$44:$BO$44,,BK$6-$D67+1)),0)</f>
        <v>0</v>
      </c>
      <c r="BL67" s="46">
        <f t="array" ref="BL67">IFERROR(IF(INDEX(Historicals!$T23:$BO23,,BL$6+$D67*-1)&lt;&gt;"",INDEX(Historicals!$T23:$BO23,,BL$6+$D67*-1),$F67*BL$46*Historicals!$S23*INDEX($T$44:$BO$44,,BL$6-$D67+1)),0)</f>
        <v>0</v>
      </c>
      <c r="BM67" s="46">
        <f t="array" ref="BM67">IFERROR(IF(INDEX(Historicals!$T23:$BO23,,BM$6+$D67*-1)&lt;&gt;"",INDEX(Historicals!$T23:$BO23,,BM$6+$D67*-1),$F67*BM$46*Historicals!$S23*INDEX($T$44:$BO$44,,BM$6-$D67+1)),0)</f>
        <v>0</v>
      </c>
      <c r="BN67" s="46">
        <f t="array" ref="BN67">IFERROR(IF(INDEX(Historicals!$T23:$BO23,,BN$6+$D67*-1)&lt;&gt;"",INDEX(Historicals!$T23:$BO23,,BN$6+$D67*-1),$F67*BN$46*Historicals!$S23*INDEX($T$44:$BO$44,,BN$6-$D67+1)),0)</f>
        <v>0</v>
      </c>
      <c r="BO67" s="46">
        <f t="array" ref="BO67">IFERROR(IF(INDEX(Historicals!$T23:$BO23,,BO$6+$D67*-1)&lt;&gt;"",INDEX(Historicals!$T23:$BO23,,BO$6+$D67*-1),$F67*BO$46*Historicals!$S23*INDEX($T$44:$BO$44,,BO$6-$D67+1)),0)</f>
        <v>0</v>
      </c>
    </row>
    <row r="68" spans="1:67" ht="16.5" hidden="1" customHeight="1" outlineLevel="1">
      <c r="A68" s="1"/>
      <c r="B68" s="55">
        <f t="shared" si="19"/>
        <v>44589</v>
      </c>
      <c r="C68" s="17" t="s">
        <v>104</v>
      </c>
      <c r="D68" s="46">
        <f t="shared" si="20"/>
        <v>-35</v>
      </c>
      <c r="E68" s="16"/>
      <c r="F68" s="51">
        <v>1</v>
      </c>
      <c r="G68" s="16" t="s">
        <v>159</v>
      </c>
      <c r="H68" s="16" t="s">
        <v>155</v>
      </c>
      <c r="I68" s="46">
        <f>IF(H68=Forecast!$H$195,T68,IF(H68=Forecast!$H$196,BO68,IF(H68=Forecast!$H$197,SUM(T68:BO68),IF(H68=Forecast!$H$198,AVERAGE(T68:BO68),0))))</f>
        <v>0</v>
      </c>
      <c r="J68" s="16"/>
      <c r="K68" s="16"/>
      <c r="L68" s="16"/>
      <c r="M68" s="16"/>
      <c r="N68" s="16"/>
      <c r="O68" s="16"/>
      <c r="P68" s="16"/>
      <c r="Q68" s="16"/>
      <c r="R68" s="16"/>
      <c r="S68" s="16"/>
      <c r="T68" s="46">
        <f t="array" ref="T68">IFERROR(IF(INDEX(Historicals!$T24:$BO24,,T$6+$D68*-1)&lt;&gt;"",INDEX(Historicals!$T24:$BO24,,T$6+$D68*-1),$F68*T$46*Historicals!$S24*INDEX($T$44:$BO$44,,T$6-$D68+1)),0)</f>
        <v>0</v>
      </c>
      <c r="U68" s="46">
        <f t="array" ref="U68">IFERROR(IF(INDEX(Historicals!$T24:$BO24,,U$6+$D68*-1)&lt;&gt;"",INDEX(Historicals!$T24:$BO24,,U$6+$D68*-1),$F68*U$46*Historicals!$S24*INDEX($T$44:$BO$44,,U$6-$D68+1)),0)</f>
        <v>0</v>
      </c>
      <c r="V68" s="46">
        <f t="array" ref="V68">IFERROR(IF(INDEX(Historicals!$T24:$BO24,,V$6+$D68*-1)&lt;&gt;"",INDEX(Historicals!$T24:$BO24,,V$6+$D68*-1),$F68*V$46*Historicals!$S24*INDEX($T$44:$BO$44,,V$6-$D68+1)),0)</f>
        <v>0</v>
      </c>
      <c r="W68" s="46">
        <f t="array" ref="W68">IFERROR(IF(INDEX(Historicals!$T24:$BO24,,W$6+$D68*-1)&lt;&gt;"",INDEX(Historicals!$T24:$BO24,,W$6+$D68*-1),$F68*W$46*Historicals!$S24*INDEX($T$44:$BO$44,,W$6-$D68+1)),0)</f>
        <v>0</v>
      </c>
      <c r="X68" s="46">
        <f t="array" ref="X68">IFERROR(IF(INDEX(Historicals!$T24:$BO24,,X$6+$D68*-1)&lt;&gt;"",INDEX(Historicals!$T24:$BO24,,X$6+$D68*-1),$F68*X$46*Historicals!$S24*INDEX($T$44:$BO$44,,X$6-$D68+1)),0)</f>
        <v>0</v>
      </c>
      <c r="Y68" s="46">
        <f t="array" ref="Y68">IFERROR(IF(INDEX(Historicals!$T24:$BO24,,Y$6+$D68*-1)&lt;&gt;"",INDEX(Historicals!$T24:$BO24,,Y$6+$D68*-1),$F68*Y$46*Historicals!$S24*INDEX($T$44:$BO$44,,Y$6-$D68+1)),0)</f>
        <v>0</v>
      </c>
      <c r="Z68" s="46">
        <f t="array" ref="Z68">IFERROR(IF(INDEX(Historicals!$T24:$BO24,,Z$6+$D68*-1)&lt;&gt;"",INDEX(Historicals!$T24:$BO24,,Z$6+$D68*-1),$F68*Z$46*Historicals!$S24*INDEX($T$44:$BO$44,,Z$6-$D68+1)),0)</f>
        <v>0</v>
      </c>
      <c r="AA68" s="46">
        <f t="array" ref="AA68">IFERROR(IF(INDEX(Historicals!$T24:$BO24,,AA$6+$D68*-1)&lt;&gt;"",INDEX(Historicals!$T24:$BO24,,AA$6+$D68*-1),$F68*AA$46*Historicals!$S24*INDEX($T$44:$BO$44,,AA$6-$D68+1)),0)</f>
        <v>0</v>
      </c>
      <c r="AB68" s="46">
        <f t="array" ref="AB68">IFERROR(IF(INDEX(Historicals!$T24:$BO24,,AB$6+$D68*-1)&lt;&gt;"",INDEX(Historicals!$T24:$BO24,,AB$6+$D68*-1),$F68*AB$46*Historicals!$S24*INDEX($T$44:$BO$44,,AB$6-$D68+1)),0)</f>
        <v>0</v>
      </c>
      <c r="AC68" s="46">
        <f t="array" ref="AC68">IFERROR(IF(INDEX(Historicals!$T24:$BO24,,AC$6+$D68*-1)&lt;&gt;"",INDEX(Historicals!$T24:$BO24,,AC$6+$D68*-1),$F68*AC$46*Historicals!$S24*INDEX($T$44:$BO$44,,AC$6-$D68+1)),0)</f>
        <v>0</v>
      </c>
      <c r="AD68" s="46">
        <f t="array" ref="AD68">IFERROR(IF(INDEX(Historicals!$T24:$BO24,,AD$6+$D68*-1)&lt;&gt;"",INDEX(Historicals!$T24:$BO24,,AD$6+$D68*-1),$F68*AD$46*Historicals!$S24*INDEX($T$44:$BO$44,,AD$6-$D68+1)),0)</f>
        <v>0</v>
      </c>
      <c r="AE68" s="46">
        <f t="array" ref="AE68">IFERROR(IF(INDEX(Historicals!$T24:$BO24,,AE$6+$D68*-1)&lt;&gt;"",INDEX(Historicals!$T24:$BO24,,AE$6+$D68*-1),$F68*AE$46*Historicals!$S24*INDEX($T$44:$BO$44,,AE$6-$D68+1)),0)</f>
        <v>0</v>
      </c>
      <c r="AF68" s="46">
        <f t="array" ref="AF68">IFERROR(IF(INDEX(Historicals!$T24:$BO24,,AF$6+$D68*-1)&lt;&gt;"",INDEX(Historicals!$T24:$BO24,,AF$6+$D68*-1),$F68*AF$46*Historicals!$S24*INDEX($T$44:$BO$44,,AF$6-$D68+1)),0)</f>
        <v>0</v>
      </c>
      <c r="AG68" s="46">
        <f t="array" ref="AG68">IFERROR(IF(INDEX(Historicals!$T24:$BO24,,AG$6+$D68*-1)&lt;&gt;"",INDEX(Historicals!$T24:$BO24,,AG$6+$D68*-1),$F68*AG$46*Historicals!$S24*INDEX($T$44:$BO$44,,AG$6-$D68+1)),0)</f>
        <v>0</v>
      </c>
      <c r="AH68" s="46">
        <f t="array" ref="AH68">IFERROR(IF(INDEX(Historicals!$T24:$BO24,,AH$6+$D68*-1)&lt;&gt;"",INDEX(Historicals!$T24:$BO24,,AH$6+$D68*-1),$F68*AH$46*Historicals!$S24*INDEX($T$44:$BO$44,,AH$6-$D68+1)),0)</f>
        <v>0</v>
      </c>
      <c r="AI68" s="46">
        <f t="array" ref="AI68">IFERROR(IF(INDEX(Historicals!$T24:$BO24,,AI$6+$D68*-1)&lt;&gt;"",INDEX(Historicals!$T24:$BO24,,AI$6+$D68*-1),$F68*AI$46*Historicals!$S24*INDEX($T$44:$BO$44,,AI$6-$D68+1)),0)</f>
        <v>0</v>
      </c>
      <c r="AJ68" s="46">
        <f t="array" ref="AJ68">IFERROR(IF(INDEX(Historicals!$T24:$BO24,,AJ$6+$D68*-1)&lt;&gt;"",INDEX(Historicals!$T24:$BO24,,AJ$6+$D68*-1),$F68*AJ$46*Historicals!$S24*INDEX($T$44:$BO$44,,AJ$6-$D68+1)),0)</f>
        <v>0</v>
      </c>
      <c r="AK68" s="46">
        <f t="array" ref="AK68">IFERROR(IF(INDEX(Historicals!$T24:$BO24,,AK$6+$D68*-1)&lt;&gt;"",INDEX(Historicals!$T24:$BO24,,AK$6+$D68*-1),$F68*AK$46*Historicals!$S24*INDEX($T$44:$BO$44,,AK$6-$D68+1)),0)</f>
        <v>0</v>
      </c>
      <c r="AL68" s="46">
        <f t="array" ref="AL68">IFERROR(IF(INDEX(Historicals!$T24:$BO24,,AL$6+$D68*-1)&lt;&gt;"",INDEX(Historicals!$T24:$BO24,,AL$6+$D68*-1),$F68*AL$46*Historicals!$S24*INDEX($T$44:$BO$44,,AL$6-$D68+1)),0)</f>
        <v>0</v>
      </c>
      <c r="AM68" s="46">
        <f t="array" ref="AM68">IFERROR(IF(INDEX(Historicals!$T24:$BO24,,AM$6+$D68*-1)&lt;&gt;"",INDEX(Historicals!$T24:$BO24,,AM$6+$D68*-1),$F68*AM$46*Historicals!$S24*INDEX($T$44:$BO$44,,AM$6-$D68+1)),0)</f>
        <v>0</v>
      </c>
      <c r="AN68" s="46">
        <f t="array" ref="AN68">IFERROR(IF(INDEX(Historicals!$T24:$BO24,,AN$6+$D68*-1)&lt;&gt;"",INDEX(Historicals!$T24:$BO24,,AN$6+$D68*-1),$F68*AN$46*Historicals!$S24*INDEX($T$44:$BO$44,,AN$6-$D68+1)),0)</f>
        <v>0</v>
      </c>
      <c r="AO68" s="46">
        <f t="array" ref="AO68">IFERROR(IF(INDEX(Historicals!$T24:$BO24,,AO$6+$D68*-1)&lt;&gt;"",INDEX(Historicals!$T24:$BO24,,AO$6+$D68*-1),$F68*AO$46*Historicals!$S24*INDEX($T$44:$BO$44,,AO$6-$D68+1)),0)</f>
        <v>0</v>
      </c>
      <c r="AP68" s="46">
        <f t="array" ref="AP68">IFERROR(IF(INDEX(Historicals!$T24:$BO24,,AP$6+$D68*-1)&lt;&gt;"",INDEX(Historicals!$T24:$BO24,,AP$6+$D68*-1),$F68*AP$46*Historicals!$S24*INDEX($T$44:$BO$44,,AP$6-$D68+1)),0)</f>
        <v>0</v>
      </c>
      <c r="AQ68" s="46">
        <f t="array" ref="AQ68">IFERROR(IF(INDEX(Historicals!$T24:$BO24,,AQ$6+$D68*-1)&lt;&gt;"",INDEX(Historicals!$T24:$BO24,,AQ$6+$D68*-1),$F68*AQ$46*Historicals!$S24*INDEX($T$44:$BO$44,,AQ$6-$D68+1)),0)</f>
        <v>0</v>
      </c>
      <c r="AR68" s="46">
        <f t="array" ref="AR68">IFERROR(IF(INDEX(Historicals!$T24:$BO24,,AR$6+$D68*-1)&lt;&gt;"",INDEX(Historicals!$T24:$BO24,,AR$6+$D68*-1),$F68*AR$46*Historicals!$S24*INDEX($T$44:$BO$44,,AR$6-$D68+1)),0)</f>
        <v>0</v>
      </c>
      <c r="AS68" s="46">
        <f t="array" ref="AS68">IFERROR(IF(INDEX(Historicals!$T24:$BO24,,AS$6+$D68*-1)&lt;&gt;"",INDEX(Historicals!$T24:$BO24,,AS$6+$D68*-1),$F68*AS$46*Historicals!$S24*INDEX($T$44:$BO$44,,AS$6-$D68+1)),0)</f>
        <v>0</v>
      </c>
      <c r="AT68" s="46">
        <f t="array" ref="AT68">IFERROR(IF(INDEX(Historicals!$T24:$BO24,,AT$6+$D68*-1)&lt;&gt;"",INDEX(Historicals!$T24:$BO24,,AT$6+$D68*-1),$F68*AT$46*Historicals!$S24*INDEX($T$44:$BO$44,,AT$6-$D68+1)),0)</f>
        <v>0</v>
      </c>
      <c r="AU68" s="46">
        <f t="array" ref="AU68">IFERROR(IF(INDEX(Historicals!$T24:$BO24,,AU$6+$D68*-1)&lt;&gt;"",INDEX(Historicals!$T24:$BO24,,AU$6+$D68*-1),$F68*AU$46*Historicals!$S24*INDEX($T$44:$BO$44,,AU$6-$D68+1)),0)</f>
        <v>0</v>
      </c>
      <c r="AV68" s="46">
        <f t="array" ref="AV68">IFERROR(IF(INDEX(Historicals!$T24:$BO24,,AV$6+$D68*-1)&lt;&gt;"",INDEX(Historicals!$T24:$BO24,,AV$6+$D68*-1),$F68*AV$46*Historicals!$S24*INDEX($T$44:$BO$44,,AV$6-$D68+1)),0)</f>
        <v>0</v>
      </c>
      <c r="AW68" s="46">
        <f t="array" ref="AW68">IFERROR(IF(INDEX(Historicals!$T24:$BO24,,AW$6+$D68*-1)&lt;&gt;"",INDEX(Historicals!$T24:$BO24,,AW$6+$D68*-1),$F68*AW$46*Historicals!$S24*INDEX($T$44:$BO$44,,AW$6-$D68+1)),0)</f>
        <v>0</v>
      </c>
      <c r="AX68" s="46">
        <f t="array" ref="AX68">IFERROR(IF(INDEX(Historicals!$T24:$BO24,,AX$6+$D68*-1)&lt;&gt;"",INDEX(Historicals!$T24:$BO24,,AX$6+$D68*-1),$F68*AX$46*Historicals!$S24*INDEX($T$44:$BO$44,,AX$6-$D68+1)),0)</f>
        <v>0</v>
      </c>
      <c r="AY68" s="46">
        <f t="array" ref="AY68">IFERROR(IF(INDEX(Historicals!$T24:$BO24,,AY$6+$D68*-1)&lt;&gt;"",INDEX(Historicals!$T24:$BO24,,AY$6+$D68*-1),$F68*AY$46*Historicals!$S24*INDEX($T$44:$BO$44,,AY$6-$D68+1)),0)</f>
        <v>0</v>
      </c>
      <c r="AZ68" s="46">
        <f t="array" ref="AZ68">IFERROR(IF(INDEX(Historicals!$T24:$BO24,,AZ$6+$D68*-1)&lt;&gt;"",INDEX(Historicals!$T24:$BO24,,AZ$6+$D68*-1),$F68*AZ$46*Historicals!$S24*INDEX($T$44:$BO$44,,AZ$6-$D68+1)),0)</f>
        <v>0</v>
      </c>
      <c r="BA68" s="46">
        <f t="array" ref="BA68">IFERROR(IF(INDEX(Historicals!$T24:$BO24,,BA$6+$D68*-1)&lt;&gt;"",INDEX(Historicals!$T24:$BO24,,BA$6+$D68*-1),$F68*BA$46*Historicals!$S24*INDEX($T$44:$BO$44,,BA$6-$D68+1)),0)</f>
        <v>0</v>
      </c>
      <c r="BB68" s="46">
        <f t="array" ref="BB68">IFERROR(IF(INDEX(Historicals!$T24:$BO24,,BB$6+$D68*-1)&lt;&gt;"",INDEX(Historicals!$T24:$BO24,,BB$6+$D68*-1),$F68*BB$46*Historicals!$S24*INDEX($T$44:$BO$44,,BB$6-$D68+1)),0)</f>
        <v>0</v>
      </c>
      <c r="BC68" s="46">
        <f t="array" ref="BC68">IFERROR(IF(INDEX(Historicals!$T24:$BO24,,BC$6+$D68*-1)&lt;&gt;"",INDEX(Historicals!$T24:$BO24,,BC$6+$D68*-1),$F68*BC$46*Historicals!$S24*INDEX($T$44:$BO$44,,BC$6-$D68+1)),0)</f>
        <v>0</v>
      </c>
      <c r="BD68" s="46">
        <f t="array" ref="BD68">IFERROR(IF(INDEX(Historicals!$T24:$BO24,,BD$6+$D68*-1)&lt;&gt;"",INDEX(Historicals!$T24:$BO24,,BD$6+$D68*-1),$F68*BD$46*Historicals!$S24*INDEX($T$44:$BO$44,,BD$6-$D68+1)),0)</f>
        <v>0</v>
      </c>
      <c r="BE68" s="46">
        <f t="array" ref="BE68">IFERROR(IF(INDEX(Historicals!$T24:$BO24,,BE$6+$D68*-1)&lt;&gt;"",INDEX(Historicals!$T24:$BO24,,BE$6+$D68*-1),$F68*BE$46*Historicals!$S24*INDEX($T$44:$BO$44,,BE$6-$D68+1)),0)</f>
        <v>0</v>
      </c>
      <c r="BF68" s="46">
        <f t="array" ref="BF68">IFERROR(IF(INDEX(Historicals!$T24:$BO24,,BF$6+$D68*-1)&lt;&gt;"",INDEX(Historicals!$T24:$BO24,,BF$6+$D68*-1),$F68*BF$46*Historicals!$S24*INDEX($T$44:$BO$44,,BF$6-$D68+1)),0)</f>
        <v>0</v>
      </c>
      <c r="BG68" s="46">
        <f t="array" ref="BG68">IFERROR(IF(INDEX(Historicals!$T24:$BO24,,BG$6+$D68*-1)&lt;&gt;"",INDEX(Historicals!$T24:$BO24,,BG$6+$D68*-1),$F68*BG$46*Historicals!$S24*INDEX($T$44:$BO$44,,BG$6-$D68+1)),0)</f>
        <v>0</v>
      </c>
      <c r="BH68" s="46">
        <f t="array" ref="BH68">IFERROR(IF(INDEX(Historicals!$T24:$BO24,,BH$6+$D68*-1)&lt;&gt;"",INDEX(Historicals!$T24:$BO24,,BH$6+$D68*-1),$F68*BH$46*Historicals!$S24*INDEX($T$44:$BO$44,,BH$6-$D68+1)),0)</f>
        <v>0</v>
      </c>
      <c r="BI68" s="46">
        <f t="array" ref="BI68">IFERROR(IF(INDEX(Historicals!$T24:$BO24,,BI$6+$D68*-1)&lt;&gt;"",INDEX(Historicals!$T24:$BO24,,BI$6+$D68*-1),$F68*BI$46*Historicals!$S24*INDEX($T$44:$BO$44,,BI$6-$D68+1)),0)</f>
        <v>0</v>
      </c>
      <c r="BJ68" s="46">
        <f t="array" ref="BJ68">IFERROR(IF(INDEX(Historicals!$T24:$BO24,,BJ$6+$D68*-1)&lt;&gt;"",INDEX(Historicals!$T24:$BO24,,BJ$6+$D68*-1),$F68*BJ$46*Historicals!$S24*INDEX($T$44:$BO$44,,BJ$6-$D68+1)),0)</f>
        <v>0</v>
      </c>
      <c r="BK68" s="46">
        <f t="array" ref="BK68">IFERROR(IF(INDEX(Historicals!$T24:$BO24,,BK$6+$D68*-1)&lt;&gt;"",INDEX(Historicals!$T24:$BO24,,BK$6+$D68*-1),$F68*BK$46*Historicals!$S24*INDEX($T$44:$BO$44,,BK$6-$D68+1)),0)</f>
        <v>0</v>
      </c>
      <c r="BL68" s="46">
        <f t="array" ref="BL68">IFERROR(IF(INDEX(Historicals!$T24:$BO24,,BL$6+$D68*-1)&lt;&gt;"",INDEX(Historicals!$T24:$BO24,,BL$6+$D68*-1),$F68*BL$46*Historicals!$S24*INDEX($T$44:$BO$44,,BL$6-$D68+1)),0)</f>
        <v>0</v>
      </c>
      <c r="BM68" s="46">
        <f t="array" ref="BM68">IFERROR(IF(INDEX(Historicals!$T24:$BO24,,BM$6+$D68*-1)&lt;&gt;"",INDEX(Historicals!$T24:$BO24,,BM$6+$D68*-1),$F68*BM$46*Historicals!$S24*INDEX($T$44:$BO$44,,BM$6-$D68+1)),0)</f>
        <v>0</v>
      </c>
      <c r="BN68" s="46">
        <f t="array" ref="BN68">IFERROR(IF(INDEX(Historicals!$T24:$BO24,,BN$6+$D68*-1)&lt;&gt;"",INDEX(Historicals!$T24:$BO24,,BN$6+$D68*-1),$F68*BN$46*Historicals!$S24*INDEX($T$44:$BO$44,,BN$6-$D68+1)),0)</f>
        <v>0</v>
      </c>
      <c r="BO68" s="46">
        <f t="array" ref="BO68">IFERROR(IF(INDEX(Historicals!$T24:$BO24,,BO$6+$D68*-1)&lt;&gt;"",INDEX(Historicals!$T24:$BO24,,BO$6+$D68*-1),$F68*BO$46*Historicals!$S24*INDEX($T$44:$BO$44,,BO$6-$D68+1)),0)</f>
        <v>0</v>
      </c>
    </row>
    <row r="69" spans="1:67" ht="16.5" hidden="1" customHeight="1" outlineLevel="1">
      <c r="A69" s="1"/>
      <c r="B69" s="55">
        <f t="shared" si="19"/>
        <v>44620</v>
      </c>
      <c r="C69" s="17" t="s">
        <v>104</v>
      </c>
      <c r="D69" s="46">
        <f t="shared" si="20"/>
        <v>-34</v>
      </c>
      <c r="E69" s="16"/>
      <c r="F69" s="51">
        <v>1</v>
      </c>
      <c r="G69" s="16" t="s">
        <v>159</v>
      </c>
      <c r="H69" s="16" t="s">
        <v>155</v>
      </c>
      <c r="I69" s="46">
        <f>IF(H69=Forecast!$H$195,T69,IF(H69=Forecast!$H$196,BO69,IF(H69=Forecast!$H$197,SUM(T69:BO69),IF(H69=Forecast!$H$198,AVERAGE(T69:BO69),0))))</f>
        <v>0</v>
      </c>
      <c r="J69" s="16"/>
      <c r="K69" s="16"/>
      <c r="L69" s="16"/>
      <c r="M69" s="16"/>
      <c r="N69" s="16"/>
      <c r="O69" s="16"/>
      <c r="P69" s="16"/>
      <c r="Q69" s="16"/>
      <c r="R69" s="16"/>
      <c r="S69" s="16"/>
      <c r="T69" s="46">
        <f t="array" ref="T69">IFERROR(IF(INDEX(Historicals!$T25:$BO25,,T$6+$D69*-1)&lt;&gt;"",INDEX(Historicals!$T25:$BO25,,T$6+$D69*-1),$F69*T$46*Historicals!$S25*INDEX($T$44:$BO$44,,T$6-$D69+1)),0)</f>
        <v>0</v>
      </c>
      <c r="U69" s="46">
        <f t="array" ref="U69">IFERROR(IF(INDEX(Historicals!$T25:$BO25,,U$6+$D69*-1)&lt;&gt;"",INDEX(Historicals!$T25:$BO25,,U$6+$D69*-1),$F69*U$46*Historicals!$S25*INDEX($T$44:$BO$44,,U$6-$D69+1)),0)</f>
        <v>0</v>
      </c>
      <c r="V69" s="46">
        <f t="array" ref="V69">IFERROR(IF(INDEX(Historicals!$T25:$BO25,,V$6+$D69*-1)&lt;&gt;"",INDEX(Historicals!$T25:$BO25,,V$6+$D69*-1),$F69*V$46*Historicals!$S25*INDEX($T$44:$BO$44,,V$6-$D69+1)),0)</f>
        <v>0</v>
      </c>
      <c r="W69" s="46">
        <f t="array" ref="W69">IFERROR(IF(INDEX(Historicals!$T25:$BO25,,W$6+$D69*-1)&lt;&gt;"",INDEX(Historicals!$T25:$BO25,,W$6+$D69*-1),$F69*W$46*Historicals!$S25*INDEX($T$44:$BO$44,,W$6-$D69+1)),0)</f>
        <v>0</v>
      </c>
      <c r="X69" s="46">
        <f t="array" ref="X69">IFERROR(IF(INDEX(Historicals!$T25:$BO25,,X$6+$D69*-1)&lt;&gt;"",INDEX(Historicals!$T25:$BO25,,X$6+$D69*-1),$F69*X$46*Historicals!$S25*INDEX($T$44:$BO$44,,X$6-$D69+1)),0)</f>
        <v>0</v>
      </c>
      <c r="Y69" s="46">
        <f t="array" ref="Y69">IFERROR(IF(INDEX(Historicals!$T25:$BO25,,Y$6+$D69*-1)&lt;&gt;"",INDEX(Historicals!$T25:$BO25,,Y$6+$D69*-1),$F69*Y$46*Historicals!$S25*INDEX($T$44:$BO$44,,Y$6-$D69+1)),0)</f>
        <v>0</v>
      </c>
      <c r="Z69" s="46">
        <f t="array" ref="Z69">IFERROR(IF(INDEX(Historicals!$T25:$BO25,,Z$6+$D69*-1)&lt;&gt;"",INDEX(Historicals!$T25:$BO25,,Z$6+$D69*-1),$F69*Z$46*Historicals!$S25*INDEX($T$44:$BO$44,,Z$6-$D69+1)),0)</f>
        <v>0</v>
      </c>
      <c r="AA69" s="46">
        <f t="array" ref="AA69">IFERROR(IF(INDEX(Historicals!$T25:$BO25,,AA$6+$D69*-1)&lt;&gt;"",INDEX(Historicals!$T25:$BO25,,AA$6+$D69*-1),$F69*AA$46*Historicals!$S25*INDEX($T$44:$BO$44,,AA$6-$D69+1)),0)</f>
        <v>0</v>
      </c>
      <c r="AB69" s="46">
        <f t="array" ref="AB69">IFERROR(IF(INDEX(Historicals!$T25:$BO25,,AB$6+$D69*-1)&lt;&gt;"",INDEX(Historicals!$T25:$BO25,,AB$6+$D69*-1),$F69*AB$46*Historicals!$S25*INDEX($T$44:$BO$44,,AB$6-$D69+1)),0)</f>
        <v>0</v>
      </c>
      <c r="AC69" s="46">
        <f t="array" ref="AC69">IFERROR(IF(INDEX(Historicals!$T25:$BO25,,AC$6+$D69*-1)&lt;&gt;"",INDEX(Historicals!$T25:$BO25,,AC$6+$D69*-1),$F69*AC$46*Historicals!$S25*INDEX($T$44:$BO$44,,AC$6-$D69+1)),0)</f>
        <v>0</v>
      </c>
      <c r="AD69" s="46">
        <f t="array" ref="AD69">IFERROR(IF(INDEX(Historicals!$T25:$BO25,,AD$6+$D69*-1)&lt;&gt;"",INDEX(Historicals!$T25:$BO25,,AD$6+$D69*-1),$F69*AD$46*Historicals!$S25*INDEX($T$44:$BO$44,,AD$6-$D69+1)),0)</f>
        <v>0</v>
      </c>
      <c r="AE69" s="46">
        <f t="array" ref="AE69">IFERROR(IF(INDEX(Historicals!$T25:$BO25,,AE$6+$D69*-1)&lt;&gt;"",INDEX(Historicals!$T25:$BO25,,AE$6+$D69*-1),$F69*AE$46*Historicals!$S25*INDEX($T$44:$BO$44,,AE$6-$D69+1)),0)</f>
        <v>0</v>
      </c>
      <c r="AF69" s="46">
        <f t="array" ref="AF69">IFERROR(IF(INDEX(Historicals!$T25:$BO25,,AF$6+$D69*-1)&lt;&gt;"",INDEX(Historicals!$T25:$BO25,,AF$6+$D69*-1),$F69*AF$46*Historicals!$S25*INDEX($T$44:$BO$44,,AF$6-$D69+1)),0)</f>
        <v>0</v>
      </c>
      <c r="AG69" s="46">
        <f t="array" ref="AG69">IFERROR(IF(INDEX(Historicals!$T25:$BO25,,AG$6+$D69*-1)&lt;&gt;"",INDEX(Historicals!$T25:$BO25,,AG$6+$D69*-1),$F69*AG$46*Historicals!$S25*INDEX($T$44:$BO$44,,AG$6-$D69+1)),0)</f>
        <v>0</v>
      </c>
      <c r="AH69" s="46">
        <f t="array" ref="AH69">IFERROR(IF(INDEX(Historicals!$T25:$BO25,,AH$6+$D69*-1)&lt;&gt;"",INDEX(Historicals!$T25:$BO25,,AH$6+$D69*-1),$F69*AH$46*Historicals!$S25*INDEX($T$44:$BO$44,,AH$6-$D69+1)),0)</f>
        <v>0</v>
      </c>
      <c r="AI69" s="46">
        <f t="array" ref="AI69">IFERROR(IF(INDEX(Historicals!$T25:$BO25,,AI$6+$D69*-1)&lt;&gt;"",INDEX(Historicals!$T25:$BO25,,AI$6+$D69*-1),$F69*AI$46*Historicals!$S25*INDEX($T$44:$BO$44,,AI$6-$D69+1)),0)</f>
        <v>0</v>
      </c>
      <c r="AJ69" s="46">
        <f t="array" ref="AJ69">IFERROR(IF(INDEX(Historicals!$T25:$BO25,,AJ$6+$D69*-1)&lt;&gt;"",INDEX(Historicals!$T25:$BO25,,AJ$6+$D69*-1),$F69*AJ$46*Historicals!$S25*INDEX($T$44:$BO$44,,AJ$6-$D69+1)),0)</f>
        <v>0</v>
      </c>
      <c r="AK69" s="46">
        <f t="array" ref="AK69">IFERROR(IF(INDEX(Historicals!$T25:$BO25,,AK$6+$D69*-1)&lt;&gt;"",INDEX(Historicals!$T25:$BO25,,AK$6+$D69*-1),$F69*AK$46*Historicals!$S25*INDEX($T$44:$BO$44,,AK$6-$D69+1)),0)</f>
        <v>0</v>
      </c>
      <c r="AL69" s="46">
        <f t="array" ref="AL69">IFERROR(IF(INDEX(Historicals!$T25:$BO25,,AL$6+$D69*-1)&lt;&gt;"",INDEX(Historicals!$T25:$BO25,,AL$6+$D69*-1),$F69*AL$46*Historicals!$S25*INDEX($T$44:$BO$44,,AL$6-$D69+1)),0)</f>
        <v>0</v>
      </c>
      <c r="AM69" s="46">
        <f t="array" ref="AM69">IFERROR(IF(INDEX(Historicals!$T25:$BO25,,AM$6+$D69*-1)&lt;&gt;"",INDEX(Historicals!$T25:$BO25,,AM$6+$D69*-1),$F69*AM$46*Historicals!$S25*INDEX($T$44:$BO$44,,AM$6-$D69+1)),0)</f>
        <v>0</v>
      </c>
      <c r="AN69" s="46">
        <f t="array" ref="AN69">IFERROR(IF(INDEX(Historicals!$T25:$BO25,,AN$6+$D69*-1)&lt;&gt;"",INDEX(Historicals!$T25:$BO25,,AN$6+$D69*-1),$F69*AN$46*Historicals!$S25*INDEX($T$44:$BO$44,,AN$6-$D69+1)),0)</f>
        <v>0</v>
      </c>
      <c r="AO69" s="46">
        <f t="array" ref="AO69">IFERROR(IF(INDEX(Historicals!$T25:$BO25,,AO$6+$D69*-1)&lt;&gt;"",INDEX(Historicals!$T25:$BO25,,AO$6+$D69*-1),$F69*AO$46*Historicals!$S25*INDEX($T$44:$BO$44,,AO$6-$D69+1)),0)</f>
        <v>0</v>
      </c>
      <c r="AP69" s="46">
        <f t="array" ref="AP69">IFERROR(IF(INDEX(Historicals!$T25:$BO25,,AP$6+$D69*-1)&lt;&gt;"",INDEX(Historicals!$T25:$BO25,,AP$6+$D69*-1),$F69*AP$46*Historicals!$S25*INDEX($T$44:$BO$44,,AP$6-$D69+1)),0)</f>
        <v>0</v>
      </c>
      <c r="AQ69" s="46">
        <f t="array" ref="AQ69">IFERROR(IF(INDEX(Historicals!$T25:$BO25,,AQ$6+$D69*-1)&lt;&gt;"",INDEX(Historicals!$T25:$BO25,,AQ$6+$D69*-1),$F69*AQ$46*Historicals!$S25*INDEX($T$44:$BO$44,,AQ$6-$D69+1)),0)</f>
        <v>0</v>
      </c>
      <c r="AR69" s="46">
        <f t="array" ref="AR69">IFERROR(IF(INDEX(Historicals!$T25:$BO25,,AR$6+$D69*-1)&lt;&gt;"",INDEX(Historicals!$T25:$BO25,,AR$6+$D69*-1),$F69*AR$46*Historicals!$S25*INDEX($T$44:$BO$44,,AR$6-$D69+1)),0)</f>
        <v>0</v>
      </c>
      <c r="AS69" s="46">
        <f t="array" ref="AS69">IFERROR(IF(INDEX(Historicals!$T25:$BO25,,AS$6+$D69*-1)&lt;&gt;"",INDEX(Historicals!$T25:$BO25,,AS$6+$D69*-1),$F69*AS$46*Historicals!$S25*INDEX($T$44:$BO$44,,AS$6-$D69+1)),0)</f>
        <v>0</v>
      </c>
      <c r="AT69" s="46">
        <f t="array" ref="AT69">IFERROR(IF(INDEX(Historicals!$T25:$BO25,,AT$6+$D69*-1)&lt;&gt;"",INDEX(Historicals!$T25:$BO25,,AT$6+$D69*-1),$F69*AT$46*Historicals!$S25*INDEX($T$44:$BO$44,,AT$6-$D69+1)),0)</f>
        <v>0</v>
      </c>
      <c r="AU69" s="46">
        <f t="array" ref="AU69">IFERROR(IF(INDEX(Historicals!$T25:$BO25,,AU$6+$D69*-1)&lt;&gt;"",INDEX(Historicals!$T25:$BO25,,AU$6+$D69*-1),$F69*AU$46*Historicals!$S25*INDEX($T$44:$BO$44,,AU$6-$D69+1)),0)</f>
        <v>0</v>
      </c>
      <c r="AV69" s="46">
        <f t="array" ref="AV69">IFERROR(IF(INDEX(Historicals!$T25:$BO25,,AV$6+$D69*-1)&lt;&gt;"",INDEX(Historicals!$T25:$BO25,,AV$6+$D69*-1),$F69*AV$46*Historicals!$S25*INDEX($T$44:$BO$44,,AV$6-$D69+1)),0)</f>
        <v>0</v>
      </c>
      <c r="AW69" s="46">
        <f t="array" ref="AW69">IFERROR(IF(INDEX(Historicals!$T25:$BO25,,AW$6+$D69*-1)&lt;&gt;"",INDEX(Historicals!$T25:$BO25,,AW$6+$D69*-1),$F69*AW$46*Historicals!$S25*INDEX($T$44:$BO$44,,AW$6-$D69+1)),0)</f>
        <v>0</v>
      </c>
      <c r="AX69" s="46">
        <f t="array" ref="AX69">IFERROR(IF(INDEX(Historicals!$T25:$BO25,,AX$6+$D69*-1)&lt;&gt;"",INDEX(Historicals!$T25:$BO25,,AX$6+$D69*-1),$F69*AX$46*Historicals!$S25*INDEX($T$44:$BO$44,,AX$6-$D69+1)),0)</f>
        <v>0</v>
      </c>
      <c r="AY69" s="46">
        <f t="array" ref="AY69">IFERROR(IF(INDEX(Historicals!$T25:$BO25,,AY$6+$D69*-1)&lt;&gt;"",INDEX(Historicals!$T25:$BO25,,AY$6+$D69*-1),$F69*AY$46*Historicals!$S25*INDEX($T$44:$BO$44,,AY$6-$D69+1)),0)</f>
        <v>0</v>
      </c>
      <c r="AZ69" s="46">
        <f t="array" ref="AZ69">IFERROR(IF(INDEX(Historicals!$T25:$BO25,,AZ$6+$D69*-1)&lt;&gt;"",INDEX(Historicals!$T25:$BO25,,AZ$6+$D69*-1),$F69*AZ$46*Historicals!$S25*INDEX($T$44:$BO$44,,AZ$6-$D69+1)),0)</f>
        <v>0</v>
      </c>
      <c r="BA69" s="46">
        <f t="array" ref="BA69">IFERROR(IF(INDEX(Historicals!$T25:$BO25,,BA$6+$D69*-1)&lt;&gt;"",INDEX(Historicals!$T25:$BO25,,BA$6+$D69*-1),$F69*BA$46*Historicals!$S25*INDEX($T$44:$BO$44,,BA$6-$D69+1)),0)</f>
        <v>0</v>
      </c>
      <c r="BB69" s="46">
        <f t="array" ref="BB69">IFERROR(IF(INDEX(Historicals!$T25:$BO25,,BB$6+$D69*-1)&lt;&gt;"",INDEX(Historicals!$T25:$BO25,,BB$6+$D69*-1),$F69*BB$46*Historicals!$S25*INDEX($T$44:$BO$44,,BB$6-$D69+1)),0)</f>
        <v>0</v>
      </c>
      <c r="BC69" s="46">
        <f t="array" ref="BC69">IFERROR(IF(INDEX(Historicals!$T25:$BO25,,BC$6+$D69*-1)&lt;&gt;"",INDEX(Historicals!$T25:$BO25,,BC$6+$D69*-1),$F69*BC$46*Historicals!$S25*INDEX($T$44:$BO$44,,BC$6-$D69+1)),0)</f>
        <v>0</v>
      </c>
      <c r="BD69" s="46">
        <f t="array" ref="BD69">IFERROR(IF(INDEX(Historicals!$T25:$BO25,,BD$6+$D69*-1)&lt;&gt;"",INDEX(Historicals!$T25:$BO25,,BD$6+$D69*-1),$F69*BD$46*Historicals!$S25*INDEX($T$44:$BO$44,,BD$6-$D69+1)),0)</f>
        <v>0</v>
      </c>
      <c r="BE69" s="46">
        <f t="array" ref="BE69">IFERROR(IF(INDEX(Historicals!$T25:$BO25,,BE$6+$D69*-1)&lt;&gt;"",INDEX(Historicals!$T25:$BO25,,BE$6+$D69*-1),$F69*BE$46*Historicals!$S25*INDEX($T$44:$BO$44,,BE$6-$D69+1)),0)</f>
        <v>0</v>
      </c>
      <c r="BF69" s="46">
        <f t="array" ref="BF69">IFERROR(IF(INDEX(Historicals!$T25:$BO25,,BF$6+$D69*-1)&lt;&gt;"",INDEX(Historicals!$T25:$BO25,,BF$6+$D69*-1),$F69*BF$46*Historicals!$S25*INDEX($T$44:$BO$44,,BF$6-$D69+1)),0)</f>
        <v>0</v>
      </c>
      <c r="BG69" s="46">
        <f t="array" ref="BG69">IFERROR(IF(INDEX(Historicals!$T25:$BO25,,BG$6+$D69*-1)&lt;&gt;"",INDEX(Historicals!$T25:$BO25,,BG$6+$D69*-1),$F69*BG$46*Historicals!$S25*INDEX($T$44:$BO$44,,BG$6-$D69+1)),0)</f>
        <v>0</v>
      </c>
      <c r="BH69" s="46">
        <f t="array" ref="BH69">IFERROR(IF(INDEX(Historicals!$T25:$BO25,,BH$6+$D69*-1)&lt;&gt;"",INDEX(Historicals!$T25:$BO25,,BH$6+$D69*-1),$F69*BH$46*Historicals!$S25*INDEX($T$44:$BO$44,,BH$6-$D69+1)),0)</f>
        <v>0</v>
      </c>
      <c r="BI69" s="46">
        <f t="array" ref="BI69">IFERROR(IF(INDEX(Historicals!$T25:$BO25,,BI$6+$D69*-1)&lt;&gt;"",INDEX(Historicals!$T25:$BO25,,BI$6+$D69*-1),$F69*BI$46*Historicals!$S25*INDEX($T$44:$BO$44,,BI$6-$D69+1)),0)</f>
        <v>0</v>
      </c>
      <c r="BJ69" s="46">
        <f t="array" ref="BJ69">IFERROR(IF(INDEX(Historicals!$T25:$BO25,,BJ$6+$D69*-1)&lt;&gt;"",INDEX(Historicals!$T25:$BO25,,BJ$6+$D69*-1),$F69*BJ$46*Historicals!$S25*INDEX($T$44:$BO$44,,BJ$6-$D69+1)),0)</f>
        <v>0</v>
      </c>
      <c r="BK69" s="46">
        <f t="array" ref="BK69">IFERROR(IF(INDEX(Historicals!$T25:$BO25,,BK$6+$D69*-1)&lt;&gt;"",INDEX(Historicals!$T25:$BO25,,BK$6+$D69*-1),$F69*BK$46*Historicals!$S25*INDEX($T$44:$BO$44,,BK$6-$D69+1)),0)</f>
        <v>0</v>
      </c>
      <c r="BL69" s="46">
        <f t="array" ref="BL69">IFERROR(IF(INDEX(Historicals!$T25:$BO25,,BL$6+$D69*-1)&lt;&gt;"",INDEX(Historicals!$T25:$BO25,,BL$6+$D69*-1),$F69*BL$46*Historicals!$S25*INDEX($T$44:$BO$44,,BL$6-$D69+1)),0)</f>
        <v>0</v>
      </c>
      <c r="BM69" s="46">
        <f t="array" ref="BM69">IFERROR(IF(INDEX(Historicals!$T25:$BO25,,BM$6+$D69*-1)&lt;&gt;"",INDEX(Historicals!$T25:$BO25,,BM$6+$D69*-1),$F69*BM$46*Historicals!$S25*INDEX($T$44:$BO$44,,BM$6-$D69+1)),0)</f>
        <v>0</v>
      </c>
      <c r="BN69" s="46">
        <f t="array" ref="BN69">IFERROR(IF(INDEX(Historicals!$T25:$BO25,,BN$6+$D69*-1)&lt;&gt;"",INDEX(Historicals!$T25:$BO25,,BN$6+$D69*-1),$F69*BN$46*Historicals!$S25*INDEX($T$44:$BO$44,,BN$6-$D69+1)),0)</f>
        <v>0</v>
      </c>
      <c r="BO69" s="46">
        <f t="array" ref="BO69">IFERROR(IF(INDEX(Historicals!$T25:$BO25,,BO$6+$D69*-1)&lt;&gt;"",INDEX(Historicals!$T25:$BO25,,BO$6+$D69*-1),$F69*BO$46*Historicals!$S25*INDEX($T$44:$BO$44,,BO$6-$D69+1)),0)</f>
        <v>0</v>
      </c>
    </row>
    <row r="70" spans="1:67" ht="16.5" hidden="1" customHeight="1" outlineLevel="1">
      <c r="A70" s="1"/>
      <c r="B70" s="55">
        <f t="shared" si="19"/>
        <v>44648</v>
      </c>
      <c r="C70" s="17" t="s">
        <v>104</v>
      </c>
      <c r="D70" s="46">
        <f t="shared" si="20"/>
        <v>-33</v>
      </c>
      <c r="E70" s="16"/>
      <c r="F70" s="51">
        <v>1</v>
      </c>
      <c r="G70" s="16" t="s">
        <v>159</v>
      </c>
      <c r="H70" s="16" t="s">
        <v>155</v>
      </c>
      <c r="I70" s="46">
        <f>IF(H70=Forecast!$H$195,T70,IF(H70=Forecast!$H$196,BO70,IF(H70=Forecast!$H$197,SUM(T70:BO70),IF(H70=Forecast!$H$198,AVERAGE(T70:BO70),0))))</f>
        <v>0</v>
      </c>
      <c r="J70" s="16"/>
      <c r="K70" s="16"/>
      <c r="L70" s="16"/>
      <c r="M70" s="16"/>
      <c r="N70" s="16"/>
      <c r="O70" s="16"/>
      <c r="P70" s="16"/>
      <c r="Q70" s="16"/>
      <c r="R70" s="16"/>
      <c r="S70" s="16"/>
      <c r="T70" s="46">
        <f t="array" ref="T70">IFERROR(IF(INDEX(Historicals!$T26:$BO26,,T$6+$D70*-1)&lt;&gt;"",INDEX(Historicals!$T26:$BO26,,T$6+$D70*-1),$F70*T$46*Historicals!$S26*INDEX($T$44:$BO$44,,T$6-$D70+1)),0)</f>
        <v>0</v>
      </c>
      <c r="U70" s="46">
        <f t="array" ref="U70">IFERROR(IF(INDEX(Historicals!$T26:$BO26,,U$6+$D70*-1)&lt;&gt;"",INDEX(Historicals!$T26:$BO26,,U$6+$D70*-1),$F70*U$46*Historicals!$S26*INDEX($T$44:$BO$44,,U$6-$D70+1)),0)</f>
        <v>0</v>
      </c>
      <c r="V70" s="46">
        <f t="array" ref="V70">IFERROR(IF(INDEX(Historicals!$T26:$BO26,,V$6+$D70*-1)&lt;&gt;"",INDEX(Historicals!$T26:$BO26,,V$6+$D70*-1),$F70*V$46*Historicals!$S26*INDEX($T$44:$BO$44,,V$6-$D70+1)),0)</f>
        <v>0</v>
      </c>
      <c r="W70" s="46">
        <f t="array" ref="W70">IFERROR(IF(INDEX(Historicals!$T26:$BO26,,W$6+$D70*-1)&lt;&gt;"",INDEX(Historicals!$T26:$BO26,,W$6+$D70*-1),$F70*W$46*Historicals!$S26*INDEX($T$44:$BO$44,,W$6-$D70+1)),0)</f>
        <v>0</v>
      </c>
      <c r="X70" s="46">
        <f t="array" ref="X70">IFERROR(IF(INDEX(Historicals!$T26:$BO26,,X$6+$D70*-1)&lt;&gt;"",INDEX(Historicals!$T26:$BO26,,X$6+$D70*-1),$F70*X$46*Historicals!$S26*INDEX($T$44:$BO$44,,X$6-$D70+1)),0)</f>
        <v>0</v>
      </c>
      <c r="Y70" s="46">
        <f t="array" ref="Y70">IFERROR(IF(INDEX(Historicals!$T26:$BO26,,Y$6+$D70*-1)&lt;&gt;"",INDEX(Historicals!$T26:$BO26,,Y$6+$D70*-1),$F70*Y$46*Historicals!$S26*INDEX($T$44:$BO$44,,Y$6-$D70+1)),0)</f>
        <v>0</v>
      </c>
      <c r="Z70" s="46">
        <f t="array" ref="Z70">IFERROR(IF(INDEX(Historicals!$T26:$BO26,,Z$6+$D70*-1)&lt;&gt;"",INDEX(Historicals!$T26:$BO26,,Z$6+$D70*-1),$F70*Z$46*Historicals!$S26*INDEX($T$44:$BO$44,,Z$6-$D70+1)),0)</f>
        <v>0</v>
      </c>
      <c r="AA70" s="46">
        <f t="array" ref="AA70">IFERROR(IF(INDEX(Historicals!$T26:$BO26,,AA$6+$D70*-1)&lt;&gt;"",INDEX(Historicals!$T26:$BO26,,AA$6+$D70*-1),$F70*AA$46*Historicals!$S26*INDEX($T$44:$BO$44,,AA$6-$D70+1)),0)</f>
        <v>0</v>
      </c>
      <c r="AB70" s="46">
        <f t="array" ref="AB70">IFERROR(IF(INDEX(Historicals!$T26:$BO26,,AB$6+$D70*-1)&lt;&gt;"",INDEX(Historicals!$T26:$BO26,,AB$6+$D70*-1),$F70*AB$46*Historicals!$S26*INDEX($T$44:$BO$44,,AB$6-$D70+1)),0)</f>
        <v>0</v>
      </c>
      <c r="AC70" s="46">
        <f t="array" ref="AC70">IFERROR(IF(INDEX(Historicals!$T26:$BO26,,AC$6+$D70*-1)&lt;&gt;"",INDEX(Historicals!$T26:$BO26,,AC$6+$D70*-1),$F70*AC$46*Historicals!$S26*INDEX($T$44:$BO$44,,AC$6-$D70+1)),0)</f>
        <v>0</v>
      </c>
      <c r="AD70" s="46">
        <f t="array" ref="AD70">IFERROR(IF(INDEX(Historicals!$T26:$BO26,,AD$6+$D70*-1)&lt;&gt;"",INDEX(Historicals!$T26:$BO26,,AD$6+$D70*-1),$F70*AD$46*Historicals!$S26*INDEX($T$44:$BO$44,,AD$6-$D70+1)),0)</f>
        <v>0</v>
      </c>
      <c r="AE70" s="46">
        <f t="array" ref="AE70">IFERROR(IF(INDEX(Historicals!$T26:$BO26,,AE$6+$D70*-1)&lt;&gt;"",INDEX(Historicals!$T26:$BO26,,AE$6+$D70*-1),$F70*AE$46*Historicals!$S26*INDEX($T$44:$BO$44,,AE$6-$D70+1)),0)</f>
        <v>0</v>
      </c>
      <c r="AF70" s="46">
        <f t="array" ref="AF70">IFERROR(IF(INDEX(Historicals!$T26:$BO26,,AF$6+$D70*-1)&lt;&gt;"",INDEX(Historicals!$T26:$BO26,,AF$6+$D70*-1),$F70*AF$46*Historicals!$S26*INDEX($T$44:$BO$44,,AF$6-$D70+1)),0)</f>
        <v>0</v>
      </c>
      <c r="AG70" s="46">
        <f t="array" ref="AG70">IFERROR(IF(INDEX(Historicals!$T26:$BO26,,AG$6+$D70*-1)&lt;&gt;"",INDEX(Historicals!$T26:$BO26,,AG$6+$D70*-1),$F70*AG$46*Historicals!$S26*INDEX($T$44:$BO$44,,AG$6-$D70+1)),0)</f>
        <v>0</v>
      </c>
      <c r="AH70" s="46">
        <f t="array" ref="AH70">IFERROR(IF(INDEX(Historicals!$T26:$BO26,,AH$6+$D70*-1)&lt;&gt;"",INDEX(Historicals!$T26:$BO26,,AH$6+$D70*-1),$F70*AH$46*Historicals!$S26*INDEX($T$44:$BO$44,,AH$6-$D70+1)),0)</f>
        <v>0</v>
      </c>
      <c r="AI70" s="46">
        <f t="array" ref="AI70">IFERROR(IF(INDEX(Historicals!$T26:$BO26,,AI$6+$D70*-1)&lt;&gt;"",INDEX(Historicals!$T26:$BO26,,AI$6+$D70*-1),$F70*AI$46*Historicals!$S26*INDEX($T$44:$BO$44,,AI$6-$D70+1)),0)</f>
        <v>0</v>
      </c>
      <c r="AJ70" s="46">
        <f t="array" ref="AJ70">IFERROR(IF(INDEX(Historicals!$T26:$BO26,,AJ$6+$D70*-1)&lt;&gt;"",INDEX(Historicals!$T26:$BO26,,AJ$6+$D70*-1),$F70*AJ$46*Historicals!$S26*INDEX($T$44:$BO$44,,AJ$6-$D70+1)),0)</f>
        <v>0</v>
      </c>
      <c r="AK70" s="46">
        <f t="array" ref="AK70">IFERROR(IF(INDEX(Historicals!$T26:$BO26,,AK$6+$D70*-1)&lt;&gt;"",INDEX(Historicals!$T26:$BO26,,AK$6+$D70*-1),$F70*AK$46*Historicals!$S26*INDEX($T$44:$BO$44,,AK$6-$D70+1)),0)</f>
        <v>0</v>
      </c>
      <c r="AL70" s="46">
        <f t="array" ref="AL70">IFERROR(IF(INDEX(Historicals!$T26:$BO26,,AL$6+$D70*-1)&lt;&gt;"",INDEX(Historicals!$T26:$BO26,,AL$6+$D70*-1),$F70*AL$46*Historicals!$S26*INDEX($T$44:$BO$44,,AL$6-$D70+1)),0)</f>
        <v>0</v>
      </c>
      <c r="AM70" s="46">
        <f t="array" ref="AM70">IFERROR(IF(INDEX(Historicals!$T26:$BO26,,AM$6+$D70*-1)&lt;&gt;"",INDEX(Historicals!$T26:$BO26,,AM$6+$D70*-1),$F70*AM$46*Historicals!$S26*INDEX($T$44:$BO$44,,AM$6-$D70+1)),0)</f>
        <v>0</v>
      </c>
      <c r="AN70" s="46">
        <f t="array" ref="AN70">IFERROR(IF(INDEX(Historicals!$T26:$BO26,,AN$6+$D70*-1)&lt;&gt;"",INDEX(Historicals!$T26:$BO26,,AN$6+$D70*-1),$F70*AN$46*Historicals!$S26*INDEX($T$44:$BO$44,,AN$6-$D70+1)),0)</f>
        <v>0</v>
      </c>
      <c r="AO70" s="46">
        <f t="array" ref="AO70">IFERROR(IF(INDEX(Historicals!$T26:$BO26,,AO$6+$D70*-1)&lt;&gt;"",INDEX(Historicals!$T26:$BO26,,AO$6+$D70*-1),$F70*AO$46*Historicals!$S26*INDEX($T$44:$BO$44,,AO$6-$D70+1)),0)</f>
        <v>0</v>
      </c>
      <c r="AP70" s="46">
        <f t="array" ref="AP70">IFERROR(IF(INDEX(Historicals!$T26:$BO26,,AP$6+$D70*-1)&lt;&gt;"",INDEX(Historicals!$T26:$BO26,,AP$6+$D70*-1),$F70*AP$46*Historicals!$S26*INDEX($T$44:$BO$44,,AP$6-$D70+1)),0)</f>
        <v>0</v>
      </c>
      <c r="AQ70" s="46">
        <f t="array" ref="AQ70">IFERROR(IF(INDEX(Historicals!$T26:$BO26,,AQ$6+$D70*-1)&lt;&gt;"",INDEX(Historicals!$T26:$BO26,,AQ$6+$D70*-1),$F70*AQ$46*Historicals!$S26*INDEX($T$44:$BO$44,,AQ$6-$D70+1)),0)</f>
        <v>0</v>
      </c>
      <c r="AR70" s="46">
        <f t="array" ref="AR70">IFERROR(IF(INDEX(Historicals!$T26:$BO26,,AR$6+$D70*-1)&lt;&gt;"",INDEX(Historicals!$T26:$BO26,,AR$6+$D70*-1),$F70*AR$46*Historicals!$S26*INDEX($T$44:$BO$44,,AR$6-$D70+1)),0)</f>
        <v>0</v>
      </c>
      <c r="AS70" s="46">
        <f t="array" ref="AS70">IFERROR(IF(INDEX(Historicals!$T26:$BO26,,AS$6+$D70*-1)&lt;&gt;"",INDEX(Historicals!$T26:$BO26,,AS$6+$D70*-1),$F70*AS$46*Historicals!$S26*INDEX($T$44:$BO$44,,AS$6-$D70+1)),0)</f>
        <v>0</v>
      </c>
      <c r="AT70" s="46">
        <f t="array" ref="AT70">IFERROR(IF(INDEX(Historicals!$T26:$BO26,,AT$6+$D70*-1)&lt;&gt;"",INDEX(Historicals!$T26:$BO26,,AT$6+$D70*-1),$F70*AT$46*Historicals!$S26*INDEX($T$44:$BO$44,,AT$6-$D70+1)),0)</f>
        <v>0</v>
      </c>
      <c r="AU70" s="46">
        <f t="array" ref="AU70">IFERROR(IF(INDEX(Historicals!$T26:$BO26,,AU$6+$D70*-1)&lt;&gt;"",INDEX(Historicals!$T26:$BO26,,AU$6+$D70*-1),$F70*AU$46*Historicals!$S26*INDEX($T$44:$BO$44,,AU$6-$D70+1)),0)</f>
        <v>0</v>
      </c>
      <c r="AV70" s="46">
        <f t="array" ref="AV70">IFERROR(IF(INDEX(Historicals!$T26:$BO26,,AV$6+$D70*-1)&lt;&gt;"",INDEX(Historicals!$T26:$BO26,,AV$6+$D70*-1),$F70*AV$46*Historicals!$S26*INDEX($T$44:$BO$44,,AV$6-$D70+1)),0)</f>
        <v>0</v>
      </c>
      <c r="AW70" s="46">
        <f t="array" ref="AW70">IFERROR(IF(INDEX(Historicals!$T26:$BO26,,AW$6+$D70*-1)&lt;&gt;"",INDEX(Historicals!$T26:$BO26,,AW$6+$D70*-1),$F70*AW$46*Historicals!$S26*INDEX($T$44:$BO$44,,AW$6-$D70+1)),0)</f>
        <v>0</v>
      </c>
      <c r="AX70" s="46">
        <f t="array" ref="AX70">IFERROR(IF(INDEX(Historicals!$T26:$BO26,,AX$6+$D70*-1)&lt;&gt;"",INDEX(Historicals!$T26:$BO26,,AX$6+$D70*-1),$F70*AX$46*Historicals!$S26*INDEX($T$44:$BO$44,,AX$6-$D70+1)),0)</f>
        <v>0</v>
      </c>
      <c r="AY70" s="46">
        <f t="array" ref="AY70">IFERROR(IF(INDEX(Historicals!$T26:$BO26,,AY$6+$D70*-1)&lt;&gt;"",INDEX(Historicals!$T26:$BO26,,AY$6+$D70*-1),$F70*AY$46*Historicals!$S26*INDEX($T$44:$BO$44,,AY$6-$D70+1)),0)</f>
        <v>0</v>
      </c>
      <c r="AZ70" s="46">
        <f t="array" ref="AZ70">IFERROR(IF(INDEX(Historicals!$T26:$BO26,,AZ$6+$D70*-1)&lt;&gt;"",INDEX(Historicals!$T26:$BO26,,AZ$6+$D70*-1),$F70*AZ$46*Historicals!$S26*INDEX($T$44:$BO$44,,AZ$6-$D70+1)),0)</f>
        <v>0</v>
      </c>
      <c r="BA70" s="46">
        <f t="array" ref="BA70">IFERROR(IF(INDEX(Historicals!$T26:$BO26,,BA$6+$D70*-1)&lt;&gt;"",INDEX(Historicals!$T26:$BO26,,BA$6+$D70*-1),$F70*BA$46*Historicals!$S26*INDEX($T$44:$BO$44,,BA$6-$D70+1)),0)</f>
        <v>0</v>
      </c>
      <c r="BB70" s="46">
        <f t="array" ref="BB70">IFERROR(IF(INDEX(Historicals!$T26:$BO26,,BB$6+$D70*-1)&lt;&gt;"",INDEX(Historicals!$T26:$BO26,,BB$6+$D70*-1),$F70*BB$46*Historicals!$S26*INDEX($T$44:$BO$44,,BB$6-$D70+1)),0)</f>
        <v>0</v>
      </c>
      <c r="BC70" s="46">
        <f t="array" ref="BC70">IFERROR(IF(INDEX(Historicals!$T26:$BO26,,BC$6+$D70*-1)&lt;&gt;"",INDEX(Historicals!$T26:$BO26,,BC$6+$D70*-1),$F70*BC$46*Historicals!$S26*INDEX($T$44:$BO$44,,BC$6-$D70+1)),0)</f>
        <v>0</v>
      </c>
      <c r="BD70" s="46">
        <f t="array" ref="BD70">IFERROR(IF(INDEX(Historicals!$T26:$BO26,,BD$6+$D70*-1)&lt;&gt;"",INDEX(Historicals!$T26:$BO26,,BD$6+$D70*-1),$F70*BD$46*Historicals!$S26*INDEX($T$44:$BO$44,,BD$6-$D70+1)),0)</f>
        <v>0</v>
      </c>
      <c r="BE70" s="46">
        <f t="array" ref="BE70">IFERROR(IF(INDEX(Historicals!$T26:$BO26,,BE$6+$D70*-1)&lt;&gt;"",INDEX(Historicals!$T26:$BO26,,BE$6+$D70*-1),$F70*BE$46*Historicals!$S26*INDEX($T$44:$BO$44,,BE$6-$D70+1)),0)</f>
        <v>0</v>
      </c>
      <c r="BF70" s="46">
        <f t="array" ref="BF70">IFERROR(IF(INDEX(Historicals!$T26:$BO26,,BF$6+$D70*-1)&lt;&gt;"",INDEX(Historicals!$T26:$BO26,,BF$6+$D70*-1),$F70*BF$46*Historicals!$S26*INDEX($T$44:$BO$44,,BF$6-$D70+1)),0)</f>
        <v>0</v>
      </c>
      <c r="BG70" s="46">
        <f t="array" ref="BG70">IFERROR(IF(INDEX(Historicals!$T26:$BO26,,BG$6+$D70*-1)&lt;&gt;"",INDEX(Historicals!$T26:$BO26,,BG$6+$D70*-1),$F70*BG$46*Historicals!$S26*INDEX($T$44:$BO$44,,BG$6-$D70+1)),0)</f>
        <v>0</v>
      </c>
      <c r="BH70" s="46">
        <f t="array" ref="BH70">IFERROR(IF(INDEX(Historicals!$T26:$BO26,,BH$6+$D70*-1)&lt;&gt;"",INDEX(Historicals!$T26:$BO26,,BH$6+$D70*-1),$F70*BH$46*Historicals!$S26*INDEX($T$44:$BO$44,,BH$6-$D70+1)),0)</f>
        <v>0</v>
      </c>
      <c r="BI70" s="46">
        <f t="array" ref="BI70">IFERROR(IF(INDEX(Historicals!$T26:$BO26,,BI$6+$D70*-1)&lt;&gt;"",INDEX(Historicals!$T26:$BO26,,BI$6+$D70*-1),$F70*BI$46*Historicals!$S26*INDEX($T$44:$BO$44,,BI$6-$D70+1)),0)</f>
        <v>0</v>
      </c>
      <c r="BJ70" s="46">
        <f t="array" ref="BJ70">IFERROR(IF(INDEX(Historicals!$T26:$BO26,,BJ$6+$D70*-1)&lt;&gt;"",INDEX(Historicals!$T26:$BO26,,BJ$6+$D70*-1),$F70*BJ$46*Historicals!$S26*INDEX($T$44:$BO$44,,BJ$6-$D70+1)),0)</f>
        <v>0</v>
      </c>
      <c r="BK70" s="46">
        <f t="array" ref="BK70">IFERROR(IF(INDEX(Historicals!$T26:$BO26,,BK$6+$D70*-1)&lt;&gt;"",INDEX(Historicals!$T26:$BO26,,BK$6+$D70*-1),$F70*BK$46*Historicals!$S26*INDEX($T$44:$BO$44,,BK$6-$D70+1)),0)</f>
        <v>0</v>
      </c>
      <c r="BL70" s="46">
        <f t="array" ref="BL70">IFERROR(IF(INDEX(Historicals!$T26:$BO26,,BL$6+$D70*-1)&lt;&gt;"",INDEX(Historicals!$T26:$BO26,,BL$6+$D70*-1),$F70*BL$46*Historicals!$S26*INDEX($T$44:$BO$44,,BL$6-$D70+1)),0)</f>
        <v>0</v>
      </c>
      <c r="BM70" s="46">
        <f t="array" ref="BM70">IFERROR(IF(INDEX(Historicals!$T26:$BO26,,BM$6+$D70*-1)&lt;&gt;"",INDEX(Historicals!$T26:$BO26,,BM$6+$D70*-1),$F70*BM$46*Historicals!$S26*INDEX($T$44:$BO$44,,BM$6-$D70+1)),0)</f>
        <v>0</v>
      </c>
      <c r="BN70" s="46">
        <f t="array" ref="BN70">IFERROR(IF(INDEX(Historicals!$T26:$BO26,,BN$6+$D70*-1)&lt;&gt;"",INDEX(Historicals!$T26:$BO26,,BN$6+$D70*-1),$F70*BN$46*Historicals!$S26*INDEX($T$44:$BO$44,,BN$6-$D70+1)),0)</f>
        <v>0</v>
      </c>
      <c r="BO70" s="46">
        <f t="array" ref="BO70">IFERROR(IF(INDEX(Historicals!$T26:$BO26,,BO$6+$D70*-1)&lt;&gt;"",INDEX(Historicals!$T26:$BO26,,BO$6+$D70*-1),$F70*BO$46*Historicals!$S26*INDEX($T$44:$BO$44,,BO$6-$D70+1)),0)</f>
        <v>0</v>
      </c>
    </row>
    <row r="71" spans="1:67" ht="16.5" hidden="1" customHeight="1" outlineLevel="1">
      <c r="A71" s="1"/>
      <c r="B71" s="55">
        <f t="shared" si="19"/>
        <v>44679</v>
      </c>
      <c r="C71" s="17" t="s">
        <v>104</v>
      </c>
      <c r="D71" s="46">
        <f t="shared" si="20"/>
        <v>-32</v>
      </c>
      <c r="E71" s="16"/>
      <c r="F71" s="51">
        <v>1</v>
      </c>
      <c r="G71" s="16" t="s">
        <v>159</v>
      </c>
      <c r="H71" s="16" t="s">
        <v>155</v>
      </c>
      <c r="I71" s="46">
        <f>IF(H71=Forecast!$H$195,T71,IF(H71=Forecast!$H$196,BO71,IF(H71=Forecast!$H$197,SUM(T71:BO71),IF(H71=Forecast!$H$198,AVERAGE(T71:BO71),0))))</f>
        <v>0</v>
      </c>
      <c r="J71" s="16"/>
      <c r="K71" s="16"/>
      <c r="L71" s="16"/>
      <c r="M71" s="16"/>
      <c r="N71" s="16"/>
      <c r="O71" s="16"/>
      <c r="P71" s="16"/>
      <c r="Q71" s="16"/>
      <c r="R71" s="16"/>
      <c r="S71" s="16"/>
      <c r="T71" s="46">
        <f t="array" ref="T71">IFERROR(IF(INDEX(Historicals!$T27:$BO27,,T$6+$D71*-1)&lt;&gt;"",INDEX(Historicals!$T27:$BO27,,T$6+$D71*-1),$F71*T$46*Historicals!$S27*INDEX($T$44:$BO$44,,T$6-$D71+1)),0)</f>
        <v>0</v>
      </c>
      <c r="U71" s="46">
        <f t="array" ref="U71">IFERROR(IF(INDEX(Historicals!$T27:$BO27,,U$6+$D71*-1)&lt;&gt;"",INDEX(Historicals!$T27:$BO27,,U$6+$D71*-1),$F71*U$46*Historicals!$S27*INDEX($T$44:$BO$44,,U$6-$D71+1)),0)</f>
        <v>0</v>
      </c>
      <c r="V71" s="46">
        <f t="array" ref="V71">IFERROR(IF(INDEX(Historicals!$T27:$BO27,,V$6+$D71*-1)&lt;&gt;"",INDEX(Historicals!$T27:$BO27,,V$6+$D71*-1),$F71*V$46*Historicals!$S27*INDEX($T$44:$BO$44,,V$6-$D71+1)),0)</f>
        <v>0</v>
      </c>
      <c r="W71" s="46">
        <f t="array" ref="W71">IFERROR(IF(INDEX(Historicals!$T27:$BO27,,W$6+$D71*-1)&lt;&gt;"",INDEX(Historicals!$T27:$BO27,,W$6+$D71*-1),$F71*W$46*Historicals!$S27*INDEX($T$44:$BO$44,,W$6-$D71+1)),0)</f>
        <v>0</v>
      </c>
      <c r="X71" s="46">
        <f t="array" ref="X71">IFERROR(IF(INDEX(Historicals!$T27:$BO27,,X$6+$D71*-1)&lt;&gt;"",INDEX(Historicals!$T27:$BO27,,X$6+$D71*-1),$F71*X$46*Historicals!$S27*INDEX($T$44:$BO$44,,X$6-$D71+1)),0)</f>
        <v>0</v>
      </c>
      <c r="Y71" s="46">
        <f t="array" ref="Y71">IFERROR(IF(INDEX(Historicals!$T27:$BO27,,Y$6+$D71*-1)&lt;&gt;"",INDEX(Historicals!$T27:$BO27,,Y$6+$D71*-1),$F71*Y$46*Historicals!$S27*INDEX($T$44:$BO$44,,Y$6-$D71+1)),0)</f>
        <v>0</v>
      </c>
      <c r="Z71" s="46">
        <f t="array" ref="Z71">IFERROR(IF(INDEX(Historicals!$T27:$BO27,,Z$6+$D71*-1)&lt;&gt;"",INDEX(Historicals!$T27:$BO27,,Z$6+$D71*-1),$F71*Z$46*Historicals!$S27*INDEX($T$44:$BO$44,,Z$6-$D71+1)),0)</f>
        <v>0</v>
      </c>
      <c r="AA71" s="46">
        <f t="array" ref="AA71">IFERROR(IF(INDEX(Historicals!$T27:$BO27,,AA$6+$D71*-1)&lt;&gt;"",INDEX(Historicals!$T27:$BO27,,AA$6+$D71*-1),$F71*AA$46*Historicals!$S27*INDEX($T$44:$BO$44,,AA$6-$D71+1)),0)</f>
        <v>0</v>
      </c>
      <c r="AB71" s="46">
        <f t="array" ref="AB71">IFERROR(IF(INDEX(Historicals!$T27:$BO27,,AB$6+$D71*-1)&lt;&gt;"",INDEX(Historicals!$T27:$BO27,,AB$6+$D71*-1),$F71*AB$46*Historicals!$S27*INDEX($T$44:$BO$44,,AB$6-$D71+1)),0)</f>
        <v>0</v>
      </c>
      <c r="AC71" s="46">
        <f t="array" ref="AC71">IFERROR(IF(INDEX(Historicals!$T27:$BO27,,AC$6+$D71*-1)&lt;&gt;"",INDEX(Historicals!$T27:$BO27,,AC$6+$D71*-1),$F71*AC$46*Historicals!$S27*INDEX($T$44:$BO$44,,AC$6-$D71+1)),0)</f>
        <v>0</v>
      </c>
      <c r="AD71" s="46">
        <f t="array" ref="AD71">IFERROR(IF(INDEX(Historicals!$T27:$BO27,,AD$6+$D71*-1)&lt;&gt;"",INDEX(Historicals!$T27:$BO27,,AD$6+$D71*-1),$F71*AD$46*Historicals!$S27*INDEX($T$44:$BO$44,,AD$6-$D71+1)),0)</f>
        <v>0</v>
      </c>
      <c r="AE71" s="46">
        <f t="array" ref="AE71">IFERROR(IF(INDEX(Historicals!$T27:$BO27,,AE$6+$D71*-1)&lt;&gt;"",INDEX(Historicals!$T27:$BO27,,AE$6+$D71*-1),$F71*AE$46*Historicals!$S27*INDEX($T$44:$BO$44,,AE$6-$D71+1)),0)</f>
        <v>0</v>
      </c>
      <c r="AF71" s="46">
        <f t="array" ref="AF71">IFERROR(IF(INDEX(Historicals!$T27:$BO27,,AF$6+$D71*-1)&lt;&gt;"",INDEX(Historicals!$T27:$BO27,,AF$6+$D71*-1),$F71*AF$46*Historicals!$S27*INDEX($T$44:$BO$44,,AF$6-$D71+1)),0)</f>
        <v>0</v>
      </c>
      <c r="AG71" s="46">
        <f t="array" ref="AG71">IFERROR(IF(INDEX(Historicals!$T27:$BO27,,AG$6+$D71*-1)&lt;&gt;"",INDEX(Historicals!$T27:$BO27,,AG$6+$D71*-1),$F71*AG$46*Historicals!$S27*INDEX($T$44:$BO$44,,AG$6-$D71+1)),0)</f>
        <v>0</v>
      </c>
      <c r="AH71" s="46">
        <f t="array" ref="AH71">IFERROR(IF(INDEX(Historicals!$T27:$BO27,,AH$6+$D71*-1)&lt;&gt;"",INDEX(Historicals!$T27:$BO27,,AH$6+$D71*-1),$F71*AH$46*Historicals!$S27*INDEX($T$44:$BO$44,,AH$6-$D71+1)),0)</f>
        <v>0</v>
      </c>
      <c r="AI71" s="46">
        <f t="array" ref="AI71">IFERROR(IF(INDEX(Historicals!$T27:$BO27,,AI$6+$D71*-1)&lt;&gt;"",INDEX(Historicals!$T27:$BO27,,AI$6+$D71*-1),$F71*AI$46*Historicals!$S27*INDEX($T$44:$BO$44,,AI$6-$D71+1)),0)</f>
        <v>0</v>
      </c>
      <c r="AJ71" s="46">
        <f t="array" ref="AJ71">IFERROR(IF(INDEX(Historicals!$T27:$BO27,,AJ$6+$D71*-1)&lt;&gt;"",INDEX(Historicals!$T27:$BO27,,AJ$6+$D71*-1),$F71*AJ$46*Historicals!$S27*INDEX($T$44:$BO$44,,AJ$6-$D71+1)),0)</f>
        <v>0</v>
      </c>
      <c r="AK71" s="46">
        <f t="array" ref="AK71">IFERROR(IF(INDEX(Historicals!$T27:$BO27,,AK$6+$D71*-1)&lt;&gt;"",INDEX(Historicals!$T27:$BO27,,AK$6+$D71*-1),$F71*AK$46*Historicals!$S27*INDEX($T$44:$BO$44,,AK$6-$D71+1)),0)</f>
        <v>0</v>
      </c>
      <c r="AL71" s="46">
        <f t="array" ref="AL71">IFERROR(IF(INDEX(Historicals!$T27:$BO27,,AL$6+$D71*-1)&lt;&gt;"",INDEX(Historicals!$T27:$BO27,,AL$6+$D71*-1),$F71*AL$46*Historicals!$S27*INDEX($T$44:$BO$44,,AL$6-$D71+1)),0)</f>
        <v>0</v>
      </c>
      <c r="AM71" s="46">
        <f t="array" ref="AM71">IFERROR(IF(INDEX(Historicals!$T27:$BO27,,AM$6+$D71*-1)&lt;&gt;"",INDEX(Historicals!$T27:$BO27,,AM$6+$D71*-1),$F71*AM$46*Historicals!$S27*INDEX($T$44:$BO$44,,AM$6-$D71+1)),0)</f>
        <v>0</v>
      </c>
      <c r="AN71" s="46">
        <f t="array" ref="AN71">IFERROR(IF(INDEX(Historicals!$T27:$BO27,,AN$6+$D71*-1)&lt;&gt;"",INDEX(Historicals!$T27:$BO27,,AN$6+$D71*-1),$F71*AN$46*Historicals!$S27*INDEX($T$44:$BO$44,,AN$6-$D71+1)),0)</f>
        <v>0</v>
      </c>
      <c r="AO71" s="46">
        <f t="array" ref="AO71">IFERROR(IF(INDEX(Historicals!$T27:$BO27,,AO$6+$D71*-1)&lt;&gt;"",INDEX(Historicals!$T27:$BO27,,AO$6+$D71*-1),$F71*AO$46*Historicals!$S27*INDEX($T$44:$BO$44,,AO$6-$D71+1)),0)</f>
        <v>0</v>
      </c>
      <c r="AP71" s="46">
        <f t="array" ref="AP71">IFERROR(IF(INDEX(Historicals!$T27:$BO27,,AP$6+$D71*-1)&lt;&gt;"",INDEX(Historicals!$T27:$BO27,,AP$6+$D71*-1),$F71*AP$46*Historicals!$S27*INDEX($T$44:$BO$44,,AP$6-$D71+1)),0)</f>
        <v>0</v>
      </c>
      <c r="AQ71" s="46">
        <f t="array" ref="AQ71">IFERROR(IF(INDEX(Historicals!$T27:$BO27,,AQ$6+$D71*-1)&lt;&gt;"",INDEX(Historicals!$T27:$BO27,,AQ$6+$D71*-1),$F71*AQ$46*Historicals!$S27*INDEX($T$44:$BO$44,,AQ$6-$D71+1)),0)</f>
        <v>0</v>
      </c>
      <c r="AR71" s="46">
        <f t="array" ref="AR71">IFERROR(IF(INDEX(Historicals!$T27:$BO27,,AR$6+$D71*-1)&lt;&gt;"",INDEX(Historicals!$T27:$BO27,,AR$6+$D71*-1),$F71*AR$46*Historicals!$S27*INDEX($T$44:$BO$44,,AR$6-$D71+1)),0)</f>
        <v>0</v>
      </c>
      <c r="AS71" s="46">
        <f t="array" ref="AS71">IFERROR(IF(INDEX(Historicals!$T27:$BO27,,AS$6+$D71*-1)&lt;&gt;"",INDEX(Historicals!$T27:$BO27,,AS$6+$D71*-1),$F71*AS$46*Historicals!$S27*INDEX($T$44:$BO$44,,AS$6-$D71+1)),0)</f>
        <v>0</v>
      </c>
      <c r="AT71" s="46">
        <f t="array" ref="AT71">IFERROR(IF(INDEX(Historicals!$T27:$BO27,,AT$6+$D71*-1)&lt;&gt;"",INDEX(Historicals!$T27:$BO27,,AT$6+$D71*-1),$F71*AT$46*Historicals!$S27*INDEX($T$44:$BO$44,,AT$6-$D71+1)),0)</f>
        <v>0</v>
      </c>
      <c r="AU71" s="46">
        <f t="array" ref="AU71">IFERROR(IF(INDEX(Historicals!$T27:$BO27,,AU$6+$D71*-1)&lt;&gt;"",INDEX(Historicals!$T27:$BO27,,AU$6+$D71*-1),$F71*AU$46*Historicals!$S27*INDEX($T$44:$BO$44,,AU$6-$D71+1)),0)</f>
        <v>0</v>
      </c>
      <c r="AV71" s="46">
        <f t="array" ref="AV71">IFERROR(IF(INDEX(Historicals!$T27:$BO27,,AV$6+$D71*-1)&lt;&gt;"",INDEX(Historicals!$T27:$BO27,,AV$6+$D71*-1),$F71*AV$46*Historicals!$S27*INDEX($T$44:$BO$44,,AV$6-$D71+1)),0)</f>
        <v>0</v>
      </c>
      <c r="AW71" s="46">
        <f t="array" ref="AW71">IFERROR(IF(INDEX(Historicals!$T27:$BO27,,AW$6+$D71*-1)&lt;&gt;"",INDEX(Historicals!$T27:$BO27,,AW$6+$D71*-1),$F71*AW$46*Historicals!$S27*INDEX($T$44:$BO$44,,AW$6-$D71+1)),0)</f>
        <v>0</v>
      </c>
      <c r="AX71" s="46">
        <f t="array" ref="AX71">IFERROR(IF(INDEX(Historicals!$T27:$BO27,,AX$6+$D71*-1)&lt;&gt;"",INDEX(Historicals!$T27:$BO27,,AX$6+$D71*-1),$F71*AX$46*Historicals!$S27*INDEX($T$44:$BO$44,,AX$6-$D71+1)),0)</f>
        <v>0</v>
      </c>
      <c r="AY71" s="46">
        <f t="array" ref="AY71">IFERROR(IF(INDEX(Historicals!$T27:$BO27,,AY$6+$D71*-1)&lt;&gt;"",INDEX(Historicals!$T27:$BO27,,AY$6+$D71*-1),$F71*AY$46*Historicals!$S27*INDEX($T$44:$BO$44,,AY$6-$D71+1)),0)</f>
        <v>0</v>
      </c>
      <c r="AZ71" s="46">
        <f t="array" ref="AZ71">IFERROR(IF(INDEX(Historicals!$T27:$BO27,,AZ$6+$D71*-1)&lt;&gt;"",INDEX(Historicals!$T27:$BO27,,AZ$6+$D71*-1),$F71*AZ$46*Historicals!$S27*INDEX($T$44:$BO$44,,AZ$6-$D71+1)),0)</f>
        <v>0</v>
      </c>
      <c r="BA71" s="46">
        <f t="array" ref="BA71">IFERROR(IF(INDEX(Historicals!$T27:$BO27,,BA$6+$D71*-1)&lt;&gt;"",INDEX(Historicals!$T27:$BO27,,BA$6+$D71*-1),$F71*BA$46*Historicals!$S27*INDEX($T$44:$BO$44,,BA$6-$D71+1)),0)</f>
        <v>0</v>
      </c>
      <c r="BB71" s="46">
        <f t="array" ref="BB71">IFERROR(IF(INDEX(Historicals!$T27:$BO27,,BB$6+$D71*-1)&lt;&gt;"",INDEX(Historicals!$T27:$BO27,,BB$6+$D71*-1),$F71*BB$46*Historicals!$S27*INDEX($T$44:$BO$44,,BB$6-$D71+1)),0)</f>
        <v>0</v>
      </c>
      <c r="BC71" s="46">
        <f t="array" ref="BC71">IFERROR(IF(INDEX(Historicals!$T27:$BO27,,BC$6+$D71*-1)&lt;&gt;"",INDEX(Historicals!$T27:$BO27,,BC$6+$D71*-1),$F71*BC$46*Historicals!$S27*INDEX($T$44:$BO$44,,BC$6-$D71+1)),0)</f>
        <v>0</v>
      </c>
      <c r="BD71" s="46">
        <f t="array" ref="BD71">IFERROR(IF(INDEX(Historicals!$T27:$BO27,,BD$6+$D71*-1)&lt;&gt;"",INDEX(Historicals!$T27:$BO27,,BD$6+$D71*-1),$F71*BD$46*Historicals!$S27*INDEX($T$44:$BO$44,,BD$6-$D71+1)),0)</f>
        <v>0</v>
      </c>
      <c r="BE71" s="46">
        <f t="array" ref="BE71">IFERROR(IF(INDEX(Historicals!$T27:$BO27,,BE$6+$D71*-1)&lt;&gt;"",INDEX(Historicals!$T27:$BO27,,BE$6+$D71*-1),$F71*BE$46*Historicals!$S27*INDEX($T$44:$BO$44,,BE$6-$D71+1)),0)</f>
        <v>0</v>
      </c>
      <c r="BF71" s="46">
        <f t="array" ref="BF71">IFERROR(IF(INDEX(Historicals!$T27:$BO27,,BF$6+$D71*-1)&lt;&gt;"",INDEX(Historicals!$T27:$BO27,,BF$6+$D71*-1),$F71*BF$46*Historicals!$S27*INDEX($T$44:$BO$44,,BF$6-$D71+1)),0)</f>
        <v>0</v>
      </c>
      <c r="BG71" s="46">
        <f t="array" ref="BG71">IFERROR(IF(INDEX(Historicals!$T27:$BO27,,BG$6+$D71*-1)&lt;&gt;"",INDEX(Historicals!$T27:$BO27,,BG$6+$D71*-1),$F71*BG$46*Historicals!$S27*INDEX($T$44:$BO$44,,BG$6-$D71+1)),0)</f>
        <v>0</v>
      </c>
      <c r="BH71" s="46">
        <f t="array" ref="BH71">IFERROR(IF(INDEX(Historicals!$T27:$BO27,,BH$6+$D71*-1)&lt;&gt;"",INDEX(Historicals!$T27:$BO27,,BH$6+$D71*-1),$F71*BH$46*Historicals!$S27*INDEX($T$44:$BO$44,,BH$6-$D71+1)),0)</f>
        <v>0</v>
      </c>
      <c r="BI71" s="46">
        <f t="array" ref="BI71">IFERROR(IF(INDEX(Historicals!$T27:$BO27,,BI$6+$D71*-1)&lt;&gt;"",INDEX(Historicals!$T27:$BO27,,BI$6+$D71*-1),$F71*BI$46*Historicals!$S27*INDEX($T$44:$BO$44,,BI$6-$D71+1)),0)</f>
        <v>0</v>
      </c>
      <c r="BJ71" s="46">
        <f t="array" ref="BJ71">IFERROR(IF(INDEX(Historicals!$T27:$BO27,,BJ$6+$D71*-1)&lt;&gt;"",INDEX(Historicals!$T27:$BO27,,BJ$6+$D71*-1),$F71*BJ$46*Historicals!$S27*INDEX($T$44:$BO$44,,BJ$6-$D71+1)),0)</f>
        <v>0</v>
      </c>
      <c r="BK71" s="46">
        <f t="array" ref="BK71">IFERROR(IF(INDEX(Historicals!$T27:$BO27,,BK$6+$D71*-1)&lt;&gt;"",INDEX(Historicals!$T27:$BO27,,BK$6+$D71*-1),$F71*BK$46*Historicals!$S27*INDEX($T$44:$BO$44,,BK$6-$D71+1)),0)</f>
        <v>0</v>
      </c>
      <c r="BL71" s="46">
        <f t="array" ref="BL71">IFERROR(IF(INDEX(Historicals!$T27:$BO27,,BL$6+$D71*-1)&lt;&gt;"",INDEX(Historicals!$T27:$BO27,,BL$6+$D71*-1),$F71*BL$46*Historicals!$S27*INDEX($T$44:$BO$44,,BL$6-$D71+1)),0)</f>
        <v>0</v>
      </c>
      <c r="BM71" s="46">
        <f t="array" ref="BM71">IFERROR(IF(INDEX(Historicals!$T27:$BO27,,BM$6+$D71*-1)&lt;&gt;"",INDEX(Historicals!$T27:$BO27,,BM$6+$D71*-1),$F71*BM$46*Historicals!$S27*INDEX($T$44:$BO$44,,BM$6-$D71+1)),0)</f>
        <v>0</v>
      </c>
      <c r="BN71" s="46">
        <f t="array" ref="BN71">IFERROR(IF(INDEX(Historicals!$T27:$BO27,,BN$6+$D71*-1)&lt;&gt;"",INDEX(Historicals!$T27:$BO27,,BN$6+$D71*-1),$F71*BN$46*Historicals!$S27*INDEX($T$44:$BO$44,,BN$6-$D71+1)),0)</f>
        <v>0</v>
      </c>
      <c r="BO71" s="46">
        <f t="array" ref="BO71">IFERROR(IF(INDEX(Historicals!$T27:$BO27,,BO$6+$D71*-1)&lt;&gt;"",INDEX(Historicals!$T27:$BO27,,BO$6+$D71*-1),$F71*BO$46*Historicals!$S27*INDEX($T$44:$BO$44,,BO$6-$D71+1)),0)</f>
        <v>0</v>
      </c>
    </row>
    <row r="72" spans="1:67" ht="16.5" hidden="1" customHeight="1" outlineLevel="1">
      <c r="A72" s="1"/>
      <c r="B72" s="55">
        <f t="shared" si="19"/>
        <v>44709</v>
      </c>
      <c r="C72" s="17" t="s">
        <v>104</v>
      </c>
      <c r="D72" s="46">
        <f t="shared" si="20"/>
        <v>-31</v>
      </c>
      <c r="E72" s="16"/>
      <c r="F72" s="51">
        <v>1</v>
      </c>
      <c r="G72" s="16" t="s">
        <v>159</v>
      </c>
      <c r="H72" s="16" t="s">
        <v>155</v>
      </c>
      <c r="I72" s="46">
        <f>IF(H72=Forecast!$H$195,T72,IF(H72=Forecast!$H$196,BO72,IF(H72=Forecast!$H$197,SUM(T72:BO72),IF(H72=Forecast!$H$198,AVERAGE(T72:BO72),0))))</f>
        <v>0</v>
      </c>
      <c r="J72" s="16"/>
      <c r="K72" s="16"/>
      <c r="L72" s="16"/>
      <c r="M72" s="16"/>
      <c r="N72" s="16"/>
      <c r="O72" s="16"/>
      <c r="P72" s="16"/>
      <c r="Q72" s="16"/>
      <c r="R72" s="16"/>
      <c r="S72" s="16"/>
      <c r="T72" s="46">
        <f t="array" ref="T72">IFERROR(IF(INDEX(Historicals!$T28:$BO28,,T$6+$D72*-1)&lt;&gt;"",INDEX(Historicals!$T28:$BO28,,T$6+$D72*-1),$F72*T$46*Historicals!$S28*INDEX($T$44:$BO$44,,T$6-$D72+1)),0)</f>
        <v>0</v>
      </c>
      <c r="U72" s="46">
        <f t="array" ref="U72">IFERROR(IF(INDEX(Historicals!$T28:$BO28,,U$6+$D72*-1)&lt;&gt;"",INDEX(Historicals!$T28:$BO28,,U$6+$D72*-1),$F72*U$46*Historicals!$S28*INDEX($T$44:$BO$44,,U$6-$D72+1)),0)</f>
        <v>0</v>
      </c>
      <c r="V72" s="46">
        <f t="array" ref="V72">IFERROR(IF(INDEX(Historicals!$T28:$BO28,,V$6+$D72*-1)&lt;&gt;"",INDEX(Historicals!$T28:$BO28,,V$6+$D72*-1),$F72*V$46*Historicals!$S28*INDEX($T$44:$BO$44,,V$6-$D72+1)),0)</f>
        <v>0</v>
      </c>
      <c r="W72" s="46">
        <f t="array" ref="W72">IFERROR(IF(INDEX(Historicals!$T28:$BO28,,W$6+$D72*-1)&lt;&gt;"",INDEX(Historicals!$T28:$BO28,,W$6+$D72*-1),$F72*W$46*Historicals!$S28*INDEX($T$44:$BO$44,,W$6-$D72+1)),0)</f>
        <v>0</v>
      </c>
      <c r="X72" s="46">
        <f t="array" ref="X72">IFERROR(IF(INDEX(Historicals!$T28:$BO28,,X$6+$D72*-1)&lt;&gt;"",INDEX(Historicals!$T28:$BO28,,X$6+$D72*-1),$F72*X$46*Historicals!$S28*INDEX($T$44:$BO$44,,X$6-$D72+1)),0)</f>
        <v>0</v>
      </c>
      <c r="Y72" s="46">
        <f t="array" ref="Y72">IFERROR(IF(INDEX(Historicals!$T28:$BO28,,Y$6+$D72*-1)&lt;&gt;"",INDEX(Historicals!$T28:$BO28,,Y$6+$D72*-1),$F72*Y$46*Historicals!$S28*INDEX($T$44:$BO$44,,Y$6-$D72+1)),0)</f>
        <v>0</v>
      </c>
      <c r="Z72" s="46">
        <f t="array" ref="Z72">IFERROR(IF(INDEX(Historicals!$T28:$BO28,,Z$6+$D72*-1)&lt;&gt;"",INDEX(Historicals!$T28:$BO28,,Z$6+$D72*-1),$F72*Z$46*Historicals!$S28*INDEX($T$44:$BO$44,,Z$6-$D72+1)),0)</f>
        <v>0</v>
      </c>
      <c r="AA72" s="46">
        <f t="array" ref="AA72">IFERROR(IF(INDEX(Historicals!$T28:$BO28,,AA$6+$D72*-1)&lt;&gt;"",INDEX(Historicals!$T28:$BO28,,AA$6+$D72*-1),$F72*AA$46*Historicals!$S28*INDEX($T$44:$BO$44,,AA$6-$D72+1)),0)</f>
        <v>0</v>
      </c>
      <c r="AB72" s="46">
        <f t="array" ref="AB72">IFERROR(IF(INDEX(Historicals!$T28:$BO28,,AB$6+$D72*-1)&lt;&gt;"",INDEX(Historicals!$T28:$BO28,,AB$6+$D72*-1),$F72*AB$46*Historicals!$S28*INDEX($T$44:$BO$44,,AB$6-$D72+1)),0)</f>
        <v>0</v>
      </c>
      <c r="AC72" s="46">
        <f t="array" ref="AC72">IFERROR(IF(INDEX(Historicals!$T28:$BO28,,AC$6+$D72*-1)&lt;&gt;"",INDEX(Historicals!$T28:$BO28,,AC$6+$D72*-1),$F72*AC$46*Historicals!$S28*INDEX($T$44:$BO$44,,AC$6-$D72+1)),0)</f>
        <v>0</v>
      </c>
      <c r="AD72" s="46">
        <f t="array" ref="AD72">IFERROR(IF(INDEX(Historicals!$T28:$BO28,,AD$6+$D72*-1)&lt;&gt;"",INDEX(Historicals!$T28:$BO28,,AD$6+$D72*-1),$F72*AD$46*Historicals!$S28*INDEX($T$44:$BO$44,,AD$6-$D72+1)),0)</f>
        <v>0</v>
      </c>
      <c r="AE72" s="46">
        <f t="array" ref="AE72">IFERROR(IF(INDEX(Historicals!$T28:$BO28,,AE$6+$D72*-1)&lt;&gt;"",INDEX(Historicals!$T28:$BO28,,AE$6+$D72*-1),$F72*AE$46*Historicals!$S28*INDEX($T$44:$BO$44,,AE$6-$D72+1)),0)</f>
        <v>0</v>
      </c>
      <c r="AF72" s="46">
        <f t="array" ref="AF72">IFERROR(IF(INDEX(Historicals!$T28:$BO28,,AF$6+$D72*-1)&lt;&gt;"",INDEX(Historicals!$T28:$BO28,,AF$6+$D72*-1),$F72*AF$46*Historicals!$S28*INDEX($T$44:$BO$44,,AF$6-$D72+1)),0)</f>
        <v>0</v>
      </c>
      <c r="AG72" s="46">
        <f t="array" ref="AG72">IFERROR(IF(INDEX(Historicals!$T28:$BO28,,AG$6+$D72*-1)&lt;&gt;"",INDEX(Historicals!$T28:$BO28,,AG$6+$D72*-1),$F72*AG$46*Historicals!$S28*INDEX($T$44:$BO$44,,AG$6-$D72+1)),0)</f>
        <v>0</v>
      </c>
      <c r="AH72" s="46">
        <f t="array" ref="AH72">IFERROR(IF(INDEX(Historicals!$T28:$BO28,,AH$6+$D72*-1)&lt;&gt;"",INDEX(Historicals!$T28:$BO28,,AH$6+$D72*-1),$F72*AH$46*Historicals!$S28*INDEX($T$44:$BO$44,,AH$6-$D72+1)),0)</f>
        <v>0</v>
      </c>
      <c r="AI72" s="46">
        <f t="array" ref="AI72">IFERROR(IF(INDEX(Historicals!$T28:$BO28,,AI$6+$D72*-1)&lt;&gt;"",INDEX(Historicals!$T28:$BO28,,AI$6+$D72*-1),$F72*AI$46*Historicals!$S28*INDEX($T$44:$BO$44,,AI$6-$D72+1)),0)</f>
        <v>0</v>
      </c>
      <c r="AJ72" s="46">
        <f t="array" ref="AJ72">IFERROR(IF(INDEX(Historicals!$T28:$BO28,,AJ$6+$D72*-1)&lt;&gt;"",INDEX(Historicals!$T28:$BO28,,AJ$6+$D72*-1),$F72*AJ$46*Historicals!$S28*INDEX($T$44:$BO$44,,AJ$6-$D72+1)),0)</f>
        <v>0</v>
      </c>
      <c r="AK72" s="46">
        <f t="array" ref="AK72">IFERROR(IF(INDEX(Historicals!$T28:$BO28,,AK$6+$D72*-1)&lt;&gt;"",INDEX(Historicals!$T28:$BO28,,AK$6+$D72*-1),$F72*AK$46*Historicals!$S28*INDEX($T$44:$BO$44,,AK$6-$D72+1)),0)</f>
        <v>0</v>
      </c>
      <c r="AL72" s="46">
        <f t="array" ref="AL72">IFERROR(IF(INDEX(Historicals!$T28:$BO28,,AL$6+$D72*-1)&lt;&gt;"",INDEX(Historicals!$T28:$BO28,,AL$6+$D72*-1),$F72*AL$46*Historicals!$S28*INDEX($T$44:$BO$44,,AL$6-$D72+1)),0)</f>
        <v>0</v>
      </c>
      <c r="AM72" s="46">
        <f t="array" ref="AM72">IFERROR(IF(INDEX(Historicals!$T28:$BO28,,AM$6+$D72*-1)&lt;&gt;"",INDEX(Historicals!$T28:$BO28,,AM$6+$D72*-1),$F72*AM$46*Historicals!$S28*INDEX($T$44:$BO$44,,AM$6-$D72+1)),0)</f>
        <v>0</v>
      </c>
      <c r="AN72" s="46">
        <f t="array" ref="AN72">IFERROR(IF(INDEX(Historicals!$T28:$BO28,,AN$6+$D72*-1)&lt;&gt;"",INDEX(Historicals!$T28:$BO28,,AN$6+$D72*-1),$F72*AN$46*Historicals!$S28*INDEX($T$44:$BO$44,,AN$6-$D72+1)),0)</f>
        <v>0</v>
      </c>
      <c r="AO72" s="46">
        <f t="array" ref="AO72">IFERROR(IF(INDEX(Historicals!$T28:$BO28,,AO$6+$D72*-1)&lt;&gt;"",INDEX(Historicals!$T28:$BO28,,AO$6+$D72*-1),$F72*AO$46*Historicals!$S28*INDEX($T$44:$BO$44,,AO$6-$D72+1)),0)</f>
        <v>0</v>
      </c>
      <c r="AP72" s="46">
        <f t="array" ref="AP72">IFERROR(IF(INDEX(Historicals!$T28:$BO28,,AP$6+$D72*-1)&lt;&gt;"",INDEX(Historicals!$T28:$BO28,,AP$6+$D72*-1),$F72*AP$46*Historicals!$S28*INDEX($T$44:$BO$44,,AP$6-$D72+1)),0)</f>
        <v>0</v>
      </c>
      <c r="AQ72" s="46">
        <f t="array" ref="AQ72">IFERROR(IF(INDEX(Historicals!$T28:$BO28,,AQ$6+$D72*-1)&lt;&gt;"",INDEX(Historicals!$T28:$BO28,,AQ$6+$D72*-1),$F72*AQ$46*Historicals!$S28*INDEX($T$44:$BO$44,,AQ$6-$D72+1)),0)</f>
        <v>0</v>
      </c>
      <c r="AR72" s="46">
        <f t="array" ref="AR72">IFERROR(IF(INDEX(Historicals!$T28:$BO28,,AR$6+$D72*-1)&lt;&gt;"",INDEX(Historicals!$T28:$BO28,,AR$6+$D72*-1),$F72*AR$46*Historicals!$S28*INDEX($T$44:$BO$44,,AR$6-$D72+1)),0)</f>
        <v>0</v>
      </c>
      <c r="AS72" s="46">
        <f t="array" ref="AS72">IFERROR(IF(INDEX(Historicals!$T28:$BO28,,AS$6+$D72*-1)&lt;&gt;"",INDEX(Historicals!$T28:$BO28,,AS$6+$D72*-1),$F72*AS$46*Historicals!$S28*INDEX($T$44:$BO$44,,AS$6-$D72+1)),0)</f>
        <v>0</v>
      </c>
      <c r="AT72" s="46">
        <f t="array" ref="AT72">IFERROR(IF(INDEX(Historicals!$T28:$BO28,,AT$6+$D72*-1)&lt;&gt;"",INDEX(Historicals!$T28:$BO28,,AT$6+$D72*-1),$F72*AT$46*Historicals!$S28*INDEX($T$44:$BO$44,,AT$6-$D72+1)),0)</f>
        <v>0</v>
      </c>
      <c r="AU72" s="46">
        <f t="array" ref="AU72">IFERROR(IF(INDEX(Historicals!$T28:$BO28,,AU$6+$D72*-1)&lt;&gt;"",INDEX(Historicals!$T28:$BO28,,AU$6+$D72*-1),$F72*AU$46*Historicals!$S28*INDEX($T$44:$BO$44,,AU$6-$D72+1)),0)</f>
        <v>0</v>
      </c>
      <c r="AV72" s="46">
        <f t="array" ref="AV72">IFERROR(IF(INDEX(Historicals!$T28:$BO28,,AV$6+$D72*-1)&lt;&gt;"",INDEX(Historicals!$T28:$BO28,,AV$6+$D72*-1),$F72*AV$46*Historicals!$S28*INDEX($T$44:$BO$44,,AV$6-$D72+1)),0)</f>
        <v>0</v>
      </c>
      <c r="AW72" s="46">
        <f t="array" ref="AW72">IFERROR(IF(INDEX(Historicals!$T28:$BO28,,AW$6+$D72*-1)&lt;&gt;"",INDEX(Historicals!$T28:$BO28,,AW$6+$D72*-1),$F72*AW$46*Historicals!$S28*INDEX($T$44:$BO$44,,AW$6-$D72+1)),0)</f>
        <v>0</v>
      </c>
      <c r="AX72" s="46">
        <f t="array" ref="AX72">IFERROR(IF(INDEX(Historicals!$T28:$BO28,,AX$6+$D72*-1)&lt;&gt;"",INDEX(Historicals!$T28:$BO28,,AX$6+$D72*-1),$F72*AX$46*Historicals!$S28*INDEX($T$44:$BO$44,,AX$6-$D72+1)),0)</f>
        <v>0</v>
      </c>
      <c r="AY72" s="46">
        <f t="array" ref="AY72">IFERROR(IF(INDEX(Historicals!$T28:$BO28,,AY$6+$D72*-1)&lt;&gt;"",INDEX(Historicals!$T28:$BO28,,AY$6+$D72*-1),$F72*AY$46*Historicals!$S28*INDEX($T$44:$BO$44,,AY$6-$D72+1)),0)</f>
        <v>0</v>
      </c>
      <c r="AZ72" s="46">
        <f t="array" ref="AZ72">IFERROR(IF(INDEX(Historicals!$T28:$BO28,,AZ$6+$D72*-1)&lt;&gt;"",INDEX(Historicals!$T28:$BO28,,AZ$6+$D72*-1),$F72*AZ$46*Historicals!$S28*INDEX($T$44:$BO$44,,AZ$6-$D72+1)),0)</f>
        <v>0</v>
      </c>
      <c r="BA72" s="46">
        <f t="array" ref="BA72">IFERROR(IF(INDEX(Historicals!$T28:$BO28,,BA$6+$D72*-1)&lt;&gt;"",INDEX(Historicals!$T28:$BO28,,BA$6+$D72*-1),$F72*BA$46*Historicals!$S28*INDEX($T$44:$BO$44,,BA$6-$D72+1)),0)</f>
        <v>0</v>
      </c>
      <c r="BB72" s="46">
        <f t="array" ref="BB72">IFERROR(IF(INDEX(Historicals!$T28:$BO28,,BB$6+$D72*-1)&lt;&gt;"",INDEX(Historicals!$T28:$BO28,,BB$6+$D72*-1),$F72*BB$46*Historicals!$S28*INDEX($T$44:$BO$44,,BB$6-$D72+1)),0)</f>
        <v>0</v>
      </c>
      <c r="BC72" s="46">
        <f t="array" ref="BC72">IFERROR(IF(INDEX(Historicals!$T28:$BO28,,BC$6+$D72*-1)&lt;&gt;"",INDEX(Historicals!$T28:$BO28,,BC$6+$D72*-1),$F72*BC$46*Historicals!$S28*INDEX($T$44:$BO$44,,BC$6-$D72+1)),0)</f>
        <v>0</v>
      </c>
      <c r="BD72" s="46">
        <f t="array" ref="BD72">IFERROR(IF(INDEX(Historicals!$T28:$BO28,,BD$6+$D72*-1)&lt;&gt;"",INDEX(Historicals!$T28:$BO28,,BD$6+$D72*-1),$F72*BD$46*Historicals!$S28*INDEX($T$44:$BO$44,,BD$6-$D72+1)),0)</f>
        <v>0</v>
      </c>
      <c r="BE72" s="46">
        <f t="array" ref="BE72">IFERROR(IF(INDEX(Historicals!$T28:$BO28,,BE$6+$D72*-1)&lt;&gt;"",INDEX(Historicals!$T28:$BO28,,BE$6+$D72*-1),$F72*BE$46*Historicals!$S28*INDEX($T$44:$BO$44,,BE$6-$D72+1)),0)</f>
        <v>0</v>
      </c>
      <c r="BF72" s="46">
        <f t="array" ref="BF72">IFERROR(IF(INDEX(Historicals!$T28:$BO28,,BF$6+$D72*-1)&lt;&gt;"",INDEX(Historicals!$T28:$BO28,,BF$6+$D72*-1),$F72*BF$46*Historicals!$S28*INDEX($T$44:$BO$44,,BF$6-$D72+1)),0)</f>
        <v>0</v>
      </c>
      <c r="BG72" s="46">
        <f t="array" ref="BG72">IFERROR(IF(INDEX(Historicals!$T28:$BO28,,BG$6+$D72*-1)&lt;&gt;"",INDEX(Historicals!$T28:$BO28,,BG$6+$D72*-1),$F72*BG$46*Historicals!$S28*INDEX($T$44:$BO$44,,BG$6-$D72+1)),0)</f>
        <v>0</v>
      </c>
      <c r="BH72" s="46">
        <f t="array" ref="BH72">IFERROR(IF(INDEX(Historicals!$T28:$BO28,,BH$6+$D72*-1)&lt;&gt;"",INDEX(Historicals!$T28:$BO28,,BH$6+$D72*-1),$F72*BH$46*Historicals!$S28*INDEX($T$44:$BO$44,,BH$6-$D72+1)),0)</f>
        <v>0</v>
      </c>
      <c r="BI72" s="46">
        <f t="array" ref="BI72">IFERROR(IF(INDEX(Historicals!$T28:$BO28,,BI$6+$D72*-1)&lt;&gt;"",INDEX(Historicals!$T28:$BO28,,BI$6+$D72*-1),$F72*BI$46*Historicals!$S28*INDEX($T$44:$BO$44,,BI$6-$D72+1)),0)</f>
        <v>0</v>
      </c>
      <c r="BJ72" s="46">
        <f t="array" ref="BJ72">IFERROR(IF(INDEX(Historicals!$T28:$BO28,,BJ$6+$D72*-1)&lt;&gt;"",INDEX(Historicals!$T28:$BO28,,BJ$6+$D72*-1),$F72*BJ$46*Historicals!$S28*INDEX($T$44:$BO$44,,BJ$6-$D72+1)),0)</f>
        <v>0</v>
      </c>
      <c r="BK72" s="46">
        <f t="array" ref="BK72">IFERROR(IF(INDEX(Historicals!$T28:$BO28,,BK$6+$D72*-1)&lt;&gt;"",INDEX(Historicals!$T28:$BO28,,BK$6+$D72*-1),$F72*BK$46*Historicals!$S28*INDEX($T$44:$BO$44,,BK$6-$D72+1)),0)</f>
        <v>0</v>
      </c>
      <c r="BL72" s="46">
        <f t="array" ref="BL72">IFERROR(IF(INDEX(Historicals!$T28:$BO28,,BL$6+$D72*-1)&lt;&gt;"",INDEX(Historicals!$T28:$BO28,,BL$6+$D72*-1),$F72*BL$46*Historicals!$S28*INDEX($T$44:$BO$44,,BL$6-$D72+1)),0)</f>
        <v>0</v>
      </c>
      <c r="BM72" s="46">
        <f t="array" ref="BM72">IFERROR(IF(INDEX(Historicals!$T28:$BO28,,BM$6+$D72*-1)&lt;&gt;"",INDEX(Historicals!$T28:$BO28,,BM$6+$D72*-1),$F72*BM$46*Historicals!$S28*INDEX($T$44:$BO$44,,BM$6-$D72+1)),0)</f>
        <v>0</v>
      </c>
      <c r="BN72" s="46">
        <f t="array" ref="BN72">IFERROR(IF(INDEX(Historicals!$T28:$BO28,,BN$6+$D72*-1)&lt;&gt;"",INDEX(Historicals!$T28:$BO28,,BN$6+$D72*-1),$F72*BN$46*Historicals!$S28*INDEX($T$44:$BO$44,,BN$6-$D72+1)),0)</f>
        <v>0</v>
      </c>
      <c r="BO72" s="46">
        <f t="array" ref="BO72">IFERROR(IF(INDEX(Historicals!$T28:$BO28,,BO$6+$D72*-1)&lt;&gt;"",INDEX(Historicals!$T28:$BO28,,BO$6+$D72*-1),$F72*BO$46*Historicals!$S28*INDEX($T$44:$BO$44,,BO$6-$D72+1)),0)</f>
        <v>0</v>
      </c>
    </row>
    <row r="73" spans="1:67" ht="16.5" hidden="1" customHeight="1" outlineLevel="1">
      <c r="A73" s="1"/>
      <c r="B73" s="55">
        <f t="shared" si="19"/>
        <v>44740</v>
      </c>
      <c r="C73" s="17" t="s">
        <v>104</v>
      </c>
      <c r="D73" s="46">
        <f t="shared" si="20"/>
        <v>-30</v>
      </c>
      <c r="E73" s="16"/>
      <c r="F73" s="51">
        <v>1</v>
      </c>
      <c r="G73" s="16" t="s">
        <v>159</v>
      </c>
      <c r="H73" s="16" t="s">
        <v>155</v>
      </c>
      <c r="I73" s="46">
        <f>IF(H73=Forecast!$H$195,T73,IF(H73=Forecast!$H$196,BO73,IF(H73=Forecast!$H$197,SUM(T73:BO73),IF(H73=Forecast!$H$198,AVERAGE(T73:BO73),0))))</f>
        <v>0</v>
      </c>
      <c r="J73" s="16"/>
      <c r="K73" s="16"/>
      <c r="L73" s="16"/>
      <c r="M73" s="16"/>
      <c r="N73" s="16"/>
      <c r="O73" s="16"/>
      <c r="P73" s="16"/>
      <c r="Q73" s="16"/>
      <c r="R73" s="16"/>
      <c r="S73" s="16"/>
      <c r="T73" s="46">
        <f t="array" ref="T73">IFERROR(IF(INDEX(Historicals!$T29:$BO29,,T$6+$D73*-1)&lt;&gt;"",INDEX(Historicals!$T29:$BO29,,T$6+$D73*-1),$F73*T$46*Historicals!$S29*INDEX($T$44:$BO$44,,T$6-$D73+1)),0)</f>
        <v>0</v>
      </c>
      <c r="U73" s="46">
        <f t="array" ref="U73">IFERROR(IF(INDEX(Historicals!$T29:$BO29,,U$6+$D73*-1)&lt;&gt;"",INDEX(Historicals!$T29:$BO29,,U$6+$D73*-1),$F73*U$46*Historicals!$S29*INDEX($T$44:$BO$44,,U$6-$D73+1)),0)</f>
        <v>0</v>
      </c>
      <c r="V73" s="46">
        <f t="array" ref="V73">IFERROR(IF(INDEX(Historicals!$T29:$BO29,,V$6+$D73*-1)&lt;&gt;"",INDEX(Historicals!$T29:$BO29,,V$6+$D73*-1),$F73*V$46*Historicals!$S29*INDEX($T$44:$BO$44,,V$6-$D73+1)),0)</f>
        <v>0</v>
      </c>
      <c r="W73" s="46">
        <f t="array" ref="W73">IFERROR(IF(INDEX(Historicals!$T29:$BO29,,W$6+$D73*-1)&lt;&gt;"",INDEX(Historicals!$T29:$BO29,,W$6+$D73*-1),$F73*W$46*Historicals!$S29*INDEX($T$44:$BO$44,,W$6-$D73+1)),0)</f>
        <v>0</v>
      </c>
      <c r="X73" s="46">
        <f t="array" ref="X73">IFERROR(IF(INDEX(Historicals!$T29:$BO29,,X$6+$D73*-1)&lt;&gt;"",INDEX(Historicals!$T29:$BO29,,X$6+$D73*-1),$F73*X$46*Historicals!$S29*INDEX($T$44:$BO$44,,X$6-$D73+1)),0)</f>
        <v>0</v>
      </c>
      <c r="Y73" s="46">
        <f t="array" ref="Y73">IFERROR(IF(INDEX(Historicals!$T29:$BO29,,Y$6+$D73*-1)&lt;&gt;"",INDEX(Historicals!$T29:$BO29,,Y$6+$D73*-1),$F73*Y$46*Historicals!$S29*INDEX($T$44:$BO$44,,Y$6-$D73+1)),0)</f>
        <v>0</v>
      </c>
      <c r="Z73" s="46">
        <f t="array" ref="Z73">IFERROR(IF(INDEX(Historicals!$T29:$BO29,,Z$6+$D73*-1)&lt;&gt;"",INDEX(Historicals!$T29:$BO29,,Z$6+$D73*-1),$F73*Z$46*Historicals!$S29*INDEX($T$44:$BO$44,,Z$6-$D73+1)),0)</f>
        <v>0</v>
      </c>
      <c r="AA73" s="46">
        <f t="array" ref="AA73">IFERROR(IF(INDEX(Historicals!$T29:$BO29,,AA$6+$D73*-1)&lt;&gt;"",INDEX(Historicals!$T29:$BO29,,AA$6+$D73*-1),$F73*AA$46*Historicals!$S29*INDEX($T$44:$BO$44,,AA$6-$D73+1)),0)</f>
        <v>0</v>
      </c>
      <c r="AB73" s="46">
        <f t="array" ref="AB73">IFERROR(IF(INDEX(Historicals!$T29:$BO29,,AB$6+$D73*-1)&lt;&gt;"",INDEX(Historicals!$T29:$BO29,,AB$6+$D73*-1),$F73*AB$46*Historicals!$S29*INDEX($T$44:$BO$44,,AB$6-$D73+1)),0)</f>
        <v>0</v>
      </c>
      <c r="AC73" s="46">
        <f t="array" ref="AC73">IFERROR(IF(INDEX(Historicals!$T29:$BO29,,AC$6+$D73*-1)&lt;&gt;"",INDEX(Historicals!$T29:$BO29,,AC$6+$D73*-1),$F73*AC$46*Historicals!$S29*INDEX($T$44:$BO$44,,AC$6-$D73+1)),0)</f>
        <v>0</v>
      </c>
      <c r="AD73" s="46">
        <f t="array" ref="AD73">IFERROR(IF(INDEX(Historicals!$T29:$BO29,,AD$6+$D73*-1)&lt;&gt;"",INDEX(Historicals!$T29:$BO29,,AD$6+$D73*-1),$F73*AD$46*Historicals!$S29*INDEX($T$44:$BO$44,,AD$6-$D73+1)),0)</f>
        <v>0</v>
      </c>
      <c r="AE73" s="46">
        <f t="array" ref="AE73">IFERROR(IF(INDEX(Historicals!$T29:$BO29,,AE$6+$D73*-1)&lt;&gt;"",INDEX(Historicals!$T29:$BO29,,AE$6+$D73*-1),$F73*AE$46*Historicals!$S29*INDEX($T$44:$BO$44,,AE$6-$D73+1)),0)</f>
        <v>0</v>
      </c>
      <c r="AF73" s="46">
        <f t="array" ref="AF73">IFERROR(IF(INDEX(Historicals!$T29:$BO29,,AF$6+$D73*-1)&lt;&gt;"",INDEX(Historicals!$T29:$BO29,,AF$6+$D73*-1),$F73*AF$46*Historicals!$S29*INDEX($T$44:$BO$44,,AF$6-$D73+1)),0)</f>
        <v>0</v>
      </c>
      <c r="AG73" s="46">
        <f t="array" ref="AG73">IFERROR(IF(INDEX(Historicals!$T29:$BO29,,AG$6+$D73*-1)&lt;&gt;"",INDEX(Historicals!$T29:$BO29,,AG$6+$D73*-1),$F73*AG$46*Historicals!$S29*INDEX($T$44:$BO$44,,AG$6-$D73+1)),0)</f>
        <v>0</v>
      </c>
      <c r="AH73" s="46">
        <f t="array" ref="AH73">IFERROR(IF(INDEX(Historicals!$T29:$BO29,,AH$6+$D73*-1)&lt;&gt;"",INDEX(Historicals!$T29:$BO29,,AH$6+$D73*-1),$F73*AH$46*Historicals!$S29*INDEX($T$44:$BO$44,,AH$6-$D73+1)),0)</f>
        <v>0</v>
      </c>
      <c r="AI73" s="46">
        <f t="array" ref="AI73">IFERROR(IF(INDEX(Historicals!$T29:$BO29,,AI$6+$D73*-1)&lt;&gt;"",INDEX(Historicals!$T29:$BO29,,AI$6+$D73*-1),$F73*AI$46*Historicals!$S29*INDEX($T$44:$BO$44,,AI$6-$D73+1)),0)</f>
        <v>0</v>
      </c>
      <c r="AJ73" s="46">
        <f t="array" ref="AJ73">IFERROR(IF(INDEX(Historicals!$T29:$BO29,,AJ$6+$D73*-1)&lt;&gt;"",INDEX(Historicals!$T29:$BO29,,AJ$6+$D73*-1),$F73*AJ$46*Historicals!$S29*INDEX($T$44:$BO$44,,AJ$6-$D73+1)),0)</f>
        <v>0</v>
      </c>
      <c r="AK73" s="46">
        <f t="array" ref="AK73">IFERROR(IF(INDEX(Historicals!$T29:$BO29,,AK$6+$D73*-1)&lt;&gt;"",INDEX(Historicals!$T29:$BO29,,AK$6+$D73*-1),$F73*AK$46*Historicals!$S29*INDEX($T$44:$BO$44,,AK$6-$D73+1)),0)</f>
        <v>0</v>
      </c>
      <c r="AL73" s="46">
        <f t="array" ref="AL73">IFERROR(IF(INDEX(Historicals!$T29:$BO29,,AL$6+$D73*-1)&lt;&gt;"",INDEX(Historicals!$T29:$BO29,,AL$6+$D73*-1),$F73*AL$46*Historicals!$S29*INDEX($T$44:$BO$44,,AL$6-$D73+1)),0)</f>
        <v>0</v>
      </c>
      <c r="AM73" s="46">
        <f t="array" ref="AM73">IFERROR(IF(INDEX(Historicals!$T29:$BO29,,AM$6+$D73*-1)&lt;&gt;"",INDEX(Historicals!$T29:$BO29,,AM$6+$D73*-1),$F73*AM$46*Historicals!$S29*INDEX($T$44:$BO$44,,AM$6-$D73+1)),0)</f>
        <v>0</v>
      </c>
      <c r="AN73" s="46">
        <f t="array" ref="AN73">IFERROR(IF(INDEX(Historicals!$T29:$BO29,,AN$6+$D73*-1)&lt;&gt;"",INDEX(Historicals!$T29:$BO29,,AN$6+$D73*-1),$F73*AN$46*Historicals!$S29*INDEX($T$44:$BO$44,,AN$6-$D73+1)),0)</f>
        <v>0</v>
      </c>
      <c r="AO73" s="46">
        <f t="array" ref="AO73">IFERROR(IF(INDEX(Historicals!$T29:$BO29,,AO$6+$D73*-1)&lt;&gt;"",INDEX(Historicals!$T29:$BO29,,AO$6+$D73*-1),$F73*AO$46*Historicals!$S29*INDEX($T$44:$BO$44,,AO$6-$D73+1)),0)</f>
        <v>0</v>
      </c>
      <c r="AP73" s="46">
        <f t="array" ref="AP73">IFERROR(IF(INDEX(Historicals!$T29:$BO29,,AP$6+$D73*-1)&lt;&gt;"",INDEX(Historicals!$T29:$BO29,,AP$6+$D73*-1),$F73*AP$46*Historicals!$S29*INDEX($T$44:$BO$44,,AP$6-$D73+1)),0)</f>
        <v>0</v>
      </c>
      <c r="AQ73" s="46">
        <f t="array" ref="AQ73">IFERROR(IF(INDEX(Historicals!$T29:$BO29,,AQ$6+$D73*-1)&lt;&gt;"",INDEX(Historicals!$T29:$BO29,,AQ$6+$D73*-1),$F73*AQ$46*Historicals!$S29*INDEX($T$44:$BO$44,,AQ$6-$D73+1)),0)</f>
        <v>0</v>
      </c>
      <c r="AR73" s="46">
        <f t="array" ref="AR73">IFERROR(IF(INDEX(Historicals!$T29:$BO29,,AR$6+$D73*-1)&lt;&gt;"",INDEX(Historicals!$T29:$BO29,,AR$6+$D73*-1),$F73*AR$46*Historicals!$S29*INDEX($T$44:$BO$44,,AR$6-$D73+1)),0)</f>
        <v>0</v>
      </c>
      <c r="AS73" s="46">
        <f t="array" ref="AS73">IFERROR(IF(INDEX(Historicals!$T29:$BO29,,AS$6+$D73*-1)&lt;&gt;"",INDEX(Historicals!$T29:$BO29,,AS$6+$D73*-1),$F73*AS$46*Historicals!$S29*INDEX($T$44:$BO$44,,AS$6-$D73+1)),0)</f>
        <v>0</v>
      </c>
      <c r="AT73" s="46">
        <f t="array" ref="AT73">IFERROR(IF(INDEX(Historicals!$T29:$BO29,,AT$6+$D73*-1)&lt;&gt;"",INDEX(Historicals!$T29:$BO29,,AT$6+$D73*-1),$F73*AT$46*Historicals!$S29*INDEX($T$44:$BO$44,,AT$6-$D73+1)),0)</f>
        <v>0</v>
      </c>
      <c r="AU73" s="46">
        <f t="array" ref="AU73">IFERROR(IF(INDEX(Historicals!$T29:$BO29,,AU$6+$D73*-1)&lt;&gt;"",INDEX(Historicals!$T29:$BO29,,AU$6+$D73*-1),$F73*AU$46*Historicals!$S29*INDEX($T$44:$BO$44,,AU$6-$D73+1)),0)</f>
        <v>0</v>
      </c>
      <c r="AV73" s="46">
        <f t="array" ref="AV73">IFERROR(IF(INDEX(Historicals!$T29:$BO29,,AV$6+$D73*-1)&lt;&gt;"",INDEX(Historicals!$T29:$BO29,,AV$6+$D73*-1),$F73*AV$46*Historicals!$S29*INDEX($T$44:$BO$44,,AV$6-$D73+1)),0)</f>
        <v>0</v>
      </c>
      <c r="AW73" s="46">
        <f t="array" ref="AW73">IFERROR(IF(INDEX(Historicals!$T29:$BO29,,AW$6+$D73*-1)&lt;&gt;"",INDEX(Historicals!$T29:$BO29,,AW$6+$D73*-1),$F73*AW$46*Historicals!$S29*INDEX($T$44:$BO$44,,AW$6-$D73+1)),0)</f>
        <v>0</v>
      </c>
      <c r="AX73" s="46">
        <f t="array" ref="AX73">IFERROR(IF(INDEX(Historicals!$T29:$BO29,,AX$6+$D73*-1)&lt;&gt;"",INDEX(Historicals!$T29:$BO29,,AX$6+$D73*-1),$F73*AX$46*Historicals!$S29*INDEX($T$44:$BO$44,,AX$6-$D73+1)),0)</f>
        <v>0</v>
      </c>
      <c r="AY73" s="46">
        <f t="array" ref="AY73">IFERROR(IF(INDEX(Historicals!$T29:$BO29,,AY$6+$D73*-1)&lt;&gt;"",INDEX(Historicals!$T29:$BO29,,AY$6+$D73*-1),$F73*AY$46*Historicals!$S29*INDEX($T$44:$BO$44,,AY$6-$D73+1)),0)</f>
        <v>0</v>
      </c>
      <c r="AZ73" s="46">
        <f t="array" ref="AZ73">IFERROR(IF(INDEX(Historicals!$T29:$BO29,,AZ$6+$D73*-1)&lt;&gt;"",INDEX(Historicals!$T29:$BO29,,AZ$6+$D73*-1),$F73*AZ$46*Historicals!$S29*INDEX($T$44:$BO$44,,AZ$6-$D73+1)),0)</f>
        <v>0</v>
      </c>
      <c r="BA73" s="46">
        <f t="array" ref="BA73">IFERROR(IF(INDEX(Historicals!$T29:$BO29,,BA$6+$D73*-1)&lt;&gt;"",INDEX(Historicals!$T29:$BO29,,BA$6+$D73*-1),$F73*BA$46*Historicals!$S29*INDEX($T$44:$BO$44,,BA$6-$D73+1)),0)</f>
        <v>0</v>
      </c>
      <c r="BB73" s="46">
        <f t="array" ref="BB73">IFERROR(IF(INDEX(Historicals!$T29:$BO29,,BB$6+$D73*-1)&lt;&gt;"",INDEX(Historicals!$T29:$BO29,,BB$6+$D73*-1),$F73*BB$46*Historicals!$S29*INDEX($T$44:$BO$44,,BB$6-$D73+1)),0)</f>
        <v>0</v>
      </c>
      <c r="BC73" s="46">
        <f t="array" ref="BC73">IFERROR(IF(INDEX(Historicals!$T29:$BO29,,BC$6+$D73*-1)&lt;&gt;"",INDEX(Historicals!$T29:$BO29,,BC$6+$D73*-1),$F73*BC$46*Historicals!$S29*INDEX($T$44:$BO$44,,BC$6-$D73+1)),0)</f>
        <v>0</v>
      </c>
      <c r="BD73" s="46">
        <f t="array" ref="BD73">IFERROR(IF(INDEX(Historicals!$T29:$BO29,,BD$6+$D73*-1)&lt;&gt;"",INDEX(Historicals!$T29:$BO29,,BD$6+$D73*-1),$F73*BD$46*Historicals!$S29*INDEX($T$44:$BO$44,,BD$6-$D73+1)),0)</f>
        <v>0</v>
      </c>
      <c r="BE73" s="46">
        <f t="array" ref="BE73">IFERROR(IF(INDEX(Historicals!$T29:$BO29,,BE$6+$D73*-1)&lt;&gt;"",INDEX(Historicals!$T29:$BO29,,BE$6+$D73*-1),$F73*BE$46*Historicals!$S29*INDEX($T$44:$BO$44,,BE$6-$D73+1)),0)</f>
        <v>0</v>
      </c>
      <c r="BF73" s="46">
        <f t="array" ref="BF73">IFERROR(IF(INDEX(Historicals!$T29:$BO29,,BF$6+$D73*-1)&lt;&gt;"",INDEX(Historicals!$T29:$BO29,,BF$6+$D73*-1),$F73*BF$46*Historicals!$S29*INDEX($T$44:$BO$44,,BF$6-$D73+1)),0)</f>
        <v>0</v>
      </c>
      <c r="BG73" s="46">
        <f t="array" ref="BG73">IFERROR(IF(INDEX(Historicals!$T29:$BO29,,BG$6+$D73*-1)&lt;&gt;"",INDEX(Historicals!$T29:$BO29,,BG$6+$D73*-1),$F73*BG$46*Historicals!$S29*INDEX($T$44:$BO$44,,BG$6-$D73+1)),0)</f>
        <v>0</v>
      </c>
      <c r="BH73" s="46">
        <f t="array" ref="BH73">IFERROR(IF(INDEX(Historicals!$T29:$BO29,,BH$6+$D73*-1)&lt;&gt;"",INDEX(Historicals!$T29:$BO29,,BH$6+$D73*-1),$F73*BH$46*Historicals!$S29*INDEX($T$44:$BO$44,,BH$6-$D73+1)),0)</f>
        <v>0</v>
      </c>
      <c r="BI73" s="46">
        <f t="array" ref="BI73">IFERROR(IF(INDEX(Historicals!$T29:$BO29,,BI$6+$D73*-1)&lt;&gt;"",INDEX(Historicals!$T29:$BO29,,BI$6+$D73*-1),$F73*BI$46*Historicals!$S29*INDEX($T$44:$BO$44,,BI$6-$D73+1)),0)</f>
        <v>0</v>
      </c>
      <c r="BJ73" s="46">
        <f t="array" ref="BJ73">IFERROR(IF(INDEX(Historicals!$T29:$BO29,,BJ$6+$D73*-1)&lt;&gt;"",INDEX(Historicals!$T29:$BO29,,BJ$6+$D73*-1),$F73*BJ$46*Historicals!$S29*INDEX($T$44:$BO$44,,BJ$6-$D73+1)),0)</f>
        <v>0</v>
      </c>
      <c r="BK73" s="46">
        <f t="array" ref="BK73">IFERROR(IF(INDEX(Historicals!$T29:$BO29,,BK$6+$D73*-1)&lt;&gt;"",INDEX(Historicals!$T29:$BO29,,BK$6+$D73*-1),$F73*BK$46*Historicals!$S29*INDEX($T$44:$BO$44,,BK$6-$D73+1)),0)</f>
        <v>0</v>
      </c>
      <c r="BL73" s="46">
        <f t="array" ref="BL73">IFERROR(IF(INDEX(Historicals!$T29:$BO29,,BL$6+$D73*-1)&lt;&gt;"",INDEX(Historicals!$T29:$BO29,,BL$6+$D73*-1),$F73*BL$46*Historicals!$S29*INDEX($T$44:$BO$44,,BL$6-$D73+1)),0)</f>
        <v>0</v>
      </c>
      <c r="BM73" s="46">
        <f t="array" ref="BM73">IFERROR(IF(INDEX(Historicals!$T29:$BO29,,BM$6+$D73*-1)&lt;&gt;"",INDEX(Historicals!$T29:$BO29,,BM$6+$D73*-1),$F73*BM$46*Historicals!$S29*INDEX($T$44:$BO$44,,BM$6-$D73+1)),0)</f>
        <v>0</v>
      </c>
      <c r="BN73" s="46">
        <f t="array" ref="BN73">IFERROR(IF(INDEX(Historicals!$T29:$BO29,,BN$6+$D73*-1)&lt;&gt;"",INDEX(Historicals!$T29:$BO29,,BN$6+$D73*-1),$F73*BN$46*Historicals!$S29*INDEX($T$44:$BO$44,,BN$6-$D73+1)),0)</f>
        <v>0</v>
      </c>
      <c r="BO73" s="46">
        <f t="array" ref="BO73">IFERROR(IF(INDEX(Historicals!$T29:$BO29,,BO$6+$D73*-1)&lt;&gt;"",INDEX(Historicals!$T29:$BO29,,BO$6+$D73*-1),$F73*BO$46*Historicals!$S29*INDEX($T$44:$BO$44,,BO$6-$D73+1)),0)</f>
        <v>0</v>
      </c>
    </row>
    <row r="74" spans="1:67" ht="16.5" hidden="1" customHeight="1" outlineLevel="1">
      <c r="A74" s="1"/>
      <c r="B74" s="55">
        <f t="shared" si="19"/>
        <v>44770</v>
      </c>
      <c r="C74" s="17" t="s">
        <v>104</v>
      </c>
      <c r="D74" s="46">
        <f t="shared" si="20"/>
        <v>-29</v>
      </c>
      <c r="E74" s="16"/>
      <c r="F74" s="51">
        <v>1</v>
      </c>
      <c r="G74" s="16" t="s">
        <v>159</v>
      </c>
      <c r="H74" s="16" t="s">
        <v>155</v>
      </c>
      <c r="I74" s="46">
        <f>IF(H74=Forecast!$H$195,T74,IF(H74=Forecast!$H$196,BO74,IF(H74=Forecast!$H$197,SUM(T74:BO74),IF(H74=Forecast!$H$198,AVERAGE(T74:BO74),0))))</f>
        <v>0</v>
      </c>
      <c r="J74" s="16"/>
      <c r="K74" s="16"/>
      <c r="L74" s="16"/>
      <c r="M74" s="16"/>
      <c r="N74" s="16"/>
      <c r="O74" s="16"/>
      <c r="P74" s="16"/>
      <c r="Q74" s="16"/>
      <c r="R74" s="16"/>
      <c r="S74" s="16"/>
      <c r="T74" s="46">
        <f t="array" ref="T74">IFERROR(IF(INDEX(Historicals!$T30:$BO30,,T$6+$D74*-1)&lt;&gt;"",INDEX(Historicals!$T30:$BO30,,T$6+$D74*-1),$F74*T$46*Historicals!$S30*INDEX($T$44:$BO$44,,T$6-$D74+1)),0)</f>
        <v>0</v>
      </c>
      <c r="U74" s="46">
        <f t="array" ref="U74">IFERROR(IF(INDEX(Historicals!$T30:$BO30,,U$6+$D74*-1)&lt;&gt;"",INDEX(Historicals!$T30:$BO30,,U$6+$D74*-1),$F74*U$46*Historicals!$S30*INDEX($T$44:$BO$44,,U$6-$D74+1)),0)</f>
        <v>0</v>
      </c>
      <c r="V74" s="46">
        <f t="array" ref="V74">IFERROR(IF(INDEX(Historicals!$T30:$BO30,,V$6+$D74*-1)&lt;&gt;"",INDEX(Historicals!$T30:$BO30,,V$6+$D74*-1),$F74*V$46*Historicals!$S30*INDEX($T$44:$BO$44,,V$6-$D74+1)),0)</f>
        <v>0</v>
      </c>
      <c r="W74" s="46">
        <f t="array" ref="W74">IFERROR(IF(INDEX(Historicals!$T30:$BO30,,W$6+$D74*-1)&lt;&gt;"",INDEX(Historicals!$T30:$BO30,,W$6+$D74*-1),$F74*W$46*Historicals!$S30*INDEX($T$44:$BO$44,,W$6-$D74+1)),0)</f>
        <v>0</v>
      </c>
      <c r="X74" s="46">
        <f t="array" ref="X74">IFERROR(IF(INDEX(Historicals!$T30:$BO30,,X$6+$D74*-1)&lt;&gt;"",INDEX(Historicals!$T30:$BO30,,X$6+$D74*-1),$F74*X$46*Historicals!$S30*INDEX($T$44:$BO$44,,X$6-$D74+1)),0)</f>
        <v>0</v>
      </c>
      <c r="Y74" s="46">
        <f t="array" ref="Y74">IFERROR(IF(INDEX(Historicals!$T30:$BO30,,Y$6+$D74*-1)&lt;&gt;"",INDEX(Historicals!$T30:$BO30,,Y$6+$D74*-1),$F74*Y$46*Historicals!$S30*INDEX($T$44:$BO$44,,Y$6-$D74+1)),0)</f>
        <v>0</v>
      </c>
      <c r="Z74" s="46">
        <f t="array" ref="Z74">IFERROR(IF(INDEX(Historicals!$T30:$BO30,,Z$6+$D74*-1)&lt;&gt;"",INDEX(Historicals!$T30:$BO30,,Z$6+$D74*-1),$F74*Z$46*Historicals!$S30*INDEX($T$44:$BO$44,,Z$6-$D74+1)),0)</f>
        <v>0</v>
      </c>
      <c r="AA74" s="46">
        <f t="array" ref="AA74">IFERROR(IF(INDEX(Historicals!$T30:$BO30,,AA$6+$D74*-1)&lt;&gt;"",INDEX(Historicals!$T30:$BO30,,AA$6+$D74*-1),$F74*AA$46*Historicals!$S30*INDEX($T$44:$BO$44,,AA$6-$D74+1)),0)</f>
        <v>0</v>
      </c>
      <c r="AB74" s="46">
        <f t="array" ref="AB74">IFERROR(IF(INDEX(Historicals!$T30:$BO30,,AB$6+$D74*-1)&lt;&gt;"",INDEX(Historicals!$T30:$BO30,,AB$6+$D74*-1),$F74*AB$46*Historicals!$S30*INDEX($T$44:$BO$44,,AB$6-$D74+1)),0)</f>
        <v>0</v>
      </c>
      <c r="AC74" s="46">
        <f t="array" ref="AC74">IFERROR(IF(INDEX(Historicals!$T30:$BO30,,AC$6+$D74*-1)&lt;&gt;"",INDEX(Historicals!$T30:$BO30,,AC$6+$D74*-1),$F74*AC$46*Historicals!$S30*INDEX($T$44:$BO$44,,AC$6-$D74+1)),0)</f>
        <v>0</v>
      </c>
      <c r="AD74" s="46">
        <f t="array" ref="AD74">IFERROR(IF(INDEX(Historicals!$T30:$BO30,,AD$6+$D74*-1)&lt;&gt;"",INDEX(Historicals!$T30:$BO30,,AD$6+$D74*-1),$F74*AD$46*Historicals!$S30*INDEX($T$44:$BO$44,,AD$6-$D74+1)),0)</f>
        <v>0</v>
      </c>
      <c r="AE74" s="46">
        <f t="array" ref="AE74">IFERROR(IF(INDEX(Historicals!$T30:$BO30,,AE$6+$D74*-1)&lt;&gt;"",INDEX(Historicals!$T30:$BO30,,AE$6+$D74*-1),$F74*AE$46*Historicals!$S30*INDEX($T$44:$BO$44,,AE$6-$D74+1)),0)</f>
        <v>0</v>
      </c>
      <c r="AF74" s="46">
        <f t="array" ref="AF74">IFERROR(IF(INDEX(Historicals!$T30:$BO30,,AF$6+$D74*-1)&lt;&gt;"",INDEX(Historicals!$T30:$BO30,,AF$6+$D74*-1),$F74*AF$46*Historicals!$S30*INDEX($T$44:$BO$44,,AF$6-$D74+1)),0)</f>
        <v>0</v>
      </c>
      <c r="AG74" s="46">
        <f t="array" ref="AG74">IFERROR(IF(INDEX(Historicals!$T30:$BO30,,AG$6+$D74*-1)&lt;&gt;"",INDEX(Historicals!$T30:$BO30,,AG$6+$D74*-1),$F74*AG$46*Historicals!$S30*INDEX($T$44:$BO$44,,AG$6-$D74+1)),0)</f>
        <v>0</v>
      </c>
      <c r="AH74" s="46">
        <f t="array" ref="AH74">IFERROR(IF(INDEX(Historicals!$T30:$BO30,,AH$6+$D74*-1)&lt;&gt;"",INDEX(Historicals!$T30:$BO30,,AH$6+$D74*-1),$F74*AH$46*Historicals!$S30*INDEX($T$44:$BO$44,,AH$6-$D74+1)),0)</f>
        <v>0</v>
      </c>
      <c r="AI74" s="46">
        <f t="array" ref="AI74">IFERROR(IF(INDEX(Historicals!$T30:$BO30,,AI$6+$D74*-1)&lt;&gt;"",INDEX(Historicals!$T30:$BO30,,AI$6+$D74*-1),$F74*AI$46*Historicals!$S30*INDEX($T$44:$BO$44,,AI$6-$D74+1)),0)</f>
        <v>0</v>
      </c>
      <c r="AJ74" s="46">
        <f t="array" ref="AJ74">IFERROR(IF(INDEX(Historicals!$T30:$BO30,,AJ$6+$D74*-1)&lt;&gt;"",INDEX(Historicals!$T30:$BO30,,AJ$6+$D74*-1),$F74*AJ$46*Historicals!$S30*INDEX($T$44:$BO$44,,AJ$6-$D74+1)),0)</f>
        <v>0</v>
      </c>
      <c r="AK74" s="46">
        <f t="array" ref="AK74">IFERROR(IF(INDEX(Historicals!$T30:$BO30,,AK$6+$D74*-1)&lt;&gt;"",INDEX(Historicals!$T30:$BO30,,AK$6+$D74*-1),$F74*AK$46*Historicals!$S30*INDEX($T$44:$BO$44,,AK$6-$D74+1)),0)</f>
        <v>0</v>
      </c>
      <c r="AL74" s="46">
        <f t="array" ref="AL74">IFERROR(IF(INDEX(Historicals!$T30:$BO30,,AL$6+$D74*-1)&lt;&gt;"",INDEX(Historicals!$T30:$BO30,,AL$6+$D74*-1),$F74*AL$46*Historicals!$S30*INDEX($T$44:$BO$44,,AL$6-$D74+1)),0)</f>
        <v>0</v>
      </c>
      <c r="AM74" s="46">
        <f t="array" ref="AM74">IFERROR(IF(INDEX(Historicals!$T30:$BO30,,AM$6+$D74*-1)&lt;&gt;"",INDEX(Historicals!$T30:$BO30,,AM$6+$D74*-1),$F74*AM$46*Historicals!$S30*INDEX($T$44:$BO$44,,AM$6-$D74+1)),0)</f>
        <v>0</v>
      </c>
      <c r="AN74" s="46">
        <f t="array" ref="AN74">IFERROR(IF(INDEX(Historicals!$T30:$BO30,,AN$6+$D74*-1)&lt;&gt;"",INDEX(Historicals!$T30:$BO30,,AN$6+$D74*-1),$F74*AN$46*Historicals!$S30*INDEX($T$44:$BO$44,,AN$6-$D74+1)),0)</f>
        <v>0</v>
      </c>
      <c r="AO74" s="46">
        <f t="array" ref="AO74">IFERROR(IF(INDEX(Historicals!$T30:$BO30,,AO$6+$D74*-1)&lt;&gt;"",INDEX(Historicals!$T30:$BO30,,AO$6+$D74*-1),$F74*AO$46*Historicals!$S30*INDEX($T$44:$BO$44,,AO$6-$D74+1)),0)</f>
        <v>0</v>
      </c>
      <c r="AP74" s="46">
        <f t="array" ref="AP74">IFERROR(IF(INDEX(Historicals!$T30:$BO30,,AP$6+$D74*-1)&lt;&gt;"",INDEX(Historicals!$T30:$BO30,,AP$6+$D74*-1),$F74*AP$46*Historicals!$S30*INDEX($T$44:$BO$44,,AP$6-$D74+1)),0)</f>
        <v>0</v>
      </c>
      <c r="AQ74" s="46">
        <f t="array" ref="AQ74">IFERROR(IF(INDEX(Historicals!$T30:$BO30,,AQ$6+$D74*-1)&lt;&gt;"",INDEX(Historicals!$T30:$BO30,,AQ$6+$D74*-1),$F74*AQ$46*Historicals!$S30*INDEX($T$44:$BO$44,,AQ$6-$D74+1)),0)</f>
        <v>0</v>
      </c>
      <c r="AR74" s="46">
        <f t="array" ref="AR74">IFERROR(IF(INDEX(Historicals!$T30:$BO30,,AR$6+$D74*-1)&lt;&gt;"",INDEX(Historicals!$T30:$BO30,,AR$6+$D74*-1),$F74*AR$46*Historicals!$S30*INDEX($T$44:$BO$44,,AR$6-$D74+1)),0)</f>
        <v>0</v>
      </c>
      <c r="AS74" s="46">
        <f t="array" ref="AS74">IFERROR(IF(INDEX(Historicals!$T30:$BO30,,AS$6+$D74*-1)&lt;&gt;"",INDEX(Historicals!$T30:$BO30,,AS$6+$D74*-1),$F74*AS$46*Historicals!$S30*INDEX($T$44:$BO$44,,AS$6-$D74+1)),0)</f>
        <v>0</v>
      </c>
      <c r="AT74" s="46">
        <f t="array" ref="AT74">IFERROR(IF(INDEX(Historicals!$T30:$BO30,,AT$6+$D74*-1)&lt;&gt;"",INDEX(Historicals!$T30:$BO30,,AT$6+$D74*-1),$F74*AT$46*Historicals!$S30*INDEX($T$44:$BO$44,,AT$6-$D74+1)),0)</f>
        <v>0</v>
      </c>
      <c r="AU74" s="46">
        <f t="array" ref="AU74">IFERROR(IF(INDEX(Historicals!$T30:$BO30,,AU$6+$D74*-1)&lt;&gt;"",INDEX(Historicals!$T30:$BO30,,AU$6+$D74*-1),$F74*AU$46*Historicals!$S30*INDEX($T$44:$BO$44,,AU$6-$D74+1)),0)</f>
        <v>0</v>
      </c>
      <c r="AV74" s="46">
        <f t="array" ref="AV74">IFERROR(IF(INDEX(Historicals!$T30:$BO30,,AV$6+$D74*-1)&lt;&gt;"",INDEX(Historicals!$T30:$BO30,,AV$6+$D74*-1),$F74*AV$46*Historicals!$S30*INDEX($T$44:$BO$44,,AV$6-$D74+1)),0)</f>
        <v>0</v>
      </c>
      <c r="AW74" s="46">
        <f t="array" ref="AW74">IFERROR(IF(INDEX(Historicals!$T30:$BO30,,AW$6+$D74*-1)&lt;&gt;"",INDEX(Historicals!$T30:$BO30,,AW$6+$D74*-1),$F74*AW$46*Historicals!$S30*INDEX($T$44:$BO$44,,AW$6-$D74+1)),0)</f>
        <v>0</v>
      </c>
      <c r="AX74" s="46">
        <f t="array" ref="AX74">IFERROR(IF(INDEX(Historicals!$T30:$BO30,,AX$6+$D74*-1)&lt;&gt;"",INDEX(Historicals!$T30:$BO30,,AX$6+$D74*-1),$F74*AX$46*Historicals!$S30*INDEX($T$44:$BO$44,,AX$6-$D74+1)),0)</f>
        <v>0</v>
      </c>
      <c r="AY74" s="46">
        <f t="array" ref="AY74">IFERROR(IF(INDEX(Historicals!$T30:$BO30,,AY$6+$D74*-1)&lt;&gt;"",INDEX(Historicals!$T30:$BO30,,AY$6+$D74*-1),$F74*AY$46*Historicals!$S30*INDEX($T$44:$BO$44,,AY$6-$D74+1)),0)</f>
        <v>0</v>
      </c>
      <c r="AZ74" s="46">
        <f t="array" ref="AZ74">IFERROR(IF(INDEX(Historicals!$T30:$BO30,,AZ$6+$D74*-1)&lt;&gt;"",INDEX(Historicals!$T30:$BO30,,AZ$6+$D74*-1),$F74*AZ$46*Historicals!$S30*INDEX($T$44:$BO$44,,AZ$6-$D74+1)),0)</f>
        <v>0</v>
      </c>
      <c r="BA74" s="46">
        <f t="array" ref="BA74">IFERROR(IF(INDEX(Historicals!$T30:$BO30,,BA$6+$D74*-1)&lt;&gt;"",INDEX(Historicals!$T30:$BO30,,BA$6+$D74*-1),$F74*BA$46*Historicals!$S30*INDEX($T$44:$BO$44,,BA$6-$D74+1)),0)</f>
        <v>0</v>
      </c>
      <c r="BB74" s="46">
        <f t="array" ref="BB74">IFERROR(IF(INDEX(Historicals!$T30:$BO30,,BB$6+$D74*-1)&lt;&gt;"",INDEX(Historicals!$T30:$BO30,,BB$6+$D74*-1),$F74*BB$46*Historicals!$S30*INDEX($T$44:$BO$44,,BB$6-$D74+1)),0)</f>
        <v>0</v>
      </c>
      <c r="BC74" s="46">
        <f t="array" ref="BC74">IFERROR(IF(INDEX(Historicals!$T30:$BO30,,BC$6+$D74*-1)&lt;&gt;"",INDEX(Historicals!$T30:$BO30,,BC$6+$D74*-1),$F74*BC$46*Historicals!$S30*INDEX($T$44:$BO$44,,BC$6-$D74+1)),0)</f>
        <v>0</v>
      </c>
      <c r="BD74" s="46">
        <f t="array" ref="BD74">IFERROR(IF(INDEX(Historicals!$T30:$BO30,,BD$6+$D74*-1)&lt;&gt;"",INDEX(Historicals!$T30:$BO30,,BD$6+$D74*-1),$F74*BD$46*Historicals!$S30*INDEX($T$44:$BO$44,,BD$6-$D74+1)),0)</f>
        <v>0</v>
      </c>
      <c r="BE74" s="46">
        <f t="array" ref="BE74">IFERROR(IF(INDEX(Historicals!$T30:$BO30,,BE$6+$D74*-1)&lt;&gt;"",INDEX(Historicals!$T30:$BO30,,BE$6+$D74*-1),$F74*BE$46*Historicals!$S30*INDEX($T$44:$BO$44,,BE$6-$D74+1)),0)</f>
        <v>0</v>
      </c>
      <c r="BF74" s="46">
        <f t="array" ref="BF74">IFERROR(IF(INDEX(Historicals!$T30:$BO30,,BF$6+$D74*-1)&lt;&gt;"",INDEX(Historicals!$T30:$BO30,,BF$6+$D74*-1),$F74*BF$46*Historicals!$S30*INDEX($T$44:$BO$44,,BF$6-$D74+1)),0)</f>
        <v>0</v>
      </c>
      <c r="BG74" s="46">
        <f t="array" ref="BG74">IFERROR(IF(INDEX(Historicals!$T30:$BO30,,BG$6+$D74*-1)&lt;&gt;"",INDEX(Historicals!$T30:$BO30,,BG$6+$D74*-1),$F74*BG$46*Historicals!$S30*INDEX($T$44:$BO$44,,BG$6-$D74+1)),0)</f>
        <v>0</v>
      </c>
      <c r="BH74" s="46">
        <f t="array" ref="BH74">IFERROR(IF(INDEX(Historicals!$T30:$BO30,,BH$6+$D74*-1)&lt;&gt;"",INDEX(Historicals!$T30:$BO30,,BH$6+$D74*-1),$F74*BH$46*Historicals!$S30*INDEX($T$44:$BO$44,,BH$6-$D74+1)),0)</f>
        <v>0</v>
      </c>
      <c r="BI74" s="46">
        <f t="array" ref="BI74">IFERROR(IF(INDEX(Historicals!$T30:$BO30,,BI$6+$D74*-1)&lt;&gt;"",INDEX(Historicals!$T30:$BO30,,BI$6+$D74*-1),$F74*BI$46*Historicals!$S30*INDEX($T$44:$BO$44,,BI$6-$D74+1)),0)</f>
        <v>0</v>
      </c>
      <c r="BJ74" s="46">
        <f t="array" ref="BJ74">IFERROR(IF(INDEX(Historicals!$T30:$BO30,,BJ$6+$D74*-1)&lt;&gt;"",INDEX(Historicals!$T30:$BO30,,BJ$6+$D74*-1),$F74*BJ$46*Historicals!$S30*INDEX($T$44:$BO$44,,BJ$6-$D74+1)),0)</f>
        <v>0</v>
      </c>
      <c r="BK74" s="46">
        <f t="array" ref="BK74">IFERROR(IF(INDEX(Historicals!$T30:$BO30,,BK$6+$D74*-1)&lt;&gt;"",INDEX(Historicals!$T30:$BO30,,BK$6+$D74*-1),$F74*BK$46*Historicals!$S30*INDEX($T$44:$BO$44,,BK$6-$D74+1)),0)</f>
        <v>0</v>
      </c>
      <c r="BL74" s="46">
        <f t="array" ref="BL74">IFERROR(IF(INDEX(Historicals!$T30:$BO30,,BL$6+$D74*-1)&lt;&gt;"",INDEX(Historicals!$T30:$BO30,,BL$6+$D74*-1),$F74*BL$46*Historicals!$S30*INDEX($T$44:$BO$44,,BL$6-$D74+1)),0)</f>
        <v>0</v>
      </c>
      <c r="BM74" s="46">
        <f t="array" ref="BM74">IFERROR(IF(INDEX(Historicals!$T30:$BO30,,BM$6+$D74*-1)&lt;&gt;"",INDEX(Historicals!$T30:$BO30,,BM$6+$D74*-1),$F74*BM$46*Historicals!$S30*INDEX($T$44:$BO$44,,BM$6-$D74+1)),0)</f>
        <v>0</v>
      </c>
      <c r="BN74" s="46">
        <f t="array" ref="BN74">IFERROR(IF(INDEX(Historicals!$T30:$BO30,,BN$6+$D74*-1)&lt;&gt;"",INDEX(Historicals!$T30:$BO30,,BN$6+$D74*-1),$F74*BN$46*Historicals!$S30*INDEX($T$44:$BO$44,,BN$6-$D74+1)),0)</f>
        <v>0</v>
      </c>
      <c r="BO74" s="46">
        <f t="array" ref="BO74">IFERROR(IF(INDEX(Historicals!$T30:$BO30,,BO$6+$D74*-1)&lt;&gt;"",INDEX(Historicals!$T30:$BO30,,BO$6+$D74*-1),$F74*BO$46*Historicals!$S30*INDEX($T$44:$BO$44,,BO$6-$D74+1)),0)</f>
        <v>0</v>
      </c>
    </row>
    <row r="75" spans="1:67" ht="16.5" hidden="1" customHeight="1" outlineLevel="1">
      <c r="A75" s="1"/>
      <c r="B75" s="55">
        <f t="shared" si="19"/>
        <v>44801</v>
      </c>
      <c r="C75" s="17" t="s">
        <v>104</v>
      </c>
      <c r="D75" s="46">
        <f t="shared" si="20"/>
        <v>-28</v>
      </c>
      <c r="E75" s="16"/>
      <c r="F75" s="51">
        <v>1</v>
      </c>
      <c r="G75" s="16" t="s">
        <v>159</v>
      </c>
      <c r="H75" s="16" t="s">
        <v>155</v>
      </c>
      <c r="I75" s="46">
        <f>IF(H75=Forecast!$H$195,T75,IF(H75=Forecast!$H$196,BO75,IF(H75=Forecast!$H$197,SUM(T75:BO75),IF(H75=Forecast!$H$198,AVERAGE(T75:BO75),0))))</f>
        <v>0</v>
      </c>
      <c r="J75" s="16"/>
      <c r="K75" s="16"/>
      <c r="L75" s="16"/>
      <c r="M75" s="16"/>
      <c r="N75" s="16"/>
      <c r="O75" s="16"/>
      <c r="P75" s="16"/>
      <c r="Q75" s="16"/>
      <c r="R75" s="16"/>
      <c r="S75" s="16"/>
      <c r="T75" s="46">
        <f t="array" ref="T75">IFERROR(IF(INDEX(Historicals!$T31:$BO31,,T$6+$D75*-1)&lt;&gt;"",INDEX(Historicals!$T31:$BO31,,T$6+$D75*-1),$F75*T$46*Historicals!$S31*INDEX($T$44:$BO$44,,T$6-$D75+1)),0)</f>
        <v>0</v>
      </c>
      <c r="U75" s="46">
        <f t="array" ref="U75">IFERROR(IF(INDEX(Historicals!$T31:$BO31,,U$6+$D75*-1)&lt;&gt;"",INDEX(Historicals!$T31:$BO31,,U$6+$D75*-1),$F75*U$46*Historicals!$S31*INDEX($T$44:$BO$44,,U$6-$D75+1)),0)</f>
        <v>0</v>
      </c>
      <c r="V75" s="46">
        <f t="array" ref="V75">IFERROR(IF(INDEX(Historicals!$T31:$BO31,,V$6+$D75*-1)&lt;&gt;"",INDEX(Historicals!$T31:$BO31,,V$6+$D75*-1),$F75*V$46*Historicals!$S31*INDEX($T$44:$BO$44,,V$6-$D75+1)),0)</f>
        <v>0</v>
      </c>
      <c r="W75" s="46">
        <f t="array" ref="W75">IFERROR(IF(INDEX(Historicals!$T31:$BO31,,W$6+$D75*-1)&lt;&gt;"",INDEX(Historicals!$T31:$BO31,,W$6+$D75*-1),$F75*W$46*Historicals!$S31*INDEX($T$44:$BO$44,,W$6-$D75+1)),0)</f>
        <v>0</v>
      </c>
      <c r="X75" s="46">
        <f t="array" ref="X75">IFERROR(IF(INDEX(Historicals!$T31:$BO31,,X$6+$D75*-1)&lt;&gt;"",INDEX(Historicals!$T31:$BO31,,X$6+$D75*-1),$F75*X$46*Historicals!$S31*INDEX($T$44:$BO$44,,X$6-$D75+1)),0)</f>
        <v>0</v>
      </c>
      <c r="Y75" s="46">
        <f t="array" ref="Y75">IFERROR(IF(INDEX(Historicals!$T31:$BO31,,Y$6+$D75*-1)&lt;&gt;"",INDEX(Historicals!$T31:$BO31,,Y$6+$D75*-1),$F75*Y$46*Historicals!$S31*INDEX($T$44:$BO$44,,Y$6-$D75+1)),0)</f>
        <v>0</v>
      </c>
      <c r="Z75" s="46">
        <f t="array" ref="Z75">IFERROR(IF(INDEX(Historicals!$T31:$BO31,,Z$6+$D75*-1)&lt;&gt;"",INDEX(Historicals!$T31:$BO31,,Z$6+$D75*-1),$F75*Z$46*Historicals!$S31*INDEX($T$44:$BO$44,,Z$6-$D75+1)),0)</f>
        <v>0</v>
      </c>
      <c r="AA75" s="46">
        <f t="array" ref="AA75">IFERROR(IF(INDEX(Historicals!$T31:$BO31,,AA$6+$D75*-1)&lt;&gt;"",INDEX(Historicals!$T31:$BO31,,AA$6+$D75*-1),$F75*AA$46*Historicals!$S31*INDEX($T$44:$BO$44,,AA$6-$D75+1)),0)</f>
        <v>0</v>
      </c>
      <c r="AB75" s="46">
        <f t="array" ref="AB75">IFERROR(IF(INDEX(Historicals!$T31:$BO31,,AB$6+$D75*-1)&lt;&gt;"",INDEX(Historicals!$T31:$BO31,,AB$6+$D75*-1),$F75*AB$46*Historicals!$S31*INDEX($T$44:$BO$44,,AB$6-$D75+1)),0)</f>
        <v>0</v>
      </c>
      <c r="AC75" s="46">
        <f t="array" ref="AC75">IFERROR(IF(INDEX(Historicals!$T31:$BO31,,AC$6+$D75*-1)&lt;&gt;"",INDEX(Historicals!$T31:$BO31,,AC$6+$D75*-1),$F75*AC$46*Historicals!$S31*INDEX($T$44:$BO$44,,AC$6-$D75+1)),0)</f>
        <v>0</v>
      </c>
      <c r="AD75" s="46">
        <f t="array" ref="AD75">IFERROR(IF(INDEX(Historicals!$T31:$BO31,,AD$6+$D75*-1)&lt;&gt;"",INDEX(Historicals!$T31:$BO31,,AD$6+$D75*-1),$F75*AD$46*Historicals!$S31*INDEX($T$44:$BO$44,,AD$6-$D75+1)),0)</f>
        <v>0</v>
      </c>
      <c r="AE75" s="46">
        <f t="array" ref="AE75">IFERROR(IF(INDEX(Historicals!$T31:$BO31,,AE$6+$D75*-1)&lt;&gt;"",INDEX(Historicals!$T31:$BO31,,AE$6+$D75*-1),$F75*AE$46*Historicals!$S31*INDEX($T$44:$BO$44,,AE$6-$D75+1)),0)</f>
        <v>0</v>
      </c>
      <c r="AF75" s="46">
        <f t="array" ref="AF75">IFERROR(IF(INDEX(Historicals!$T31:$BO31,,AF$6+$D75*-1)&lt;&gt;"",INDEX(Historicals!$T31:$BO31,,AF$6+$D75*-1),$F75*AF$46*Historicals!$S31*INDEX($T$44:$BO$44,,AF$6-$D75+1)),0)</f>
        <v>0</v>
      </c>
      <c r="AG75" s="46">
        <f t="array" ref="AG75">IFERROR(IF(INDEX(Historicals!$T31:$BO31,,AG$6+$D75*-1)&lt;&gt;"",INDEX(Historicals!$T31:$BO31,,AG$6+$D75*-1),$F75*AG$46*Historicals!$S31*INDEX($T$44:$BO$44,,AG$6-$D75+1)),0)</f>
        <v>0</v>
      </c>
      <c r="AH75" s="46">
        <f t="array" ref="AH75">IFERROR(IF(INDEX(Historicals!$T31:$BO31,,AH$6+$D75*-1)&lt;&gt;"",INDEX(Historicals!$T31:$BO31,,AH$6+$D75*-1),$F75*AH$46*Historicals!$S31*INDEX($T$44:$BO$44,,AH$6-$D75+1)),0)</f>
        <v>0</v>
      </c>
      <c r="AI75" s="46">
        <f t="array" ref="AI75">IFERROR(IF(INDEX(Historicals!$T31:$BO31,,AI$6+$D75*-1)&lt;&gt;"",INDEX(Historicals!$T31:$BO31,,AI$6+$D75*-1),$F75*AI$46*Historicals!$S31*INDEX($T$44:$BO$44,,AI$6-$D75+1)),0)</f>
        <v>0</v>
      </c>
      <c r="AJ75" s="46">
        <f t="array" ref="AJ75">IFERROR(IF(INDEX(Historicals!$T31:$BO31,,AJ$6+$D75*-1)&lt;&gt;"",INDEX(Historicals!$T31:$BO31,,AJ$6+$D75*-1),$F75*AJ$46*Historicals!$S31*INDEX($T$44:$BO$44,,AJ$6-$D75+1)),0)</f>
        <v>0</v>
      </c>
      <c r="AK75" s="46">
        <f t="array" ref="AK75">IFERROR(IF(INDEX(Historicals!$T31:$BO31,,AK$6+$D75*-1)&lt;&gt;"",INDEX(Historicals!$T31:$BO31,,AK$6+$D75*-1),$F75*AK$46*Historicals!$S31*INDEX($T$44:$BO$44,,AK$6-$D75+1)),0)</f>
        <v>0</v>
      </c>
      <c r="AL75" s="46">
        <f t="array" ref="AL75">IFERROR(IF(INDEX(Historicals!$T31:$BO31,,AL$6+$D75*-1)&lt;&gt;"",INDEX(Historicals!$T31:$BO31,,AL$6+$D75*-1),$F75*AL$46*Historicals!$S31*INDEX($T$44:$BO$44,,AL$6-$D75+1)),0)</f>
        <v>0</v>
      </c>
      <c r="AM75" s="46">
        <f t="array" ref="AM75">IFERROR(IF(INDEX(Historicals!$T31:$BO31,,AM$6+$D75*-1)&lt;&gt;"",INDEX(Historicals!$T31:$BO31,,AM$6+$D75*-1),$F75*AM$46*Historicals!$S31*INDEX($T$44:$BO$44,,AM$6-$D75+1)),0)</f>
        <v>0</v>
      </c>
      <c r="AN75" s="46">
        <f t="array" ref="AN75">IFERROR(IF(INDEX(Historicals!$T31:$BO31,,AN$6+$D75*-1)&lt;&gt;"",INDEX(Historicals!$T31:$BO31,,AN$6+$D75*-1),$F75*AN$46*Historicals!$S31*INDEX($T$44:$BO$44,,AN$6-$D75+1)),0)</f>
        <v>0</v>
      </c>
      <c r="AO75" s="46">
        <f t="array" ref="AO75">IFERROR(IF(INDEX(Historicals!$T31:$BO31,,AO$6+$D75*-1)&lt;&gt;"",INDEX(Historicals!$T31:$BO31,,AO$6+$D75*-1),$F75*AO$46*Historicals!$S31*INDEX($T$44:$BO$44,,AO$6-$D75+1)),0)</f>
        <v>0</v>
      </c>
      <c r="AP75" s="46">
        <f t="array" ref="AP75">IFERROR(IF(INDEX(Historicals!$T31:$BO31,,AP$6+$D75*-1)&lt;&gt;"",INDEX(Historicals!$T31:$BO31,,AP$6+$D75*-1),$F75*AP$46*Historicals!$S31*INDEX($T$44:$BO$44,,AP$6-$D75+1)),0)</f>
        <v>0</v>
      </c>
      <c r="AQ75" s="46">
        <f t="array" ref="AQ75">IFERROR(IF(INDEX(Historicals!$T31:$BO31,,AQ$6+$D75*-1)&lt;&gt;"",INDEX(Historicals!$T31:$BO31,,AQ$6+$D75*-1),$F75*AQ$46*Historicals!$S31*INDEX($T$44:$BO$44,,AQ$6-$D75+1)),0)</f>
        <v>0</v>
      </c>
      <c r="AR75" s="46">
        <f t="array" ref="AR75">IFERROR(IF(INDEX(Historicals!$T31:$BO31,,AR$6+$D75*-1)&lt;&gt;"",INDEX(Historicals!$T31:$BO31,,AR$6+$D75*-1),$F75*AR$46*Historicals!$S31*INDEX($T$44:$BO$44,,AR$6-$D75+1)),0)</f>
        <v>0</v>
      </c>
      <c r="AS75" s="46">
        <f t="array" ref="AS75">IFERROR(IF(INDEX(Historicals!$T31:$BO31,,AS$6+$D75*-1)&lt;&gt;"",INDEX(Historicals!$T31:$BO31,,AS$6+$D75*-1),$F75*AS$46*Historicals!$S31*INDEX($T$44:$BO$44,,AS$6-$D75+1)),0)</f>
        <v>0</v>
      </c>
      <c r="AT75" s="46">
        <f t="array" ref="AT75">IFERROR(IF(INDEX(Historicals!$T31:$BO31,,AT$6+$D75*-1)&lt;&gt;"",INDEX(Historicals!$T31:$BO31,,AT$6+$D75*-1),$F75*AT$46*Historicals!$S31*INDEX($T$44:$BO$44,,AT$6-$D75+1)),0)</f>
        <v>0</v>
      </c>
      <c r="AU75" s="46">
        <f t="array" ref="AU75">IFERROR(IF(INDEX(Historicals!$T31:$BO31,,AU$6+$D75*-1)&lt;&gt;"",INDEX(Historicals!$T31:$BO31,,AU$6+$D75*-1),$F75*AU$46*Historicals!$S31*INDEX($T$44:$BO$44,,AU$6-$D75+1)),0)</f>
        <v>0</v>
      </c>
      <c r="AV75" s="46">
        <f t="array" ref="AV75">IFERROR(IF(INDEX(Historicals!$T31:$BO31,,AV$6+$D75*-1)&lt;&gt;"",INDEX(Historicals!$T31:$BO31,,AV$6+$D75*-1),$F75*AV$46*Historicals!$S31*INDEX($T$44:$BO$44,,AV$6-$D75+1)),0)</f>
        <v>0</v>
      </c>
      <c r="AW75" s="46">
        <f t="array" ref="AW75">IFERROR(IF(INDEX(Historicals!$T31:$BO31,,AW$6+$D75*-1)&lt;&gt;"",INDEX(Historicals!$T31:$BO31,,AW$6+$D75*-1),$F75*AW$46*Historicals!$S31*INDEX($T$44:$BO$44,,AW$6-$D75+1)),0)</f>
        <v>0</v>
      </c>
      <c r="AX75" s="46">
        <f t="array" ref="AX75">IFERROR(IF(INDEX(Historicals!$T31:$BO31,,AX$6+$D75*-1)&lt;&gt;"",INDEX(Historicals!$T31:$BO31,,AX$6+$D75*-1),$F75*AX$46*Historicals!$S31*INDEX($T$44:$BO$44,,AX$6-$D75+1)),0)</f>
        <v>0</v>
      </c>
      <c r="AY75" s="46">
        <f t="array" ref="AY75">IFERROR(IF(INDEX(Historicals!$T31:$BO31,,AY$6+$D75*-1)&lt;&gt;"",INDEX(Historicals!$T31:$BO31,,AY$6+$D75*-1),$F75*AY$46*Historicals!$S31*INDEX($T$44:$BO$44,,AY$6-$D75+1)),0)</f>
        <v>0</v>
      </c>
      <c r="AZ75" s="46">
        <f t="array" ref="AZ75">IFERROR(IF(INDEX(Historicals!$T31:$BO31,,AZ$6+$D75*-1)&lt;&gt;"",INDEX(Historicals!$T31:$BO31,,AZ$6+$D75*-1),$F75*AZ$46*Historicals!$S31*INDEX($T$44:$BO$44,,AZ$6-$D75+1)),0)</f>
        <v>0</v>
      </c>
      <c r="BA75" s="46">
        <f t="array" ref="BA75">IFERROR(IF(INDEX(Historicals!$T31:$BO31,,BA$6+$D75*-1)&lt;&gt;"",INDEX(Historicals!$T31:$BO31,,BA$6+$D75*-1),$F75*BA$46*Historicals!$S31*INDEX($T$44:$BO$44,,BA$6-$D75+1)),0)</f>
        <v>0</v>
      </c>
      <c r="BB75" s="46">
        <f t="array" ref="BB75">IFERROR(IF(INDEX(Historicals!$T31:$BO31,,BB$6+$D75*-1)&lt;&gt;"",INDEX(Historicals!$T31:$BO31,,BB$6+$D75*-1),$F75*BB$46*Historicals!$S31*INDEX($T$44:$BO$44,,BB$6-$D75+1)),0)</f>
        <v>0</v>
      </c>
      <c r="BC75" s="46">
        <f t="array" ref="BC75">IFERROR(IF(INDEX(Historicals!$T31:$BO31,,BC$6+$D75*-1)&lt;&gt;"",INDEX(Historicals!$T31:$BO31,,BC$6+$D75*-1),$F75*BC$46*Historicals!$S31*INDEX($T$44:$BO$44,,BC$6-$D75+1)),0)</f>
        <v>0</v>
      </c>
      <c r="BD75" s="46">
        <f t="array" ref="BD75">IFERROR(IF(INDEX(Historicals!$T31:$BO31,,BD$6+$D75*-1)&lt;&gt;"",INDEX(Historicals!$T31:$BO31,,BD$6+$D75*-1),$F75*BD$46*Historicals!$S31*INDEX($T$44:$BO$44,,BD$6-$D75+1)),0)</f>
        <v>0</v>
      </c>
      <c r="BE75" s="46">
        <f t="array" ref="BE75">IFERROR(IF(INDEX(Historicals!$T31:$BO31,,BE$6+$D75*-1)&lt;&gt;"",INDEX(Historicals!$T31:$BO31,,BE$6+$D75*-1),$F75*BE$46*Historicals!$S31*INDEX($T$44:$BO$44,,BE$6-$D75+1)),0)</f>
        <v>0</v>
      </c>
      <c r="BF75" s="46">
        <f t="array" ref="BF75">IFERROR(IF(INDEX(Historicals!$T31:$BO31,,BF$6+$D75*-1)&lt;&gt;"",INDEX(Historicals!$T31:$BO31,,BF$6+$D75*-1),$F75*BF$46*Historicals!$S31*INDEX($T$44:$BO$44,,BF$6-$D75+1)),0)</f>
        <v>0</v>
      </c>
      <c r="BG75" s="46">
        <f t="array" ref="BG75">IFERROR(IF(INDEX(Historicals!$T31:$BO31,,BG$6+$D75*-1)&lt;&gt;"",INDEX(Historicals!$T31:$BO31,,BG$6+$D75*-1),$F75*BG$46*Historicals!$S31*INDEX($T$44:$BO$44,,BG$6-$D75+1)),0)</f>
        <v>0</v>
      </c>
      <c r="BH75" s="46">
        <f t="array" ref="BH75">IFERROR(IF(INDEX(Historicals!$T31:$BO31,,BH$6+$D75*-1)&lt;&gt;"",INDEX(Historicals!$T31:$BO31,,BH$6+$D75*-1),$F75*BH$46*Historicals!$S31*INDEX($T$44:$BO$44,,BH$6-$D75+1)),0)</f>
        <v>0</v>
      </c>
      <c r="BI75" s="46">
        <f t="array" ref="BI75">IFERROR(IF(INDEX(Historicals!$T31:$BO31,,BI$6+$D75*-1)&lt;&gt;"",INDEX(Historicals!$T31:$BO31,,BI$6+$D75*-1),$F75*BI$46*Historicals!$S31*INDEX($T$44:$BO$44,,BI$6-$D75+1)),0)</f>
        <v>0</v>
      </c>
      <c r="BJ75" s="46">
        <f t="array" ref="BJ75">IFERROR(IF(INDEX(Historicals!$T31:$BO31,,BJ$6+$D75*-1)&lt;&gt;"",INDEX(Historicals!$T31:$BO31,,BJ$6+$D75*-1),$F75*BJ$46*Historicals!$S31*INDEX($T$44:$BO$44,,BJ$6-$D75+1)),0)</f>
        <v>0</v>
      </c>
      <c r="BK75" s="46">
        <f t="array" ref="BK75">IFERROR(IF(INDEX(Historicals!$T31:$BO31,,BK$6+$D75*-1)&lt;&gt;"",INDEX(Historicals!$T31:$BO31,,BK$6+$D75*-1),$F75*BK$46*Historicals!$S31*INDEX($T$44:$BO$44,,BK$6-$D75+1)),0)</f>
        <v>0</v>
      </c>
      <c r="BL75" s="46">
        <f t="array" ref="BL75">IFERROR(IF(INDEX(Historicals!$T31:$BO31,,BL$6+$D75*-1)&lt;&gt;"",INDEX(Historicals!$T31:$BO31,,BL$6+$D75*-1),$F75*BL$46*Historicals!$S31*INDEX($T$44:$BO$44,,BL$6-$D75+1)),0)</f>
        <v>0</v>
      </c>
      <c r="BM75" s="46">
        <f t="array" ref="BM75">IFERROR(IF(INDEX(Historicals!$T31:$BO31,,BM$6+$D75*-1)&lt;&gt;"",INDEX(Historicals!$T31:$BO31,,BM$6+$D75*-1),$F75*BM$46*Historicals!$S31*INDEX($T$44:$BO$44,,BM$6-$D75+1)),0)</f>
        <v>0</v>
      </c>
      <c r="BN75" s="46">
        <f t="array" ref="BN75">IFERROR(IF(INDEX(Historicals!$T31:$BO31,,BN$6+$D75*-1)&lt;&gt;"",INDEX(Historicals!$T31:$BO31,,BN$6+$D75*-1),$F75*BN$46*Historicals!$S31*INDEX($T$44:$BO$44,,BN$6-$D75+1)),0)</f>
        <v>0</v>
      </c>
      <c r="BO75" s="46">
        <f t="array" ref="BO75">IFERROR(IF(INDEX(Historicals!$T31:$BO31,,BO$6+$D75*-1)&lt;&gt;"",INDEX(Historicals!$T31:$BO31,,BO$6+$D75*-1),$F75*BO$46*Historicals!$S31*INDEX($T$44:$BO$44,,BO$6-$D75+1)),0)</f>
        <v>0</v>
      </c>
    </row>
    <row r="76" spans="1:67" ht="16.5" hidden="1" customHeight="1" outlineLevel="1">
      <c r="A76" s="1"/>
      <c r="B76" s="55">
        <f t="shared" si="19"/>
        <v>44832</v>
      </c>
      <c r="C76" s="17" t="s">
        <v>104</v>
      </c>
      <c r="D76" s="46">
        <f t="shared" si="20"/>
        <v>-27</v>
      </c>
      <c r="E76" s="16"/>
      <c r="F76" s="51">
        <v>1</v>
      </c>
      <c r="G76" s="16" t="s">
        <v>159</v>
      </c>
      <c r="H76" s="16" t="s">
        <v>155</v>
      </c>
      <c r="I76" s="46">
        <f>IF(H76=Forecast!$H$195,T76,IF(H76=Forecast!$H$196,BO76,IF(H76=Forecast!$H$197,SUM(T76:BO76),IF(H76=Forecast!$H$198,AVERAGE(T76:BO76),0))))</f>
        <v>0</v>
      </c>
      <c r="J76" s="16"/>
      <c r="K76" s="16"/>
      <c r="L76" s="16"/>
      <c r="M76" s="16"/>
      <c r="N76" s="16"/>
      <c r="O76" s="16"/>
      <c r="P76" s="16"/>
      <c r="Q76" s="16"/>
      <c r="R76" s="16"/>
      <c r="S76" s="16"/>
      <c r="T76" s="46">
        <f t="array" ref="T76">IFERROR(IF(INDEX(Historicals!$T32:$BO32,,T$6+$D76*-1)&lt;&gt;"",INDEX(Historicals!$T32:$BO32,,T$6+$D76*-1),$F76*T$46*Historicals!$S32*INDEX($T$44:$BO$44,,T$6-$D76+1)),0)</f>
        <v>0</v>
      </c>
      <c r="U76" s="46">
        <f t="array" ref="U76">IFERROR(IF(INDEX(Historicals!$T32:$BO32,,U$6+$D76*-1)&lt;&gt;"",INDEX(Historicals!$T32:$BO32,,U$6+$D76*-1),$F76*U$46*Historicals!$S32*INDEX($T$44:$BO$44,,U$6-$D76+1)),0)</f>
        <v>0</v>
      </c>
      <c r="V76" s="46">
        <f t="array" ref="V76">IFERROR(IF(INDEX(Historicals!$T32:$BO32,,V$6+$D76*-1)&lt;&gt;"",INDEX(Historicals!$T32:$BO32,,V$6+$D76*-1),$F76*V$46*Historicals!$S32*INDEX($T$44:$BO$44,,V$6-$D76+1)),0)</f>
        <v>0</v>
      </c>
      <c r="W76" s="46">
        <f t="array" ref="W76">IFERROR(IF(INDEX(Historicals!$T32:$BO32,,W$6+$D76*-1)&lt;&gt;"",INDEX(Historicals!$T32:$BO32,,W$6+$D76*-1),$F76*W$46*Historicals!$S32*INDEX($T$44:$BO$44,,W$6-$D76+1)),0)</f>
        <v>0</v>
      </c>
      <c r="X76" s="46">
        <f t="array" ref="X76">IFERROR(IF(INDEX(Historicals!$T32:$BO32,,X$6+$D76*-1)&lt;&gt;"",INDEX(Historicals!$T32:$BO32,,X$6+$D76*-1),$F76*X$46*Historicals!$S32*INDEX($T$44:$BO$44,,X$6-$D76+1)),0)</f>
        <v>0</v>
      </c>
      <c r="Y76" s="46">
        <f t="array" ref="Y76">IFERROR(IF(INDEX(Historicals!$T32:$BO32,,Y$6+$D76*-1)&lt;&gt;"",INDEX(Historicals!$T32:$BO32,,Y$6+$D76*-1),$F76*Y$46*Historicals!$S32*INDEX($T$44:$BO$44,,Y$6-$D76+1)),0)</f>
        <v>0</v>
      </c>
      <c r="Z76" s="46">
        <f t="array" ref="Z76">IFERROR(IF(INDEX(Historicals!$T32:$BO32,,Z$6+$D76*-1)&lt;&gt;"",INDEX(Historicals!$T32:$BO32,,Z$6+$D76*-1),$F76*Z$46*Historicals!$S32*INDEX($T$44:$BO$44,,Z$6-$D76+1)),0)</f>
        <v>0</v>
      </c>
      <c r="AA76" s="46">
        <f t="array" ref="AA76">IFERROR(IF(INDEX(Historicals!$T32:$BO32,,AA$6+$D76*-1)&lt;&gt;"",INDEX(Historicals!$T32:$BO32,,AA$6+$D76*-1),$F76*AA$46*Historicals!$S32*INDEX($T$44:$BO$44,,AA$6-$D76+1)),0)</f>
        <v>0</v>
      </c>
      <c r="AB76" s="46">
        <f t="array" ref="AB76">IFERROR(IF(INDEX(Historicals!$T32:$BO32,,AB$6+$D76*-1)&lt;&gt;"",INDEX(Historicals!$T32:$BO32,,AB$6+$D76*-1),$F76*AB$46*Historicals!$S32*INDEX($T$44:$BO$44,,AB$6-$D76+1)),0)</f>
        <v>0</v>
      </c>
      <c r="AC76" s="46">
        <f t="array" ref="AC76">IFERROR(IF(INDEX(Historicals!$T32:$BO32,,AC$6+$D76*-1)&lt;&gt;"",INDEX(Historicals!$T32:$BO32,,AC$6+$D76*-1),$F76*AC$46*Historicals!$S32*INDEX($T$44:$BO$44,,AC$6-$D76+1)),0)</f>
        <v>0</v>
      </c>
      <c r="AD76" s="46">
        <f t="array" ref="AD76">IFERROR(IF(INDEX(Historicals!$T32:$BO32,,AD$6+$D76*-1)&lt;&gt;"",INDEX(Historicals!$T32:$BO32,,AD$6+$D76*-1),$F76*AD$46*Historicals!$S32*INDEX($T$44:$BO$44,,AD$6-$D76+1)),0)</f>
        <v>0</v>
      </c>
      <c r="AE76" s="46">
        <f t="array" ref="AE76">IFERROR(IF(INDEX(Historicals!$T32:$BO32,,AE$6+$D76*-1)&lt;&gt;"",INDEX(Historicals!$T32:$BO32,,AE$6+$D76*-1),$F76*AE$46*Historicals!$S32*INDEX($T$44:$BO$44,,AE$6-$D76+1)),0)</f>
        <v>0</v>
      </c>
      <c r="AF76" s="46">
        <f t="array" ref="AF76">IFERROR(IF(INDEX(Historicals!$T32:$BO32,,AF$6+$D76*-1)&lt;&gt;"",INDEX(Historicals!$T32:$BO32,,AF$6+$D76*-1),$F76*AF$46*Historicals!$S32*INDEX($T$44:$BO$44,,AF$6-$D76+1)),0)</f>
        <v>0</v>
      </c>
      <c r="AG76" s="46">
        <f t="array" ref="AG76">IFERROR(IF(INDEX(Historicals!$T32:$BO32,,AG$6+$D76*-1)&lt;&gt;"",INDEX(Historicals!$T32:$BO32,,AG$6+$D76*-1),$F76*AG$46*Historicals!$S32*INDEX($T$44:$BO$44,,AG$6-$D76+1)),0)</f>
        <v>0</v>
      </c>
      <c r="AH76" s="46">
        <f t="array" ref="AH76">IFERROR(IF(INDEX(Historicals!$T32:$BO32,,AH$6+$D76*-1)&lt;&gt;"",INDEX(Historicals!$T32:$BO32,,AH$6+$D76*-1),$F76*AH$46*Historicals!$S32*INDEX($T$44:$BO$44,,AH$6-$D76+1)),0)</f>
        <v>0</v>
      </c>
      <c r="AI76" s="46">
        <f t="array" ref="AI76">IFERROR(IF(INDEX(Historicals!$T32:$BO32,,AI$6+$D76*-1)&lt;&gt;"",INDEX(Historicals!$T32:$BO32,,AI$6+$D76*-1),$F76*AI$46*Historicals!$S32*INDEX($T$44:$BO$44,,AI$6-$D76+1)),0)</f>
        <v>0</v>
      </c>
      <c r="AJ76" s="46">
        <f t="array" ref="AJ76">IFERROR(IF(INDEX(Historicals!$T32:$BO32,,AJ$6+$D76*-1)&lt;&gt;"",INDEX(Historicals!$T32:$BO32,,AJ$6+$D76*-1),$F76*AJ$46*Historicals!$S32*INDEX($T$44:$BO$44,,AJ$6-$D76+1)),0)</f>
        <v>0</v>
      </c>
      <c r="AK76" s="46">
        <f t="array" ref="AK76">IFERROR(IF(INDEX(Historicals!$T32:$BO32,,AK$6+$D76*-1)&lt;&gt;"",INDEX(Historicals!$T32:$BO32,,AK$6+$D76*-1),$F76*AK$46*Historicals!$S32*INDEX($T$44:$BO$44,,AK$6-$D76+1)),0)</f>
        <v>0</v>
      </c>
      <c r="AL76" s="46">
        <f t="array" ref="AL76">IFERROR(IF(INDEX(Historicals!$T32:$BO32,,AL$6+$D76*-1)&lt;&gt;"",INDEX(Historicals!$T32:$BO32,,AL$6+$D76*-1),$F76*AL$46*Historicals!$S32*INDEX($T$44:$BO$44,,AL$6-$D76+1)),0)</f>
        <v>0</v>
      </c>
      <c r="AM76" s="46">
        <f t="array" ref="AM76">IFERROR(IF(INDEX(Historicals!$T32:$BO32,,AM$6+$D76*-1)&lt;&gt;"",INDEX(Historicals!$T32:$BO32,,AM$6+$D76*-1),$F76*AM$46*Historicals!$S32*INDEX($T$44:$BO$44,,AM$6-$D76+1)),0)</f>
        <v>0</v>
      </c>
      <c r="AN76" s="46">
        <f t="array" ref="AN76">IFERROR(IF(INDEX(Historicals!$T32:$BO32,,AN$6+$D76*-1)&lt;&gt;"",INDEX(Historicals!$T32:$BO32,,AN$6+$D76*-1),$F76*AN$46*Historicals!$S32*INDEX($T$44:$BO$44,,AN$6-$D76+1)),0)</f>
        <v>0</v>
      </c>
      <c r="AO76" s="46">
        <f t="array" ref="AO76">IFERROR(IF(INDEX(Historicals!$T32:$BO32,,AO$6+$D76*-1)&lt;&gt;"",INDEX(Historicals!$T32:$BO32,,AO$6+$D76*-1),$F76*AO$46*Historicals!$S32*INDEX($T$44:$BO$44,,AO$6-$D76+1)),0)</f>
        <v>0</v>
      </c>
      <c r="AP76" s="46">
        <f t="array" ref="AP76">IFERROR(IF(INDEX(Historicals!$T32:$BO32,,AP$6+$D76*-1)&lt;&gt;"",INDEX(Historicals!$T32:$BO32,,AP$6+$D76*-1),$F76*AP$46*Historicals!$S32*INDEX($T$44:$BO$44,,AP$6-$D76+1)),0)</f>
        <v>0</v>
      </c>
      <c r="AQ76" s="46">
        <f t="array" ref="AQ76">IFERROR(IF(INDEX(Historicals!$T32:$BO32,,AQ$6+$D76*-1)&lt;&gt;"",INDEX(Historicals!$T32:$BO32,,AQ$6+$D76*-1),$F76*AQ$46*Historicals!$S32*INDEX($T$44:$BO$44,,AQ$6-$D76+1)),0)</f>
        <v>0</v>
      </c>
      <c r="AR76" s="46">
        <f t="array" ref="AR76">IFERROR(IF(INDEX(Historicals!$T32:$BO32,,AR$6+$D76*-1)&lt;&gt;"",INDEX(Historicals!$T32:$BO32,,AR$6+$D76*-1),$F76*AR$46*Historicals!$S32*INDEX($T$44:$BO$44,,AR$6-$D76+1)),0)</f>
        <v>0</v>
      </c>
      <c r="AS76" s="46">
        <f t="array" ref="AS76">IFERROR(IF(INDEX(Historicals!$T32:$BO32,,AS$6+$D76*-1)&lt;&gt;"",INDEX(Historicals!$T32:$BO32,,AS$6+$D76*-1),$F76*AS$46*Historicals!$S32*INDEX($T$44:$BO$44,,AS$6-$D76+1)),0)</f>
        <v>0</v>
      </c>
      <c r="AT76" s="46">
        <f t="array" ref="AT76">IFERROR(IF(INDEX(Historicals!$T32:$BO32,,AT$6+$D76*-1)&lt;&gt;"",INDEX(Historicals!$T32:$BO32,,AT$6+$D76*-1),$F76*AT$46*Historicals!$S32*INDEX($T$44:$BO$44,,AT$6-$D76+1)),0)</f>
        <v>0</v>
      </c>
      <c r="AU76" s="46">
        <f t="array" ref="AU76">IFERROR(IF(INDEX(Historicals!$T32:$BO32,,AU$6+$D76*-1)&lt;&gt;"",INDEX(Historicals!$T32:$BO32,,AU$6+$D76*-1),$F76*AU$46*Historicals!$S32*INDEX($T$44:$BO$44,,AU$6-$D76+1)),0)</f>
        <v>0</v>
      </c>
      <c r="AV76" s="46">
        <f t="array" ref="AV76">IFERROR(IF(INDEX(Historicals!$T32:$BO32,,AV$6+$D76*-1)&lt;&gt;"",INDEX(Historicals!$T32:$BO32,,AV$6+$D76*-1),$F76*AV$46*Historicals!$S32*INDEX($T$44:$BO$44,,AV$6-$D76+1)),0)</f>
        <v>0</v>
      </c>
      <c r="AW76" s="46">
        <f t="array" ref="AW76">IFERROR(IF(INDEX(Historicals!$T32:$BO32,,AW$6+$D76*-1)&lt;&gt;"",INDEX(Historicals!$T32:$BO32,,AW$6+$D76*-1),$F76*AW$46*Historicals!$S32*INDEX($T$44:$BO$44,,AW$6-$D76+1)),0)</f>
        <v>0</v>
      </c>
      <c r="AX76" s="46">
        <f t="array" ref="AX76">IFERROR(IF(INDEX(Historicals!$T32:$BO32,,AX$6+$D76*-1)&lt;&gt;"",INDEX(Historicals!$T32:$BO32,,AX$6+$D76*-1),$F76*AX$46*Historicals!$S32*INDEX($T$44:$BO$44,,AX$6-$D76+1)),0)</f>
        <v>0</v>
      </c>
      <c r="AY76" s="46">
        <f t="array" ref="AY76">IFERROR(IF(INDEX(Historicals!$T32:$BO32,,AY$6+$D76*-1)&lt;&gt;"",INDEX(Historicals!$T32:$BO32,,AY$6+$D76*-1),$F76*AY$46*Historicals!$S32*INDEX($T$44:$BO$44,,AY$6-$D76+1)),0)</f>
        <v>0</v>
      </c>
      <c r="AZ76" s="46">
        <f t="array" ref="AZ76">IFERROR(IF(INDEX(Historicals!$T32:$BO32,,AZ$6+$D76*-1)&lt;&gt;"",INDEX(Historicals!$T32:$BO32,,AZ$6+$D76*-1),$F76*AZ$46*Historicals!$S32*INDEX($T$44:$BO$44,,AZ$6-$D76+1)),0)</f>
        <v>0</v>
      </c>
      <c r="BA76" s="46">
        <f t="array" ref="BA76">IFERROR(IF(INDEX(Historicals!$T32:$BO32,,BA$6+$D76*-1)&lt;&gt;"",INDEX(Historicals!$T32:$BO32,,BA$6+$D76*-1),$F76*BA$46*Historicals!$S32*INDEX($T$44:$BO$44,,BA$6-$D76+1)),0)</f>
        <v>0</v>
      </c>
      <c r="BB76" s="46">
        <f t="array" ref="BB76">IFERROR(IF(INDEX(Historicals!$T32:$BO32,,BB$6+$D76*-1)&lt;&gt;"",INDEX(Historicals!$T32:$BO32,,BB$6+$D76*-1),$F76*BB$46*Historicals!$S32*INDEX($T$44:$BO$44,,BB$6-$D76+1)),0)</f>
        <v>0</v>
      </c>
      <c r="BC76" s="46">
        <f t="array" ref="BC76">IFERROR(IF(INDEX(Historicals!$T32:$BO32,,BC$6+$D76*-1)&lt;&gt;"",INDEX(Historicals!$T32:$BO32,,BC$6+$D76*-1),$F76*BC$46*Historicals!$S32*INDEX($T$44:$BO$44,,BC$6-$D76+1)),0)</f>
        <v>0</v>
      </c>
      <c r="BD76" s="46">
        <f t="array" ref="BD76">IFERROR(IF(INDEX(Historicals!$T32:$BO32,,BD$6+$D76*-1)&lt;&gt;"",INDEX(Historicals!$T32:$BO32,,BD$6+$D76*-1),$F76*BD$46*Historicals!$S32*INDEX($T$44:$BO$44,,BD$6-$D76+1)),0)</f>
        <v>0</v>
      </c>
      <c r="BE76" s="46">
        <f t="array" ref="BE76">IFERROR(IF(INDEX(Historicals!$T32:$BO32,,BE$6+$D76*-1)&lt;&gt;"",INDEX(Historicals!$T32:$BO32,,BE$6+$D76*-1),$F76*BE$46*Historicals!$S32*INDEX($T$44:$BO$44,,BE$6-$D76+1)),0)</f>
        <v>0</v>
      </c>
      <c r="BF76" s="46">
        <f t="array" ref="BF76">IFERROR(IF(INDEX(Historicals!$T32:$BO32,,BF$6+$D76*-1)&lt;&gt;"",INDEX(Historicals!$T32:$BO32,,BF$6+$D76*-1),$F76*BF$46*Historicals!$S32*INDEX($T$44:$BO$44,,BF$6-$D76+1)),0)</f>
        <v>0</v>
      </c>
      <c r="BG76" s="46">
        <f t="array" ref="BG76">IFERROR(IF(INDEX(Historicals!$T32:$BO32,,BG$6+$D76*-1)&lt;&gt;"",INDEX(Historicals!$T32:$BO32,,BG$6+$D76*-1),$F76*BG$46*Historicals!$S32*INDEX($T$44:$BO$44,,BG$6-$D76+1)),0)</f>
        <v>0</v>
      </c>
      <c r="BH76" s="46">
        <f t="array" ref="BH76">IFERROR(IF(INDEX(Historicals!$T32:$BO32,,BH$6+$D76*-1)&lt;&gt;"",INDEX(Historicals!$T32:$BO32,,BH$6+$D76*-1),$F76*BH$46*Historicals!$S32*INDEX($T$44:$BO$44,,BH$6-$D76+1)),0)</f>
        <v>0</v>
      </c>
      <c r="BI76" s="46">
        <f t="array" ref="BI76">IFERROR(IF(INDEX(Historicals!$T32:$BO32,,BI$6+$D76*-1)&lt;&gt;"",INDEX(Historicals!$T32:$BO32,,BI$6+$D76*-1),$F76*BI$46*Historicals!$S32*INDEX($T$44:$BO$44,,BI$6-$D76+1)),0)</f>
        <v>0</v>
      </c>
      <c r="BJ76" s="46">
        <f t="array" ref="BJ76">IFERROR(IF(INDEX(Historicals!$T32:$BO32,,BJ$6+$D76*-1)&lt;&gt;"",INDEX(Historicals!$T32:$BO32,,BJ$6+$D76*-1),$F76*BJ$46*Historicals!$S32*INDEX($T$44:$BO$44,,BJ$6-$D76+1)),0)</f>
        <v>0</v>
      </c>
      <c r="BK76" s="46">
        <f t="array" ref="BK76">IFERROR(IF(INDEX(Historicals!$T32:$BO32,,BK$6+$D76*-1)&lt;&gt;"",INDEX(Historicals!$T32:$BO32,,BK$6+$D76*-1),$F76*BK$46*Historicals!$S32*INDEX($T$44:$BO$44,,BK$6-$D76+1)),0)</f>
        <v>0</v>
      </c>
      <c r="BL76" s="46">
        <f t="array" ref="BL76">IFERROR(IF(INDEX(Historicals!$T32:$BO32,,BL$6+$D76*-1)&lt;&gt;"",INDEX(Historicals!$T32:$BO32,,BL$6+$D76*-1),$F76*BL$46*Historicals!$S32*INDEX($T$44:$BO$44,,BL$6-$D76+1)),0)</f>
        <v>0</v>
      </c>
      <c r="BM76" s="46">
        <f t="array" ref="BM76">IFERROR(IF(INDEX(Historicals!$T32:$BO32,,BM$6+$D76*-1)&lt;&gt;"",INDEX(Historicals!$T32:$BO32,,BM$6+$D76*-1),$F76*BM$46*Historicals!$S32*INDEX($T$44:$BO$44,,BM$6-$D76+1)),0)</f>
        <v>0</v>
      </c>
      <c r="BN76" s="46">
        <f t="array" ref="BN76">IFERROR(IF(INDEX(Historicals!$T32:$BO32,,BN$6+$D76*-1)&lt;&gt;"",INDEX(Historicals!$T32:$BO32,,BN$6+$D76*-1),$F76*BN$46*Historicals!$S32*INDEX($T$44:$BO$44,,BN$6-$D76+1)),0)</f>
        <v>0</v>
      </c>
      <c r="BO76" s="46">
        <f t="array" ref="BO76">IFERROR(IF(INDEX(Historicals!$T32:$BO32,,BO$6+$D76*-1)&lt;&gt;"",INDEX(Historicals!$T32:$BO32,,BO$6+$D76*-1),$F76*BO$46*Historicals!$S32*INDEX($T$44:$BO$44,,BO$6-$D76+1)),0)</f>
        <v>0</v>
      </c>
    </row>
    <row r="77" spans="1:67" ht="16.5" hidden="1" customHeight="1" outlineLevel="1">
      <c r="A77" s="1"/>
      <c r="B77" s="55">
        <f t="shared" si="19"/>
        <v>44862</v>
      </c>
      <c r="C77" s="17" t="s">
        <v>104</v>
      </c>
      <c r="D77" s="46">
        <f t="shared" si="20"/>
        <v>-26</v>
      </c>
      <c r="E77" s="16"/>
      <c r="F77" s="51">
        <v>1</v>
      </c>
      <c r="G77" s="16" t="s">
        <v>159</v>
      </c>
      <c r="H77" s="16" t="s">
        <v>155</v>
      </c>
      <c r="I77" s="46">
        <f>IF(H77=Forecast!$H$195,T77,IF(H77=Forecast!$H$196,BO77,IF(H77=Forecast!$H$197,SUM(T77:BO77),IF(H77=Forecast!$H$198,AVERAGE(T77:BO77),0))))</f>
        <v>0</v>
      </c>
      <c r="J77" s="16"/>
      <c r="K77" s="16"/>
      <c r="L77" s="16"/>
      <c r="M77" s="16"/>
      <c r="N77" s="16"/>
      <c r="O77" s="16"/>
      <c r="P77" s="16"/>
      <c r="Q77" s="16"/>
      <c r="R77" s="16"/>
      <c r="S77" s="16"/>
      <c r="T77" s="46">
        <f t="array" ref="T77">IFERROR(IF(INDEX(Historicals!$T33:$BO33,,T$6+$D77*-1)&lt;&gt;"",INDEX(Historicals!$T33:$BO33,,T$6+$D77*-1),$F77*T$46*Historicals!$S33*INDEX($T$44:$BO$44,,T$6-$D77+1)),0)</f>
        <v>0</v>
      </c>
      <c r="U77" s="46">
        <f t="array" ref="U77">IFERROR(IF(INDEX(Historicals!$T33:$BO33,,U$6+$D77*-1)&lt;&gt;"",INDEX(Historicals!$T33:$BO33,,U$6+$D77*-1),$F77*U$46*Historicals!$S33*INDEX($T$44:$BO$44,,U$6-$D77+1)),0)</f>
        <v>0</v>
      </c>
      <c r="V77" s="46">
        <f t="array" ref="V77">IFERROR(IF(INDEX(Historicals!$T33:$BO33,,V$6+$D77*-1)&lt;&gt;"",INDEX(Historicals!$T33:$BO33,,V$6+$D77*-1),$F77*V$46*Historicals!$S33*INDEX($T$44:$BO$44,,V$6-$D77+1)),0)</f>
        <v>0</v>
      </c>
      <c r="W77" s="46">
        <f t="array" ref="W77">IFERROR(IF(INDEX(Historicals!$T33:$BO33,,W$6+$D77*-1)&lt;&gt;"",INDEX(Historicals!$T33:$BO33,,W$6+$D77*-1),$F77*W$46*Historicals!$S33*INDEX($T$44:$BO$44,,W$6-$D77+1)),0)</f>
        <v>0</v>
      </c>
      <c r="X77" s="46">
        <f t="array" ref="X77">IFERROR(IF(INDEX(Historicals!$T33:$BO33,,X$6+$D77*-1)&lt;&gt;"",INDEX(Historicals!$T33:$BO33,,X$6+$D77*-1),$F77*X$46*Historicals!$S33*INDEX($T$44:$BO$44,,X$6-$D77+1)),0)</f>
        <v>0</v>
      </c>
      <c r="Y77" s="46">
        <f t="array" ref="Y77">IFERROR(IF(INDEX(Historicals!$T33:$BO33,,Y$6+$D77*-1)&lt;&gt;"",INDEX(Historicals!$T33:$BO33,,Y$6+$D77*-1),$F77*Y$46*Historicals!$S33*INDEX($T$44:$BO$44,,Y$6-$D77+1)),0)</f>
        <v>0</v>
      </c>
      <c r="Z77" s="46">
        <f t="array" ref="Z77">IFERROR(IF(INDEX(Historicals!$T33:$BO33,,Z$6+$D77*-1)&lt;&gt;"",INDEX(Historicals!$T33:$BO33,,Z$6+$D77*-1),$F77*Z$46*Historicals!$S33*INDEX($T$44:$BO$44,,Z$6-$D77+1)),0)</f>
        <v>0</v>
      </c>
      <c r="AA77" s="46">
        <f t="array" ref="AA77">IFERROR(IF(INDEX(Historicals!$T33:$BO33,,AA$6+$D77*-1)&lt;&gt;"",INDEX(Historicals!$T33:$BO33,,AA$6+$D77*-1),$F77*AA$46*Historicals!$S33*INDEX($T$44:$BO$44,,AA$6-$D77+1)),0)</f>
        <v>0</v>
      </c>
      <c r="AB77" s="46">
        <f t="array" ref="AB77">IFERROR(IF(INDEX(Historicals!$T33:$BO33,,AB$6+$D77*-1)&lt;&gt;"",INDEX(Historicals!$T33:$BO33,,AB$6+$D77*-1),$F77*AB$46*Historicals!$S33*INDEX($T$44:$BO$44,,AB$6-$D77+1)),0)</f>
        <v>0</v>
      </c>
      <c r="AC77" s="46">
        <f t="array" ref="AC77">IFERROR(IF(INDEX(Historicals!$T33:$BO33,,AC$6+$D77*-1)&lt;&gt;"",INDEX(Historicals!$T33:$BO33,,AC$6+$D77*-1),$F77*AC$46*Historicals!$S33*INDEX($T$44:$BO$44,,AC$6-$D77+1)),0)</f>
        <v>0</v>
      </c>
      <c r="AD77" s="46">
        <f t="array" ref="AD77">IFERROR(IF(INDEX(Historicals!$T33:$BO33,,AD$6+$D77*-1)&lt;&gt;"",INDEX(Historicals!$T33:$BO33,,AD$6+$D77*-1),$F77*AD$46*Historicals!$S33*INDEX($T$44:$BO$44,,AD$6-$D77+1)),0)</f>
        <v>0</v>
      </c>
      <c r="AE77" s="46">
        <f t="array" ref="AE77">IFERROR(IF(INDEX(Historicals!$T33:$BO33,,AE$6+$D77*-1)&lt;&gt;"",INDEX(Historicals!$T33:$BO33,,AE$6+$D77*-1),$F77*AE$46*Historicals!$S33*INDEX($T$44:$BO$44,,AE$6-$D77+1)),0)</f>
        <v>0</v>
      </c>
      <c r="AF77" s="46">
        <f t="array" ref="AF77">IFERROR(IF(INDEX(Historicals!$T33:$BO33,,AF$6+$D77*-1)&lt;&gt;"",INDEX(Historicals!$T33:$BO33,,AF$6+$D77*-1),$F77*AF$46*Historicals!$S33*INDEX($T$44:$BO$44,,AF$6-$D77+1)),0)</f>
        <v>0</v>
      </c>
      <c r="AG77" s="46">
        <f t="array" ref="AG77">IFERROR(IF(INDEX(Historicals!$T33:$BO33,,AG$6+$D77*-1)&lt;&gt;"",INDEX(Historicals!$T33:$BO33,,AG$6+$D77*-1),$F77*AG$46*Historicals!$S33*INDEX($T$44:$BO$44,,AG$6-$D77+1)),0)</f>
        <v>0</v>
      </c>
      <c r="AH77" s="46">
        <f t="array" ref="AH77">IFERROR(IF(INDEX(Historicals!$T33:$BO33,,AH$6+$D77*-1)&lt;&gt;"",INDEX(Historicals!$T33:$BO33,,AH$6+$D77*-1),$F77*AH$46*Historicals!$S33*INDEX($T$44:$BO$44,,AH$6-$D77+1)),0)</f>
        <v>0</v>
      </c>
      <c r="AI77" s="46">
        <f t="array" ref="AI77">IFERROR(IF(INDEX(Historicals!$T33:$BO33,,AI$6+$D77*-1)&lt;&gt;"",INDEX(Historicals!$T33:$BO33,,AI$6+$D77*-1),$F77*AI$46*Historicals!$S33*INDEX($T$44:$BO$44,,AI$6-$D77+1)),0)</f>
        <v>0</v>
      </c>
      <c r="AJ77" s="46">
        <f t="array" ref="AJ77">IFERROR(IF(INDEX(Historicals!$T33:$BO33,,AJ$6+$D77*-1)&lt;&gt;"",INDEX(Historicals!$T33:$BO33,,AJ$6+$D77*-1),$F77*AJ$46*Historicals!$S33*INDEX($T$44:$BO$44,,AJ$6-$D77+1)),0)</f>
        <v>0</v>
      </c>
      <c r="AK77" s="46">
        <f t="array" ref="AK77">IFERROR(IF(INDEX(Historicals!$T33:$BO33,,AK$6+$D77*-1)&lt;&gt;"",INDEX(Historicals!$T33:$BO33,,AK$6+$D77*-1),$F77*AK$46*Historicals!$S33*INDEX($T$44:$BO$44,,AK$6-$D77+1)),0)</f>
        <v>0</v>
      </c>
      <c r="AL77" s="46">
        <f t="array" ref="AL77">IFERROR(IF(INDEX(Historicals!$T33:$BO33,,AL$6+$D77*-1)&lt;&gt;"",INDEX(Historicals!$T33:$BO33,,AL$6+$D77*-1),$F77*AL$46*Historicals!$S33*INDEX($T$44:$BO$44,,AL$6-$D77+1)),0)</f>
        <v>0</v>
      </c>
      <c r="AM77" s="46">
        <f t="array" ref="AM77">IFERROR(IF(INDEX(Historicals!$T33:$BO33,,AM$6+$D77*-1)&lt;&gt;"",INDEX(Historicals!$T33:$BO33,,AM$6+$D77*-1),$F77*AM$46*Historicals!$S33*INDEX($T$44:$BO$44,,AM$6-$D77+1)),0)</f>
        <v>0</v>
      </c>
      <c r="AN77" s="46">
        <f t="array" ref="AN77">IFERROR(IF(INDEX(Historicals!$T33:$BO33,,AN$6+$D77*-1)&lt;&gt;"",INDEX(Historicals!$T33:$BO33,,AN$6+$D77*-1),$F77*AN$46*Historicals!$S33*INDEX($T$44:$BO$44,,AN$6-$D77+1)),0)</f>
        <v>0</v>
      </c>
      <c r="AO77" s="46">
        <f t="array" ref="AO77">IFERROR(IF(INDEX(Historicals!$T33:$BO33,,AO$6+$D77*-1)&lt;&gt;"",INDEX(Historicals!$T33:$BO33,,AO$6+$D77*-1),$F77*AO$46*Historicals!$S33*INDEX($T$44:$BO$44,,AO$6-$D77+1)),0)</f>
        <v>0</v>
      </c>
      <c r="AP77" s="46">
        <f t="array" ref="AP77">IFERROR(IF(INDEX(Historicals!$T33:$BO33,,AP$6+$D77*-1)&lt;&gt;"",INDEX(Historicals!$T33:$BO33,,AP$6+$D77*-1),$F77*AP$46*Historicals!$S33*INDEX($T$44:$BO$44,,AP$6-$D77+1)),0)</f>
        <v>0</v>
      </c>
      <c r="AQ77" s="46">
        <f t="array" ref="AQ77">IFERROR(IF(INDEX(Historicals!$T33:$BO33,,AQ$6+$D77*-1)&lt;&gt;"",INDEX(Historicals!$T33:$BO33,,AQ$6+$D77*-1),$F77*AQ$46*Historicals!$S33*INDEX($T$44:$BO$44,,AQ$6-$D77+1)),0)</f>
        <v>0</v>
      </c>
      <c r="AR77" s="46">
        <f t="array" ref="AR77">IFERROR(IF(INDEX(Historicals!$T33:$BO33,,AR$6+$D77*-1)&lt;&gt;"",INDEX(Historicals!$T33:$BO33,,AR$6+$D77*-1),$F77*AR$46*Historicals!$S33*INDEX($T$44:$BO$44,,AR$6-$D77+1)),0)</f>
        <v>0</v>
      </c>
      <c r="AS77" s="46">
        <f t="array" ref="AS77">IFERROR(IF(INDEX(Historicals!$T33:$BO33,,AS$6+$D77*-1)&lt;&gt;"",INDEX(Historicals!$T33:$BO33,,AS$6+$D77*-1),$F77*AS$46*Historicals!$S33*INDEX($T$44:$BO$44,,AS$6-$D77+1)),0)</f>
        <v>0</v>
      </c>
      <c r="AT77" s="46">
        <f t="array" ref="AT77">IFERROR(IF(INDEX(Historicals!$T33:$BO33,,AT$6+$D77*-1)&lt;&gt;"",INDEX(Historicals!$T33:$BO33,,AT$6+$D77*-1),$F77*AT$46*Historicals!$S33*INDEX($T$44:$BO$44,,AT$6-$D77+1)),0)</f>
        <v>0</v>
      </c>
      <c r="AU77" s="46">
        <f t="array" ref="AU77">IFERROR(IF(INDEX(Historicals!$T33:$BO33,,AU$6+$D77*-1)&lt;&gt;"",INDEX(Historicals!$T33:$BO33,,AU$6+$D77*-1),$F77*AU$46*Historicals!$S33*INDEX($T$44:$BO$44,,AU$6-$D77+1)),0)</f>
        <v>0</v>
      </c>
      <c r="AV77" s="46">
        <f t="array" ref="AV77">IFERROR(IF(INDEX(Historicals!$T33:$BO33,,AV$6+$D77*-1)&lt;&gt;"",INDEX(Historicals!$T33:$BO33,,AV$6+$D77*-1),$F77*AV$46*Historicals!$S33*INDEX($T$44:$BO$44,,AV$6-$D77+1)),0)</f>
        <v>0</v>
      </c>
      <c r="AW77" s="46">
        <f t="array" ref="AW77">IFERROR(IF(INDEX(Historicals!$T33:$BO33,,AW$6+$D77*-1)&lt;&gt;"",INDEX(Historicals!$T33:$BO33,,AW$6+$D77*-1),$F77*AW$46*Historicals!$S33*INDEX($T$44:$BO$44,,AW$6-$D77+1)),0)</f>
        <v>0</v>
      </c>
      <c r="AX77" s="46">
        <f t="array" ref="AX77">IFERROR(IF(INDEX(Historicals!$T33:$BO33,,AX$6+$D77*-1)&lt;&gt;"",INDEX(Historicals!$T33:$BO33,,AX$6+$D77*-1),$F77*AX$46*Historicals!$S33*INDEX($T$44:$BO$44,,AX$6-$D77+1)),0)</f>
        <v>0</v>
      </c>
      <c r="AY77" s="46">
        <f t="array" ref="AY77">IFERROR(IF(INDEX(Historicals!$T33:$BO33,,AY$6+$D77*-1)&lt;&gt;"",INDEX(Historicals!$T33:$BO33,,AY$6+$D77*-1),$F77*AY$46*Historicals!$S33*INDEX($T$44:$BO$44,,AY$6-$D77+1)),0)</f>
        <v>0</v>
      </c>
      <c r="AZ77" s="46">
        <f t="array" ref="AZ77">IFERROR(IF(INDEX(Historicals!$T33:$BO33,,AZ$6+$D77*-1)&lt;&gt;"",INDEX(Historicals!$T33:$BO33,,AZ$6+$D77*-1),$F77*AZ$46*Historicals!$S33*INDEX($T$44:$BO$44,,AZ$6-$D77+1)),0)</f>
        <v>0</v>
      </c>
      <c r="BA77" s="46">
        <f t="array" ref="BA77">IFERROR(IF(INDEX(Historicals!$T33:$BO33,,BA$6+$D77*-1)&lt;&gt;"",INDEX(Historicals!$T33:$BO33,,BA$6+$D77*-1),$F77*BA$46*Historicals!$S33*INDEX($T$44:$BO$44,,BA$6-$D77+1)),0)</f>
        <v>0</v>
      </c>
      <c r="BB77" s="46">
        <f t="array" ref="BB77">IFERROR(IF(INDEX(Historicals!$T33:$BO33,,BB$6+$D77*-1)&lt;&gt;"",INDEX(Historicals!$T33:$BO33,,BB$6+$D77*-1),$F77*BB$46*Historicals!$S33*INDEX($T$44:$BO$44,,BB$6-$D77+1)),0)</f>
        <v>0</v>
      </c>
      <c r="BC77" s="46">
        <f t="array" ref="BC77">IFERROR(IF(INDEX(Historicals!$T33:$BO33,,BC$6+$D77*-1)&lt;&gt;"",INDEX(Historicals!$T33:$BO33,,BC$6+$D77*-1),$F77*BC$46*Historicals!$S33*INDEX($T$44:$BO$44,,BC$6-$D77+1)),0)</f>
        <v>0</v>
      </c>
      <c r="BD77" s="46">
        <f t="array" ref="BD77">IFERROR(IF(INDEX(Historicals!$T33:$BO33,,BD$6+$D77*-1)&lt;&gt;"",INDEX(Historicals!$T33:$BO33,,BD$6+$D77*-1),$F77*BD$46*Historicals!$S33*INDEX($T$44:$BO$44,,BD$6-$D77+1)),0)</f>
        <v>0</v>
      </c>
      <c r="BE77" s="46">
        <f t="array" ref="BE77">IFERROR(IF(INDEX(Historicals!$T33:$BO33,,BE$6+$D77*-1)&lt;&gt;"",INDEX(Historicals!$T33:$BO33,,BE$6+$D77*-1),$F77*BE$46*Historicals!$S33*INDEX($T$44:$BO$44,,BE$6-$D77+1)),0)</f>
        <v>0</v>
      </c>
      <c r="BF77" s="46">
        <f t="array" ref="BF77">IFERROR(IF(INDEX(Historicals!$T33:$BO33,,BF$6+$D77*-1)&lt;&gt;"",INDEX(Historicals!$T33:$BO33,,BF$6+$D77*-1),$F77*BF$46*Historicals!$S33*INDEX($T$44:$BO$44,,BF$6-$D77+1)),0)</f>
        <v>0</v>
      </c>
      <c r="BG77" s="46">
        <f t="array" ref="BG77">IFERROR(IF(INDEX(Historicals!$T33:$BO33,,BG$6+$D77*-1)&lt;&gt;"",INDEX(Historicals!$T33:$BO33,,BG$6+$D77*-1),$F77*BG$46*Historicals!$S33*INDEX($T$44:$BO$44,,BG$6-$D77+1)),0)</f>
        <v>0</v>
      </c>
      <c r="BH77" s="46">
        <f t="array" ref="BH77">IFERROR(IF(INDEX(Historicals!$T33:$BO33,,BH$6+$D77*-1)&lt;&gt;"",INDEX(Historicals!$T33:$BO33,,BH$6+$D77*-1),$F77*BH$46*Historicals!$S33*INDEX($T$44:$BO$44,,BH$6-$D77+1)),0)</f>
        <v>0</v>
      </c>
      <c r="BI77" s="46">
        <f t="array" ref="BI77">IFERROR(IF(INDEX(Historicals!$T33:$BO33,,BI$6+$D77*-1)&lt;&gt;"",INDEX(Historicals!$T33:$BO33,,BI$6+$D77*-1),$F77*BI$46*Historicals!$S33*INDEX($T$44:$BO$44,,BI$6-$D77+1)),0)</f>
        <v>0</v>
      </c>
      <c r="BJ77" s="46">
        <f t="array" ref="BJ77">IFERROR(IF(INDEX(Historicals!$T33:$BO33,,BJ$6+$D77*-1)&lt;&gt;"",INDEX(Historicals!$T33:$BO33,,BJ$6+$D77*-1),$F77*BJ$46*Historicals!$S33*INDEX($T$44:$BO$44,,BJ$6-$D77+1)),0)</f>
        <v>0</v>
      </c>
      <c r="BK77" s="46">
        <f t="array" ref="BK77">IFERROR(IF(INDEX(Historicals!$T33:$BO33,,BK$6+$D77*-1)&lt;&gt;"",INDEX(Historicals!$T33:$BO33,,BK$6+$D77*-1),$F77*BK$46*Historicals!$S33*INDEX($T$44:$BO$44,,BK$6-$D77+1)),0)</f>
        <v>0</v>
      </c>
      <c r="BL77" s="46">
        <f t="array" ref="BL77">IFERROR(IF(INDEX(Historicals!$T33:$BO33,,BL$6+$D77*-1)&lt;&gt;"",INDEX(Historicals!$T33:$BO33,,BL$6+$D77*-1),$F77*BL$46*Historicals!$S33*INDEX($T$44:$BO$44,,BL$6-$D77+1)),0)</f>
        <v>0</v>
      </c>
      <c r="BM77" s="46">
        <f t="array" ref="BM77">IFERROR(IF(INDEX(Historicals!$T33:$BO33,,BM$6+$D77*-1)&lt;&gt;"",INDEX(Historicals!$T33:$BO33,,BM$6+$D77*-1),$F77*BM$46*Historicals!$S33*INDEX($T$44:$BO$44,,BM$6-$D77+1)),0)</f>
        <v>0</v>
      </c>
      <c r="BN77" s="46">
        <f t="array" ref="BN77">IFERROR(IF(INDEX(Historicals!$T33:$BO33,,BN$6+$D77*-1)&lt;&gt;"",INDEX(Historicals!$T33:$BO33,,BN$6+$D77*-1),$F77*BN$46*Historicals!$S33*INDEX($T$44:$BO$44,,BN$6-$D77+1)),0)</f>
        <v>0</v>
      </c>
      <c r="BO77" s="46">
        <f t="array" ref="BO77">IFERROR(IF(INDEX(Historicals!$T33:$BO33,,BO$6+$D77*-1)&lt;&gt;"",INDEX(Historicals!$T33:$BO33,,BO$6+$D77*-1),$F77*BO$46*Historicals!$S33*INDEX($T$44:$BO$44,,BO$6-$D77+1)),0)</f>
        <v>0</v>
      </c>
    </row>
    <row r="78" spans="1:67" ht="16.5" hidden="1" customHeight="1" outlineLevel="1">
      <c r="A78" s="1"/>
      <c r="B78" s="55">
        <f t="shared" si="19"/>
        <v>44893</v>
      </c>
      <c r="C78" s="17" t="s">
        <v>104</v>
      </c>
      <c r="D78" s="46">
        <f t="shared" si="20"/>
        <v>-25</v>
      </c>
      <c r="E78" s="16"/>
      <c r="F78" s="51">
        <v>1</v>
      </c>
      <c r="G78" s="16" t="s">
        <v>159</v>
      </c>
      <c r="H78" s="16" t="s">
        <v>155</v>
      </c>
      <c r="I78" s="46">
        <f>IF(H78=Forecast!$H$195,T78,IF(H78=Forecast!$H$196,BO78,IF(H78=Forecast!$H$197,SUM(T78:BO78),IF(H78=Forecast!$H$198,AVERAGE(T78:BO78),0))))</f>
        <v>0</v>
      </c>
      <c r="J78" s="16"/>
      <c r="K78" s="16"/>
      <c r="L78" s="16"/>
      <c r="M78" s="16"/>
      <c r="N78" s="16"/>
      <c r="O78" s="16"/>
      <c r="P78" s="16"/>
      <c r="Q78" s="16"/>
      <c r="R78" s="16"/>
      <c r="S78" s="16"/>
      <c r="T78" s="46">
        <f t="array" ref="T78">IFERROR(IF(INDEX(Historicals!$T34:$BO34,,T$6+$D78*-1)&lt;&gt;"",INDEX(Historicals!$T34:$BO34,,T$6+$D78*-1),$F78*T$46*Historicals!$S34*INDEX($T$44:$BO$44,,T$6-$D78+1)),0)</f>
        <v>0</v>
      </c>
      <c r="U78" s="46">
        <f t="array" ref="U78">IFERROR(IF(INDEX(Historicals!$T34:$BO34,,U$6+$D78*-1)&lt;&gt;"",INDEX(Historicals!$T34:$BO34,,U$6+$D78*-1),$F78*U$46*Historicals!$S34*INDEX($T$44:$BO$44,,U$6-$D78+1)),0)</f>
        <v>0</v>
      </c>
      <c r="V78" s="46">
        <f t="array" ref="V78">IFERROR(IF(INDEX(Historicals!$T34:$BO34,,V$6+$D78*-1)&lt;&gt;"",INDEX(Historicals!$T34:$BO34,,V$6+$D78*-1),$F78*V$46*Historicals!$S34*INDEX($T$44:$BO$44,,V$6-$D78+1)),0)</f>
        <v>0</v>
      </c>
      <c r="W78" s="46">
        <f t="array" ref="W78">IFERROR(IF(INDEX(Historicals!$T34:$BO34,,W$6+$D78*-1)&lt;&gt;"",INDEX(Historicals!$T34:$BO34,,W$6+$D78*-1),$F78*W$46*Historicals!$S34*INDEX($T$44:$BO$44,,W$6-$D78+1)),0)</f>
        <v>0</v>
      </c>
      <c r="X78" s="46">
        <f t="array" ref="X78">IFERROR(IF(INDEX(Historicals!$T34:$BO34,,X$6+$D78*-1)&lt;&gt;"",INDEX(Historicals!$T34:$BO34,,X$6+$D78*-1),$F78*X$46*Historicals!$S34*INDEX($T$44:$BO$44,,X$6-$D78+1)),0)</f>
        <v>0</v>
      </c>
      <c r="Y78" s="46">
        <f t="array" ref="Y78">IFERROR(IF(INDEX(Historicals!$T34:$BO34,,Y$6+$D78*-1)&lt;&gt;"",INDEX(Historicals!$T34:$BO34,,Y$6+$D78*-1),$F78*Y$46*Historicals!$S34*INDEX($T$44:$BO$44,,Y$6-$D78+1)),0)</f>
        <v>0</v>
      </c>
      <c r="Z78" s="46">
        <f t="array" ref="Z78">IFERROR(IF(INDEX(Historicals!$T34:$BO34,,Z$6+$D78*-1)&lt;&gt;"",INDEX(Historicals!$T34:$BO34,,Z$6+$D78*-1),$F78*Z$46*Historicals!$S34*INDEX($T$44:$BO$44,,Z$6-$D78+1)),0)</f>
        <v>0</v>
      </c>
      <c r="AA78" s="46">
        <f t="array" ref="AA78">IFERROR(IF(INDEX(Historicals!$T34:$BO34,,AA$6+$D78*-1)&lt;&gt;"",INDEX(Historicals!$T34:$BO34,,AA$6+$D78*-1),$F78*AA$46*Historicals!$S34*INDEX($T$44:$BO$44,,AA$6-$D78+1)),0)</f>
        <v>0</v>
      </c>
      <c r="AB78" s="46">
        <f t="array" ref="AB78">IFERROR(IF(INDEX(Historicals!$T34:$BO34,,AB$6+$D78*-1)&lt;&gt;"",INDEX(Historicals!$T34:$BO34,,AB$6+$D78*-1),$F78*AB$46*Historicals!$S34*INDEX($T$44:$BO$44,,AB$6-$D78+1)),0)</f>
        <v>0</v>
      </c>
      <c r="AC78" s="46">
        <f t="array" ref="AC78">IFERROR(IF(INDEX(Historicals!$T34:$BO34,,AC$6+$D78*-1)&lt;&gt;"",INDEX(Historicals!$T34:$BO34,,AC$6+$D78*-1),$F78*AC$46*Historicals!$S34*INDEX($T$44:$BO$44,,AC$6-$D78+1)),0)</f>
        <v>0</v>
      </c>
      <c r="AD78" s="46">
        <f t="array" ref="AD78">IFERROR(IF(INDEX(Historicals!$T34:$BO34,,AD$6+$D78*-1)&lt;&gt;"",INDEX(Historicals!$T34:$BO34,,AD$6+$D78*-1),$F78*AD$46*Historicals!$S34*INDEX($T$44:$BO$44,,AD$6-$D78+1)),0)</f>
        <v>0</v>
      </c>
      <c r="AE78" s="46">
        <f t="array" ref="AE78">IFERROR(IF(INDEX(Historicals!$T34:$BO34,,AE$6+$D78*-1)&lt;&gt;"",INDEX(Historicals!$T34:$BO34,,AE$6+$D78*-1),$F78*AE$46*Historicals!$S34*INDEX($T$44:$BO$44,,AE$6-$D78+1)),0)</f>
        <v>0</v>
      </c>
      <c r="AF78" s="46">
        <f t="array" ref="AF78">IFERROR(IF(INDEX(Historicals!$T34:$BO34,,AF$6+$D78*-1)&lt;&gt;"",INDEX(Historicals!$T34:$BO34,,AF$6+$D78*-1),$F78*AF$46*Historicals!$S34*INDEX($T$44:$BO$44,,AF$6-$D78+1)),0)</f>
        <v>0</v>
      </c>
      <c r="AG78" s="46">
        <f t="array" ref="AG78">IFERROR(IF(INDEX(Historicals!$T34:$BO34,,AG$6+$D78*-1)&lt;&gt;"",INDEX(Historicals!$T34:$BO34,,AG$6+$D78*-1),$F78*AG$46*Historicals!$S34*INDEX($T$44:$BO$44,,AG$6-$D78+1)),0)</f>
        <v>0</v>
      </c>
      <c r="AH78" s="46">
        <f t="array" ref="AH78">IFERROR(IF(INDEX(Historicals!$T34:$BO34,,AH$6+$D78*-1)&lt;&gt;"",INDEX(Historicals!$T34:$BO34,,AH$6+$D78*-1),$F78*AH$46*Historicals!$S34*INDEX($T$44:$BO$44,,AH$6-$D78+1)),0)</f>
        <v>0</v>
      </c>
      <c r="AI78" s="46">
        <f t="array" ref="AI78">IFERROR(IF(INDEX(Historicals!$T34:$BO34,,AI$6+$D78*-1)&lt;&gt;"",INDEX(Historicals!$T34:$BO34,,AI$6+$D78*-1),$F78*AI$46*Historicals!$S34*INDEX($T$44:$BO$44,,AI$6-$D78+1)),0)</f>
        <v>0</v>
      </c>
      <c r="AJ78" s="46">
        <f t="array" ref="AJ78">IFERROR(IF(INDEX(Historicals!$T34:$BO34,,AJ$6+$D78*-1)&lt;&gt;"",INDEX(Historicals!$T34:$BO34,,AJ$6+$D78*-1),$F78*AJ$46*Historicals!$S34*INDEX($T$44:$BO$44,,AJ$6-$D78+1)),0)</f>
        <v>0</v>
      </c>
      <c r="AK78" s="46">
        <f t="array" ref="AK78">IFERROR(IF(INDEX(Historicals!$T34:$BO34,,AK$6+$D78*-1)&lt;&gt;"",INDEX(Historicals!$T34:$BO34,,AK$6+$D78*-1),$F78*AK$46*Historicals!$S34*INDEX($T$44:$BO$44,,AK$6-$D78+1)),0)</f>
        <v>0</v>
      </c>
      <c r="AL78" s="46">
        <f t="array" ref="AL78">IFERROR(IF(INDEX(Historicals!$T34:$BO34,,AL$6+$D78*-1)&lt;&gt;"",INDEX(Historicals!$T34:$BO34,,AL$6+$D78*-1),$F78*AL$46*Historicals!$S34*INDEX($T$44:$BO$44,,AL$6-$D78+1)),0)</f>
        <v>0</v>
      </c>
      <c r="AM78" s="46">
        <f t="array" ref="AM78">IFERROR(IF(INDEX(Historicals!$T34:$BO34,,AM$6+$D78*-1)&lt;&gt;"",INDEX(Historicals!$T34:$BO34,,AM$6+$D78*-1),$F78*AM$46*Historicals!$S34*INDEX($T$44:$BO$44,,AM$6-$D78+1)),0)</f>
        <v>0</v>
      </c>
      <c r="AN78" s="46">
        <f t="array" ref="AN78">IFERROR(IF(INDEX(Historicals!$T34:$BO34,,AN$6+$D78*-1)&lt;&gt;"",INDEX(Historicals!$T34:$BO34,,AN$6+$D78*-1),$F78*AN$46*Historicals!$S34*INDEX($T$44:$BO$44,,AN$6-$D78+1)),0)</f>
        <v>0</v>
      </c>
      <c r="AO78" s="46">
        <f t="array" ref="AO78">IFERROR(IF(INDEX(Historicals!$T34:$BO34,,AO$6+$D78*-1)&lt;&gt;"",INDEX(Historicals!$T34:$BO34,,AO$6+$D78*-1),$F78*AO$46*Historicals!$S34*INDEX($T$44:$BO$44,,AO$6-$D78+1)),0)</f>
        <v>0</v>
      </c>
      <c r="AP78" s="46">
        <f t="array" ref="AP78">IFERROR(IF(INDEX(Historicals!$T34:$BO34,,AP$6+$D78*-1)&lt;&gt;"",INDEX(Historicals!$T34:$BO34,,AP$6+$D78*-1),$F78*AP$46*Historicals!$S34*INDEX($T$44:$BO$44,,AP$6-$D78+1)),0)</f>
        <v>0</v>
      </c>
      <c r="AQ78" s="46">
        <f t="array" ref="AQ78">IFERROR(IF(INDEX(Historicals!$T34:$BO34,,AQ$6+$D78*-1)&lt;&gt;"",INDEX(Historicals!$T34:$BO34,,AQ$6+$D78*-1),$F78*AQ$46*Historicals!$S34*INDEX($T$44:$BO$44,,AQ$6-$D78+1)),0)</f>
        <v>0</v>
      </c>
      <c r="AR78" s="46">
        <f t="array" ref="AR78">IFERROR(IF(INDEX(Historicals!$T34:$BO34,,AR$6+$D78*-1)&lt;&gt;"",INDEX(Historicals!$T34:$BO34,,AR$6+$D78*-1),$F78*AR$46*Historicals!$S34*INDEX($T$44:$BO$44,,AR$6-$D78+1)),0)</f>
        <v>0</v>
      </c>
      <c r="AS78" s="46">
        <f t="array" ref="AS78">IFERROR(IF(INDEX(Historicals!$T34:$BO34,,AS$6+$D78*-1)&lt;&gt;"",INDEX(Historicals!$T34:$BO34,,AS$6+$D78*-1),$F78*AS$46*Historicals!$S34*INDEX($T$44:$BO$44,,AS$6-$D78+1)),0)</f>
        <v>0</v>
      </c>
      <c r="AT78" s="46">
        <f t="array" ref="AT78">IFERROR(IF(INDEX(Historicals!$T34:$BO34,,AT$6+$D78*-1)&lt;&gt;"",INDEX(Historicals!$T34:$BO34,,AT$6+$D78*-1),$F78*AT$46*Historicals!$S34*INDEX($T$44:$BO$44,,AT$6-$D78+1)),0)</f>
        <v>0</v>
      </c>
      <c r="AU78" s="46">
        <f t="array" ref="AU78">IFERROR(IF(INDEX(Historicals!$T34:$BO34,,AU$6+$D78*-1)&lt;&gt;"",INDEX(Historicals!$T34:$BO34,,AU$6+$D78*-1),$F78*AU$46*Historicals!$S34*INDEX($T$44:$BO$44,,AU$6-$D78+1)),0)</f>
        <v>0</v>
      </c>
      <c r="AV78" s="46">
        <f t="array" ref="AV78">IFERROR(IF(INDEX(Historicals!$T34:$BO34,,AV$6+$D78*-1)&lt;&gt;"",INDEX(Historicals!$T34:$BO34,,AV$6+$D78*-1),$F78*AV$46*Historicals!$S34*INDEX($T$44:$BO$44,,AV$6-$D78+1)),0)</f>
        <v>0</v>
      </c>
      <c r="AW78" s="46">
        <f t="array" ref="AW78">IFERROR(IF(INDEX(Historicals!$T34:$BO34,,AW$6+$D78*-1)&lt;&gt;"",INDEX(Historicals!$T34:$BO34,,AW$6+$D78*-1),$F78*AW$46*Historicals!$S34*INDEX($T$44:$BO$44,,AW$6-$D78+1)),0)</f>
        <v>0</v>
      </c>
      <c r="AX78" s="46">
        <f t="array" ref="AX78">IFERROR(IF(INDEX(Historicals!$T34:$BO34,,AX$6+$D78*-1)&lt;&gt;"",INDEX(Historicals!$T34:$BO34,,AX$6+$D78*-1),$F78*AX$46*Historicals!$S34*INDEX($T$44:$BO$44,,AX$6-$D78+1)),0)</f>
        <v>0</v>
      </c>
      <c r="AY78" s="46">
        <f t="array" ref="AY78">IFERROR(IF(INDEX(Historicals!$T34:$BO34,,AY$6+$D78*-1)&lt;&gt;"",INDEX(Historicals!$T34:$BO34,,AY$6+$D78*-1),$F78*AY$46*Historicals!$S34*INDEX($T$44:$BO$44,,AY$6-$D78+1)),0)</f>
        <v>0</v>
      </c>
      <c r="AZ78" s="46">
        <f t="array" ref="AZ78">IFERROR(IF(INDEX(Historicals!$T34:$BO34,,AZ$6+$D78*-1)&lt;&gt;"",INDEX(Historicals!$T34:$BO34,,AZ$6+$D78*-1),$F78*AZ$46*Historicals!$S34*INDEX($T$44:$BO$44,,AZ$6-$D78+1)),0)</f>
        <v>0</v>
      </c>
      <c r="BA78" s="46">
        <f t="array" ref="BA78">IFERROR(IF(INDEX(Historicals!$T34:$BO34,,BA$6+$D78*-1)&lt;&gt;"",INDEX(Historicals!$T34:$BO34,,BA$6+$D78*-1),$F78*BA$46*Historicals!$S34*INDEX($T$44:$BO$44,,BA$6-$D78+1)),0)</f>
        <v>0</v>
      </c>
      <c r="BB78" s="46">
        <f t="array" ref="BB78">IFERROR(IF(INDEX(Historicals!$T34:$BO34,,BB$6+$D78*-1)&lt;&gt;"",INDEX(Historicals!$T34:$BO34,,BB$6+$D78*-1),$F78*BB$46*Historicals!$S34*INDEX($T$44:$BO$44,,BB$6-$D78+1)),0)</f>
        <v>0</v>
      </c>
      <c r="BC78" s="46">
        <f t="array" ref="BC78">IFERROR(IF(INDEX(Historicals!$T34:$BO34,,BC$6+$D78*-1)&lt;&gt;"",INDEX(Historicals!$T34:$BO34,,BC$6+$D78*-1),$F78*BC$46*Historicals!$S34*INDEX($T$44:$BO$44,,BC$6-$D78+1)),0)</f>
        <v>0</v>
      </c>
      <c r="BD78" s="46">
        <f t="array" ref="BD78">IFERROR(IF(INDEX(Historicals!$T34:$BO34,,BD$6+$D78*-1)&lt;&gt;"",INDEX(Historicals!$T34:$BO34,,BD$6+$D78*-1),$F78*BD$46*Historicals!$S34*INDEX($T$44:$BO$44,,BD$6-$D78+1)),0)</f>
        <v>0</v>
      </c>
      <c r="BE78" s="46">
        <f t="array" ref="BE78">IFERROR(IF(INDEX(Historicals!$T34:$BO34,,BE$6+$D78*-1)&lt;&gt;"",INDEX(Historicals!$T34:$BO34,,BE$6+$D78*-1),$F78*BE$46*Historicals!$S34*INDEX($T$44:$BO$44,,BE$6-$D78+1)),0)</f>
        <v>0</v>
      </c>
      <c r="BF78" s="46">
        <f t="array" ref="BF78">IFERROR(IF(INDEX(Historicals!$T34:$BO34,,BF$6+$D78*-1)&lt;&gt;"",INDEX(Historicals!$T34:$BO34,,BF$6+$D78*-1),$F78*BF$46*Historicals!$S34*INDEX($T$44:$BO$44,,BF$6-$D78+1)),0)</f>
        <v>0</v>
      </c>
      <c r="BG78" s="46">
        <f t="array" ref="BG78">IFERROR(IF(INDEX(Historicals!$T34:$BO34,,BG$6+$D78*-1)&lt;&gt;"",INDEX(Historicals!$T34:$BO34,,BG$6+$D78*-1),$F78*BG$46*Historicals!$S34*INDEX($T$44:$BO$44,,BG$6-$D78+1)),0)</f>
        <v>0</v>
      </c>
      <c r="BH78" s="46">
        <f t="array" ref="BH78">IFERROR(IF(INDEX(Historicals!$T34:$BO34,,BH$6+$D78*-1)&lt;&gt;"",INDEX(Historicals!$T34:$BO34,,BH$6+$D78*-1),$F78*BH$46*Historicals!$S34*INDEX($T$44:$BO$44,,BH$6-$D78+1)),0)</f>
        <v>0</v>
      </c>
      <c r="BI78" s="46">
        <f t="array" ref="BI78">IFERROR(IF(INDEX(Historicals!$T34:$BO34,,BI$6+$D78*-1)&lt;&gt;"",INDEX(Historicals!$T34:$BO34,,BI$6+$D78*-1),$F78*BI$46*Historicals!$S34*INDEX($T$44:$BO$44,,BI$6-$D78+1)),0)</f>
        <v>0</v>
      </c>
      <c r="BJ78" s="46">
        <f t="array" ref="BJ78">IFERROR(IF(INDEX(Historicals!$T34:$BO34,,BJ$6+$D78*-1)&lt;&gt;"",INDEX(Historicals!$T34:$BO34,,BJ$6+$D78*-1),$F78*BJ$46*Historicals!$S34*INDEX($T$44:$BO$44,,BJ$6-$D78+1)),0)</f>
        <v>0</v>
      </c>
      <c r="BK78" s="46">
        <f t="array" ref="BK78">IFERROR(IF(INDEX(Historicals!$T34:$BO34,,BK$6+$D78*-1)&lt;&gt;"",INDEX(Historicals!$T34:$BO34,,BK$6+$D78*-1),$F78*BK$46*Historicals!$S34*INDEX($T$44:$BO$44,,BK$6-$D78+1)),0)</f>
        <v>0</v>
      </c>
      <c r="BL78" s="46">
        <f t="array" ref="BL78">IFERROR(IF(INDEX(Historicals!$T34:$BO34,,BL$6+$D78*-1)&lt;&gt;"",INDEX(Historicals!$T34:$BO34,,BL$6+$D78*-1),$F78*BL$46*Historicals!$S34*INDEX($T$44:$BO$44,,BL$6-$D78+1)),0)</f>
        <v>0</v>
      </c>
      <c r="BM78" s="46">
        <f t="array" ref="BM78">IFERROR(IF(INDEX(Historicals!$T34:$BO34,,BM$6+$D78*-1)&lt;&gt;"",INDEX(Historicals!$T34:$BO34,,BM$6+$D78*-1),$F78*BM$46*Historicals!$S34*INDEX($T$44:$BO$44,,BM$6-$D78+1)),0)</f>
        <v>0</v>
      </c>
      <c r="BN78" s="46">
        <f t="array" ref="BN78">IFERROR(IF(INDEX(Historicals!$T34:$BO34,,BN$6+$D78*-1)&lt;&gt;"",INDEX(Historicals!$T34:$BO34,,BN$6+$D78*-1),$F78*BN$46*Historicals!$S34*INDEX($T$44:$BO$44,,BN$6-$D78+1)),0)</f>
        <v>0</v>
      </c>
      <c r="BO78" s="46">
        <f t="array" ref="BO78">IFERROR(IF(INDEX(Historicals!$T34:$BO34,,BO$6+$D78*-1)&lt;&gt;"",INDEX(Historicals!$T34:$BO34,,BO$6+$D78*-1),$F78*BO$46*Historicals!$S34*INDEX($T$44:$BO$44,,BO$6-$D78+1)),0)</f>
        <v>0</v>
      </c>
    </row>
    <row r="79" spans="1:67" ht="16.5" hidden="1" customHeight="1" outlineLevel="1">
      <c r="A79" s="1"/>
      <c r="B79" s="55">
        <f t="shared" si="19"/>
        <v>44923</v>
      </c>
      <c r="C79" s="17" t="s">
        <v>104</v>
      </c>
      <c r="D79" s="46">
        <f t="shared" si="20"/>
        <v>-24</v>
      </c>
      <c r="E79" s="16"/>
      <c r="F79" s="51">
        <v>1</v>
      </c>
      <c r="G79" s="16" t="s">
        <v>159</v>
      </c>
      <c r="H79" s="16" t="s">
        <v>155</v>
      </c>
      <c r="I79" s="46">
        <f ca="1">IF(H79=Forecast!$H$195,T79,IF(H79=Forecast!$H$196,BO79,IF(H79=Forecast!$H$197,SUM(T79:BO79),IF(H79=Forecast!$H$198,AVERAGE(T79:BO79),0))))</f>
        <v>4.7537770848722856</v>
      </c>
      <c r="J79" s="16"/>
      <c r="K79" s="16"/>
      <c r="L79" s="16"/>
      <c r="M79" s="16"/>
      <c r="N79" s="16"/>
      <c r="O79" s="16"/>
      <c r="P79" s="16"/>
      <c r="Q79" s="16"/>
      <c r="R79" s="16"/>
      <c r="S79" s="16"/>
      <c r="T79" s="46">
        <f t="array" ref="T79">IFERROR(IF(INDEX(Historicals!$T35:$BO35,,T$6+$D79*-1)&lt;&gt;"",INDEX(Historicals!$T35:$BO35,,T$6+$D79*-1),$F79*T$46*Historicals!$S35*INDEX($T$44:$BO$44,,T$6-$D79+1)),0)</f>
        <v>2.7577583638064587</v>
      </c>
      <c r="U79" s="46">
        <f t="array" aca="1" ref="U79" ca="1">IFERROR(IF(INDEX(Historicals!$T35:$BO35,,U$6+$D79*-1)&lt;&gt;"",INDEX(Historicals!$T35:$BO35,,U$6+$D79*-1),$F79*U$46*Historicals!$S35*INDEX($T$44:$BO$44,,U$6-$D79+1)),0)</f>
        <v>0</v>
      </c>
      <c r="V79" s="46">
        <f t="array" aca="1" ref="V79" ca="1">IFERROR(IF(INDEX(Historicals!$T35:$BO35,,V$6+$D79*-1)&lt;&gt;"",INDEX(Historicals!$T35:$BO35,,V$6+$D79*-1),$F79*V$46*Historicals!$S35*INDEX($T$44:$BO$44,,V$6-$D79+1)),0)</f>
        <v>1.1405821263233296</v>
      </c>
      <c r="W79" s="46">
        <f t="array" aca="1" ref="W79" ca="1">IFERROR(IF(INDEX(Historicals!$T35:$BO35,,W$6+$D79*-1)&lt;&gt;"",INDEX(Historicals!$T35:$BO35,,W$6+$D79*-1),$F79*W$46*Historicals!$S35*INDEX($T$44:$BO$44,,W$6-$D79+1)),0)</f>
        <v>0</v>
      </c>
      <c r="X79" s="46">
        <f t="array" aca="1" ref="X79" ca="1">IFERROR(IF(INDEX(Historicals!$T35:$BO35,,X$6+$D79*-1)&lt;&gt;"",INDEX(Historicals!$T35:$BO35,,X$6+$D79*-1),$F79*X$46*Historicals!$S35*INDEX($T$44:$BO$44,,X$6-$D79+1)),0)</f>
        <v>0</v>
      </c>
      <c r="Y79" s="46">
        <f t="array" aca="1" ref="Y79" ca="1">IFERROR(IF(INDEX(Historicals!$T35:$BO35,,Y$6+$D79*-1)&lt;&gt;"",INDEX(Historicals!$T35:$BO35,,Y$6+$D79*-1),$F79*Y$46*Historicals!$S35*INDEX($T$44:$BO$44,,Y$6-$D79+1)),0)</f>
        <v>0.57029106316166478</v>
      </c>
      <c r="Z79" s="46">
        <f t="array" aca="1" ref="Z79" ca="1">IFERROR(IF(INDEX(Historicals!$T35:$BO35,,Z$6+$D79*-1)&lt;&gt;"",INDEX(Historicals!$T35:$BO35,,Z$6+$D79*-1),$F79*Z$46*Historicals!$S35*INDEX($T$44:$BO$44,,Z$6-$D79+1)),0)</f>
        <v>0</v>
      </c>
      <c r="AA79" s="46">
        <f t="array" aca="1" ref="AA79" ca="1">IFERROR(IF(INDEX(Historicals!$T35:$BO35,,AA$6+$D79*-1)&lt;&gt;"",INDEX(Historicals!$T35:$BO35,,AA$6+$D79*-1),$F79*AA$46*Historicals!$S35*INDEX($T$44:$BO$44,,AA$6-$D79+1)),0)</f>
        <v>0</v>
      </c>
      <c r="AB79" s="46">
        <f t="array" aca="1" ref="AB79" ca="1">IFERROR(IF(INDEX(Historicals!$T35:$BO35,,AB$6+$D79*-1)&lt;&gt;"",INDEX(Historicals!$T35:$BO35,,AB$6+$D79*-1),$F79*AB$46*Historicals!$S35*INDEX($T$44:$BO$44,,AB$6-$D79+1)),0)</f>
        <v>0.28514553158083239</v>
      </c>
      <c r="AC79" s="46">
        <f t="array" aca="1" ref="AC79" ca="1">IFERROR(IF(INDEX(Historicals!$T35:$BO35,,AC$6+$D79*-1)&lt;&gt;"",INDEX(Historicals!$T35:$BO35,,AC$6+$D79*-1),$F79*AC$46*Historicals!$S35*INDEX($T$44:$BO$44,,AC$6-$D79+1)),0)</f>
        <v>0</v>
      </c>
      <c r="AD79" s="46">
        <f t="array" aca="1" ref="AD79" ca="1">IFERROR(IF(INDEX(Historicals!$T35:$BO35,,AD$6+$D79*-1)&lt;&gt;"",INDEX(Historicals!$T35:$BO35,,AD$6+$D79*-1),$F79*AD$46*Historicals!$S35*INDEX($T$44:$BO$44,,AD$6-$D79+1)),0)</f>
        <v>0</v>
      </c>
      <c r="AE79" s="46">
        <f t="array" ref="AE79">IFERROR(IF(INDEX(Historicals!$T35:$BO35,,AE$6+$D79*-1)&lt;&gt;"",INDEX(Historicals!$T35:$BO35,,AE$6+$D79*-1),$F79*AE$46*Historicals!$S35*INDEX($T$44:$BO$44,,AE$6-$D79+1)),0)</f>
        <v>0</v>
      </c>
      <c r="AF79" s="46">
        <f t="array" ref="AF79">IFERROR(IF(INDEX(Historicals!$T35:$BO35,,AF$6+$D79*-1)&lt;&gt;"",INDEX(Historicals!$T35:$BO35,,AF$6+$D79*-1),$F79*AF$46*Historicals!$S35*INDEX($T$44:$BO$44,,AF$6-$D79+1)),0)</f>
        <v>0</v>
      </c>
      <c r="AG79" s="46">
        <f t="array" ref="AG79">IFERROR(IF(INDEX(Historicals!$T35:$BO35,,AG$6+$D79*-1)&lt;&gt;"",INDEX(Historicals!$T35:$BO35,,AG$6+$D79*-1),$F79*AG$46*Historicals!$S35*INDEX($T$44:$BO$44,,AG$6-$D79+1)),0)</f>
        <v>0</v>
      </c>
      <c r="AH79" s="46">
        <f t="array" ref="AH79">IFERROR(IF(INDEX(Historicals!$T35:$BO35,,AH$6+$D79*-1)&lt;&gt;"",INDEX(Historicals!$T35:$BO35,,AH$6+$D79*-1),$F79*AH$46*Historicals!$S35*INDEX($T$44:$BO$44,,AH$6-$D79+1)),0)</f>
        <v>0</v>
      </c>
      <c r="AI79" s="46">
        <f t="array" ref="AI79">IFERROR(IF(INDEX(Historicals!$T35:$BO35,,AI$6+$D79*-1)&lt;&gt;"",INDEX(Historicals!$T35:$BO35,,AI$6+$D79*-1),$F79*AI$46*Historicals!$S35*INDEX($T$44:$BO$44,,AI$6-$D79+1)),0)</f>
        <v>0</v>
      </c>
      <c r="AJ79" s="46">
        <f t="array" ref="AJ79">IFERROR(IF(INDEX(Historicals!$T35:$BO35,,AJ$6+$D79*-1)&lt;&gt;"",INDEX(Historicals!$T35:$BO35,,AJ$6+$D79*-1),$F79*AJ$46*Historicals!$S35*INDEX($T$44:$BO$44,,AJ$6-$D79+1)),0)</f>
        <v>0</v>
      </c>
      <c r="AK79" s="46">
        <f t="array" ref="AK79">IFERROR(IF(INDEX(Historicals!$T35:$BO35,,AK$6+$D79*-1)&lt;&gt;"",INDEX(Historicals!$T35:$BO35,,AK$6+$D79*-1),$F79*AK$46*Historicals!$S35*INDEX($T$44:$BO$44,,AK$6-$D79+1)),0)</f>
        <v>0</v>
      </c>
      <c r="AL79" s="46">
        <f t="array" ref="AL79">IFERROR(IF(INDEX(Historicals!$T35:$BO35,,AL$6+$D79*-1)&lt;&gt;"",INDEX(Historicals!$T35:$BO35,,AL$6+$D79*-1),$F79*AL$46*Historicals!$S35*INDEX($T$44:$BO$44,,AL$6-$D79+1)),0)</f>
        <v>0</v>
      </c>
      <c r="AM79" s="46">
        <f t="array" ref="AM79">IFERROR(IF(INDEX(Historicals!$T35:$BO35,,AM$6+$D79*-1)&lt;&gt;"",INDEX(Historicals!$T35:$BO35,,AM$6+$D79*-1),$F79*AM$46*Historicals!$S35*INDEX($T$44:$BO$44,,AM$6-$D79+1)),0)</f>
        <v>0</v>
      </c>
      <c r="AN79" s="46">
        <f t="array" ref="AN79">IFERROR(IF(INDEX(Historicals!$T35:$BO35,,AN$6+$D79*-1)&lt;&gt;"",INDEX(Historicals!$T35:$BO35,,AN$6+$D79*-1),$F79*AN$46*Historicals!$S35*INDEX($T$44:$BO$44,,AN$6-$D79+1)),0)</f>
        <v>0</v>
      </c>
      <c r="AO79" s="46">
        <f t="array" ref="AO79">IFERROR(IF(INDEX(Historicals!$T35:$BO35,,AO$6+$D79*-1)&lt;&gt;"",INDEX(Historicals!$T35:$BO35,,AO$6+$D79*-1),$F79*AO$46*Historicals!$S35*INDEX($T$44:$BO$44,,AO$6-$D79+1)),0)</f>
        <v>0</v>
      </c>
      <c r="AP79" s="46">
        <f t="array" ref="AP79">IFERROR(IF(INDEX(Historicals!$T35:$BO35,,AP$6+$D79*-1)&lt;&gt;"",INDEX(Historicals!$T35:$BO35,,AP$6+$D79*-1),$F79*AP$46*Historicals!$S35*INDEX($T$44:$BO$44,,AP$6-$D79+1)),0)</f>
        <v>0</v>
      </c>
      <c r="AQ79" s="46">
        <f t="array" ref="AQ79">IFERROR(IF(INDEX(Historicals!$T35:$BO35,,AQ$6+$D79*-1)&lt;&gt;"",INDEX(Historicals!$T35:$BO35,,AQ$6+$D79*-1),$F79*AQ$46*Historicals!$S35*INDEX($T$44:$BO$44,,AQ$6-$D79+1)),0)</f>
        <v>0</v>
      </c>
      <c r="AR79" s="46">
        <f t="array" ref="AR79">IFERROR(IF(INDEX(Historicals!$T35:$BO35,,AR$6+$D79*-1)&lt;&gt;"",INDEX(Historicals!$T35:$BO35,,AR$6+$D79*-1),$F79*AR$46*Historicals!$S35*INDEX($T$44:$BO$44,,AR$6-$D79+1)),0)</f>
        <v>0</v>
      </c>
      <c r="AS79" s="46">
        <f t="array" ref="AS79">IFERROR(IF(INDEX(Historicals!$T35:$BO35,,AS$6+$D79*-1)&lt;&gt;"",INDEX(Historicals!$T35:$BO35,,AS$6+$D79*-1),$F79*AS$46*Historicals!$S35*INDEX($T$44:$BO$44,,AS$6-$D79+1)),0)</f>
        <v>0</v>
      </c>
      <c r="AT79" s="46">
        <f t="array" ref="AT79">IFERROR(IF(INDEX(Historicals!$T35:$BO35,,AT$6+$D79*-1)&lt;&gt;"",INDEX(Historicals!$T35:$BO35,,AT$6+$D79*-1),$F79*AT$46*Historicals!$S35*INDEX($T$44:$BO$44,,AT$6-$D79+1)),0)</f>
        <v>0</v>
      </c>
      <c r="AU79" s="46">
        <f t="array" ref="AU79">IFERROR(IF(INDEX(Historicals!$T35:$BO35,,AU$6+$D79*-1)&lt;&gt;"",INDEX(Historicals!$T35:$BO35,,AU$6+$D79*-1),$F79*AU$46*Historicals!$S35*INDEX($T$44:$BO$44,,AU$6-$D79+1)),0)</f>
        <v>0</v>
      </c>
      <c r="AV79" s="46">
        <f t="array" ref="AV79">IFERROR(IF(INDEX(Historicals!$T35:$BO35,,AV$6+$D79*-1)&lt;&gt;"",INDEX(Historicals!$T35:$BO35,,AV$6+$D79*-1),$F79*AV$46*Historicals!$S35*INDEX($T$44:$BO$44,,AV$6-$D79+1)),0)</f>
        <v>0</v>
      </c>
      <c r="AW79" s="46">
        <f t="array" ref="AW79">IFERROR(IF(INDEX(Historicals!$T35:$BO35,,AW$6+$D79*-1)&lt;&gt;"",INDEX(Historicals!$T35:$BO35,,AW$6+$D79*-1),$F79*AW$46*Historicals!$S35*INDEX($T$44:$BO$44,,AW$6-$D79+1)),0)</f>
        <v>0</v>
      </c>
      <c r="AX79" s="46">
        <f t="array" ref="AX79">IFERROR(IF(INDEX(Historicals!$T35:$BO35,,AX$6+$D79*-1)&lt;&gt;"",INDEX(Historicals!$T35:$BO35,,AX$6+$D79*-1),$F79*AX$46*Historicals!$S35*INDEX($T$44:$BO$44,,AX$6-$D79+1)),0)</f>
        <v>0</v>
      </c>
      <c r="AY79" s="46">
        <f t="array" ref="AY79">IFERROR(IF(INDEX(Historicals!$T35:$BO35,,AY$6+$D79*-1)&lt;&gt;"",INDEX(Historicals!$T35:$BO35,,AY$6+$D79*-1),$F79*AY$46*Historicals!$S35*INDEX($T$44:$BO$44,,AY$6-$D79+1)),0)</f>
        <v>0</v>
      </c>
      <c r="AZ79" s="46">
        <f t="array" ref="AZ79">IFERROR(IF(INDEX(Historicals!$T35:$BO35,,AZ$6+$D79*-1)&lt;&gt;"",INDEX(Historicals!$T35:$BO35,,AZ$6+$D79*-1),$F79*AZ$46*Historicals!$S35*INDEX($T$44:$BO$44,,AZ$6-$D79+1)),0)</f>
        <v>0</v>
      </c>
      <c r="BA79" s="46">
        <f t="array" ref="BA79">IFERROR(IF(INDEX(Historicals!$T35:$BO35,,BA$6+$D79*-1)&lt;&gt;"",INDEX(Historicals!$T35:$BO35,,BA$6+$D79*-1),$F79*BA$46*Historicals!$S35*INDEX($T$44:$BO$44,,BA$6-$D79+1)),0)</f>
        <v>0</v>
      </c>
      <c r="BB79" s="46">
        <f t="array" ref="BB79">IFERROR(IF(INDEX(Historicals!$T35:$BO35,,BB$6+$D79*-1)&lt;&gt;"",INDEX(Historicals!$T35:$BO35,,BB$6+$D79*-1),$F79*BB$46*Historicals!$S35*INDEX($T$44:$BO$44,,BB$6-$D79+1)),0)</f>
        <v>0</v>
      </c>
      <c r="BC79" s="46">
        <f t="array" ref="BC79">IFERROR(IF(INDEX(Historicals!$T35:$BO35,,BC$6+$D79*-1)&lt;&gt;"",INDEX(Historicals!$T35:$BO35,,BC$6+$D79*-1),$F79*BC$46*Historicals!$S35*INDEX($T$44:$BO$44,,BC$6-$D79+1)),0)</f>
        <v>0</v>
      </c>
      <c r="BD79" s="46">
        <f t="array" ref="BD79">IFERROR(IF(INDEX(Historicals!$T35:$BO35,,BD$6+$D79*-1)&lt;&gt;"",INDEX(Historicals!$T35:$BO35,,BD$6+$D79*-1),$F79*BD$46*Historicals!$S35*INDEX($T$44:$BO$44,,BD$6-$D79+1)),0)</f>
        <v>0</v>
      </c>
      <c r="BE79" s="46">
        <f t="array" ref="BE79">IFERROR(IF(INDEX(Historicals!$T35:$BO35,,BE$6+$D79*-1)&lt;&gt;"",INDEX(Historicals!$T35:$BO35,,BE$6+$D79*-1),$F79*BE$46*Historicals!$S35*INDEX($T$44:$BO$44,,BE$6-$D79+1)),0)</f>
        <v>0</v>
      </c>
      <c r="BF79" s="46">
        <f t="array" ref="BF79">IFERROR(IF(INDEX(Historicals!$T35:$BO35,,BF$6+$D79*-1)&lt;&gt;"",INDEX(Historicals!$T35:$BO35,,BF$6+$D79*-1),$F79*BF$46*Historicals!$S35*INDEX($T$44:$BO$44,,BF$6-$D79+1)),0)</f>
        <v>0</v>
      </c>
      <c r="BG79" s="46">
        <f t="array" ref="BG79">IFERROR(IF(INDEX(Historicals!$T35:$BO35,,BG$6+$D79*-1)&lt;&gt;"",INDEX(Historicals!$T35:$BO35,,BG$6+$D79*-1),$F79*BG$46*Historicals!$S35*INDEX($T$44:$BO$44,,BG$6-$D79+1)),0)</f>
        <v>0</v>
      </c>
      <c r="BH79" s="46">
        <f t="array" ref="BH79">IFERROR(IF(INDEX(Historicals!$T35:$BO35,,BH$6+$D79*-1)&lt;&gt;"",INDEX(Historicals!$T35:$BO35,,BH$6+$D79*-1),$F79*BH$46*Historicals!$S35*INDEX($T$44:$BO$44,,BH$6-$D79+1)),0)</f>
        <v>0</v>
      </c>
      <c r="BI79" s="46">
        <f t="array" ref="BI79">IFERROR(IF(INDEX(Historicals!$T35:$BO35,,BI$6+$D79*-1)&lt;&gt;"",INDEX(Historicals!$T35:$BO35,,BI$6+$D79*-1),$F79*BI$46*Historicals!$S35*INDEX($T$44:$BO$44,,BI$6-$D79+1)),0)</f>
        <v>0</v>
      </c>
      <c r="BJ79" s="46">
        <f t="array" ref="BJ79">IFERROR(IF(INDEX(Historicals!$T35:$BO35,,BJ$6+$D79*-1)&lt;&gt;"",INDEX(Historicals!$T35:$BO35,,BJ$6+$D79*-1),$F79*BJ$46*Historicals!$S35*INDEX($T$44:$BO$44,,BJ$6-$D79+1)),0)</f>
        <v>0</v>
      </c>
      <c r="BK79" s="46">
        <f t="array" ref="BK79">IFERROR(IF(INDEX(Historicals!$T35:$BO35,,BK$6+$D79*-1)&lt;&gt;"",INDEX(Historicals!$T35:$BO35,,BK$6+$D79*-1),$F79*BK$46*Historicals!$S35*INDEX($T$44:$BO$44,,BK$6-$D79+1)),0)</f>
        <v>0</v>
      </c>
      <c r="BL79" s="46">
        <f t="array" ref="BL79">IFERROR(IF(INDEX(Historicals!$T35:$BO35,,BL$6+$D79*-1)&lt;&gt;"",INDEX(Historicals!$T35:$BO35,,BL$6+$D79*-1),$F79*BL$46*Historicals!$S35*INDEX($T$44:$BO$44,,BL$6-$D79+1)),0)</f>
        <v>0</v>
      </c>
      <c r="BM79" s="46">
        <f t="array" ref="BM79">IFERROR(IF(INDEX(Historicals!$T35:$BO35,,BM$6+$D79*-1)&lt;&gt;"",INDEX(Historicals!$T35:$BO35,,BM$6+$D79*-1),$F79*BM$46*Historicals!$S35*INDEX($T$44:$BO$44,,BM$6-$D79+1)),0)</f>
        <v>0</v>
      </c>
      <c r="BN79" s="46">
        <f t="array" ref="BN79">IFERROR(IF(INDEX(Historicals!$T35:$BO35,,BN$6+$D79*-1)&lt;&gt;"",INDEX(Historicals!$T35:$BO35,,BN$6+$D79*-1),$F79*BN$46*Historicals!$S35*INDEX($T$44:$BO$44,,BN$6-$D79+1)),0)</f>
        <v>0</v>
      </c>
      <c r="BO79" s="46">
        <f t="array" ref="BO79">IFERROR(IF(INDEX(Historicals!$T35:$BO35,,BO$6+$D79*-1)&lt;&gt;"",INDEX(Historicals!$T35:$BO35,,BO$6+$D79*-1),$F79*BO$46*Historicals!$S35*INDEX($T$44:$BO$44,,BO$6-$D79+1)),0)</f>
        <v>0</v>
      </c>
    </row>
    <row r="80" spans="1:67" ht="16.5" hidden="1" customHeight="1" outlineLevel="1">
      <c r="A80" s="1"/>
      <c r="B80" s="55">
        <f t="shared" si="19"/>
        <v>44954</v>
      </c>
      <c r="C80" s="17" t="s">
        <v>104</v>
      </c>
      <c r="D80" s="46">
        <f t="shared" si="20"/>
        <v>-23</v>
      </c>
      <c r="E80" s="16"/>
      <c r="F80" s="51">
        <v>1</v>
      </c>
      <c r="G80" s="16" t="s">
        <v>159</v>
      </c>
      <c r="H80" s="16" t="s">
        <v>155</v>
      </c>
      <c r="I80" s="46">
        <f ca="1">IF(H80=Forecast!$H$195,T80,IF(H80=Forecast!$H$196,BO80,IF(H80=Forecast!$H$197,SUM(T80:BO80),IF(H80=Forecast!$H$198,AVERAGE(T80:BO80),0))))</f>
        <v>5.7297017640251591</v>
      </c>
      <c r="J80" s="16"/>
      <c r="K80" s="16"/>
      <c r="L80" s="16"/>
      <c r="M80" s="16"/>
      <c r="N80" s="16"/>
      <c r="O80" s="16"/>
      <c r="P80" s="16"/>
      <c r="Q80" s="16"/>
      <c r="R80" s="16"/>
      <c r="S80" s="16"/>
      <c r="T80" s="46">
        <f t="array" ref="T80">IFERROR(IF(INDEX(Historicals!$T36:$BO36,,T$6+$D80*-1)&lt;&gt;"",INDEX(Historicals!$T36:$BO36,,T$6+$D80*-1),$F80*T$46*Historicals!$S36*INDEX($T$44:$BO$44,,T$6-$D80+1)),0)</f>
        <v>3.6286294260611309</v>
      </c>
      <c r="U80" s="46">
        <f t="array" aca="1" ref="U80" ca="1">IFERROR(IF(INDEX(Historicals!$T36:$BO36,,U$6+$D80*-1)&lt;&gt;"",INDEX(Historicals!$T36:$BO36,,U$6+$D80*-1),$F80*U$46*Historicals!$S36*INDEX($T$44:$BO$44,,U$6-$D80+1)),0)</f>
        <v>0</v>
      </c>
      <c r="V80" s="46">
        <f t="array" aca="1" ref="V80" ca="1">IFERROR(IF(INDEX(Historicals!$T36:$BO36,,V$6+$D80*-1)&lt;&gt;"",INDEX(Historicals!$T36:$BO36,,V$6+$D80*-1),$F80*V$46*Historicals!$S36*INDEX($T$44:$BO$44,,V$6-$D80+1)),0)</f>
        <v>0</v>
      </c>
      <c r="W80" s="46">
        <f t="array" aca="1" ref="W80" ca="1">IFERROR(IF(INDEX(Historicals!$T36:$BO36,,W$6+$D80*-1)&lt;&gt;"",INDEX(Historicals!$T36:$BO36,,W$6+$D80*-1),$F80*W$46*Historicals!$S36*INDEX($T$44:$BO$44,,W$6-$D80+1)),0)</f>
        <v>1.2006127645508733</v>
      </c>
      <c r="X80" s="46">
        <f t="array" aca="1" ref="X80" ca="1">IFERROR(IF(INDEX(Historicals!$T36:$BO36,,X$6+$D80*-1)&lt;&gt;"",INDEX(Historicals!$T36:$BO36,,X$6+$D80*-1),$F80*X$46*Historicals!$S36*INDEX($T$44:$BO$44,,X$6-$D80+1)),0)</f>
        <v>0</v>
      </c>
      <c r="Y80" s="46">
        <f t="array" aca="1" ref="Y80" ca="1">IFERROR(IF(INDEX(Historicals!$T36:$BO36,,Y$6+$D80*-1)&lt;&gt;"",INDEX(Historicals!$T36:$BO36,,Y$6+$D80*-1),$F80*Y$46*Historicals!$S36*INDEX($T$44:$BO$44,,Y$6-$D80+1)),0)</f>
        <v>0</v>
      </c>
      <c r="Z80" s="46">
        <f t="array" aca="1" ref="Z80" ca="1">IFERROR(IF(INDEX(Historicals!$T36:$BO36,,Z$6+$D80*-1)&lt;&gt;"",INDEX(Historicals!$T36:$BO36,,Z$6+$D80*-1),$F80*Z$46*Historicals!$S36*INDEX($T$44:$BO$44,,Z$6-$D80+1)),0)</f>
        <v>0.60030638227543665</v>
      </c>
      <c r="AA80" s="46">
        <f t="array" aca="1" ref="AA80" ca="1">IFERROR(IF(INDEX(Historicals!$T36:$BO36,,AA$6+$D80*-1)&lt;&gt;"",INDEX(Historicals!$T36:$BO36,,AA$6+$D80*-1),$F80*AA$46*Historicals!$S36*INDEX($T$44:$BO$44,,AA$6-$D80+1)),0)</f>
        <v>0</v>
      </c>
      <c r="AB80" s="46">
        <f t="array" aca="1" ref="AB80" ca="1">IFERROR(IF(INDEX(Historicals!$T36:$BO36,,AB$6+$D80*-1)&lt;&gt;"",INDEX(Historicals!$T36:$BO36,,AB$6+$D80*-1),$F80*AB$46*Historicals!$S36*INDEX($T$44:$BO$44,,AB$6-$D80+1)),0)</f>
        <v>0</v>
      </c>
      <c r="AC80" s="46">
        <f t="array" aca="1" ref="AC80" ca="1">IFERROR(IF(INDEX(Historicals!$T36:$BO36,,AC$6+$D80*-1)&lt;&gt;"",INDEX(Historicals!$T36:$BO36,,AC$6+$D80*-1),$F80*AC$46*Historicals!$S36*INDEX($T$44:$BO$44,,AC$6-$D80+1)),0)</f>
        <v>0.30015319113771832</v>
      </c>
      <c r="AD80" s="46">
        <f t="array" aca="1" ref="AD80" ca="1">IFERROR(IF(INDEX(Historicals!$T36:$BO36,,AD$6+$D80*-1)&lt;&gt;"",INDEX(Historicals!$T36:$BO36,,AD$6+$D80*-1),$F80*AD$46*Historicals!$S36*INDEX($T$44:$BO$44,,AD$6-$D80+1)),0)</f>
        <v>0</v>
      </c>
      <c r="AE80" s="46">
        <f t="array" aca="1" ref="AE80" ca="1">IFERROR(IF(INDEX(Historicals!$T36:$BO36,,AE$6+$D80*-1)&lt;&gt;"",INDEX(Historicals!$T36:$BO36,,AE$6+$D80*-1),$F80*AE$46*Historicals!$S36*INDEX($T$44:$BO$44,,AE$6-$D80+1)),0)</f>
        <v>0</v>
      </c>
      <c r="AF80" s="46">
        <f t="array" ref="AF80">IFERROR(IF(INDEX(Historicals!$T36:$BO36,,AF$6+$D80*-1)&lt;&gt;"",INDEX(Historicals!$T36:$BO36,,AF$6+$D80*-1),$F80*AF$46*Historicals!$S36*INDEX($T$44:$BO$44,,AF$6-$D80+1)),0)</f>
        <v>0</v>
      </c>
      <c r="AG80" s="46">
        <f t="array" ref="AG80">IFERROR(IF(INDEX(Historicals!$T36:$BO36,,AG$6+$D80*-1)&lt;&gt;"",INDEX(Historicals!$T36:$BO36,,AG$6+$D80*-1),$F80*AG$46*Historicals!$S36*INDEX($T$44:$BO$44,,AG$6-$D80+1)),0)</f>
        <v>0</v>
      </c>
      <c r="AH80" s="46">
        <f t="array" ref="AH80">IFERROR(IF(INDEX(Historicals!$T36:$BO36,,AH$6+$D80*-1)&lt;&gt;"",INDEX(Historicals!$T36:$BO36,,AH$6+$D80*-1),$F80*AH$46*Historicals!$S36*INDEX($T$44:$BO$44,,AH$6-$D80+1)),0)</f>
        <v>0</v>
      </c>
      <c r="AI80" s="46">
        <f t="array" ref="AI80">IFERROR(IF(INDEX(Historicals!$T36:$BO36,,AI$6+$D80*-1)&lt;&gt;"",INDEX(Historicals!$T36:$BO36,,AI$6+$D80*-1),$F80*AI$46*Historicals!$S36*INDEX($T$44:$BO$44,,AI$6-$D80+1)),0)</f>
        <v>0</v>
      </c>
      <c r="AJ80" s="46">
        <f t="array" ref="AJ80">IFERROR(IF(INDEX(Historicals!$T36:$BO36,,AJ$6+$D80*-1)&lt;&gt;"",INDEX(Historicals!$T36:$BO36,,AJ$6+$D80*-1),$F80*AJ$46*Historicals!$S36*INDEX($T$44:$BO$44,,AJ$6-$D80+1)),0)</f>
        <v>0</v>
      </c>
      <c r="AK80" s="46">
        <f t="array" ref="AK80">IFERROR(IF(INDEX(Historicals!$T36:$BO36,,AK$6+$D80*-1)&lt;&gt;"",INDEX(Historicals!$T36:$BO36,,AK$6+$D80*-1),$F80*AK$46*Historicals!$S36*INDEX($T$44:$BO$44,,AK$6-$D80+1)),0)</f>
        <v>0</v>
      </c>
      <c r="AL80" s="46">
        <f t="array" ref="AL80">IFERROR(IF(INDEX(Historicals!$T36:$BO36,,AL$6+$D80*-1)&lt;&gt;"",INDEX(Historicals!$T36:$BO36,,AL$6+$D80*-1),$F80*AL$46*Historicals!$S36*INDEX($T$44:$BO$44,,AL$6-$D80+1)),0)</f>
        <v>0</v>
      </c>
      <c r="AM80" s="46">
        <f t="array" ref="AM80">IFERROR(IF(INDEX(Historicals!$T36:$BO36,,AM$6+$D80*-1)&lt;&gt;"",INDEX(Historicals!$T36:$BO36,,AM$6+$D80*-1),$F80*AM$46*Historicals!$S36*INDEX($T$44:$BO$44,,AM$6-$D80+1)),0)</f>
        <v>0</v>
      </c>
      <c r="AN80" s="46">
        <f t="array" ref="AN80">IFERROR(IF(INDEX(Historicals!$T36:$BO36,,AN$6+$D80*-1)&lt;&gt;"",INDEX(Historicals!$T36:$BO36,,AN$6+$D80*-1),$F80*AN$46*Historicals!$S36*INDEX($T$44:$BO$44,,AN$6-$D80+1)),0)</f>
        <v>0</v>
      </c>
      <c r="AO80" s="46">
        <f t="array" ref="AO80">IFERROR(IF(INDEX(Historicals!$T36:$BO36,,AO$6+$D80*-1)&lt;&gt;"",INDEX(Historicals!$T36:$BO36,,AO$6+$D80*-1),$F80*AO$46*Historicals!$S36*INDEX($T$44:$BO$44,,AO$6-$D80+1)),0)</f>
        <v>0</v>
      </c>
      <c r="AP80" s="46">
        <f t="array" ref="AP80">IFERROR(IF(INDEX(Historicals!$T36:$BO36,,AP$6+$D80*-1)&lt;&gt;"",INDEX(Historicals!$T36:$BO36,,AP$6+$D80*-1),$F80*AP$46*Historicals!$S36*INDEX($T$44:$BO$44,,AP$6-$D80+1)),0)</f>
        <v>0</v>
      </c>
      <c r="AQ80" s="46">
        <f t="array" ref="AQ80">IFERROR(IF(INDEX(Historicals!$T36:$BO36,,AQ$6+$D80*-1)&lt;&gt;"",INDEX(Historicals!$T36:$BO36,,AQ$6+$D80*-1),$F80*AQ$46*Historicals!$S36*INDEX($T$44:$BO$44,,AQ$6-$D80+1)),0)</f>
        <v>0</v>
      </c>
      <c r="AR80" s="46">
        <f t="array" ref="AR80">IFERROR(IF(INDEX(Historicals!$T36:$BO36,,AR$6+$D80*-1)&lt;&gt;"",INDEX(Historicals!$T36:$BO36,,AR$6+$D80*-1),$F80*AR$46*Historicals!$S36*INDEX($T$44:$BO$44,,AR$6-$D80+1)),0)</f>
        <v>0</v>
      </c>
      <c r="AS80" s="46">
        <f t="array" ref="AS80">IFERROR(IF(INDEX(Historicals!$T36:$BO36,,AS$6+$D80*-1)&lt;&gt;"",INDEX(Historicals!$T36:$BO36,,AS$6+$D80*-1),$F80*AS$46*Historicals!$S36*INDEX($T$44:$BO$44,,AS$6-$D80+1)),0)</f>
        <v>0</v>
      </c>
      <c r="AT80" s="46">
        <f t="array" ref="AT80">IFERROR(IF(INDEX(Historicals!$T36:$BO36,,AT$6+$D80*-1)&lt;&gt;"",INDEX(Historicals!$T36:$BO36,,AT$6+$D80*-1),$F80*AT$46*Historicals!$S36*INDEX($T$44:$BO$44,,AT$6-$D80+1)),0)</f>
        <v>0</v>
      </c>
      <c r="AU80" s="46">
        <f t="array" ref="AU80">IFERROR(IF(INDEX(Historicals!$T36:$BO36,,AU$6+$D80*-1)&lt;&gt;"",INDEX(Historicals!$T36:$BO36,,AU$6+$D80*-1),$F80*AU$46*Historicals!$S36*INDEX($T$44:$BO$44,,AU$6-$D80+1)),0)</f>
        <v>0</v>
      </c>
      <c r="AV80" s="46">
        <f t="array" ref="AV80">IFERROR(IF(INDEX(Historicals!$T36:$BO36,,AV$6+$D80*-1)&lt;&gt;"",INDEX(Historicals!$T36:$BO36,,AV$6+$D80*-1),$F80*AV$46*Historicals!$S36*INDEX($T$44:$BO$44,,AV$6-$D80+1)),0)</f>
        <v>0</v>
      </c>
      <c r="AW80" s="46">
        <f t="array" ref="AW80">IFERROR(IF(INDEX(Historicals!$T36:$BO36,,AW$6+$D80*-1)&lt;&gt;"",INDEX(Historicals!$T36:$BO36,,AW$6+$D80*-1),$F80*AW$46*Historicals!$S36*INDEX($T$44:$BO$44,,AW$6-$D80+1)),0)</f>
        <v>0</v>
      </c>
      <c r="AX80" s="46">
        <f t="array" ref="AX80">IFERROR(IF(INDEX(Historicals!$T36:$BO36,,AX$6+$D80*-1)&lt;&gt;"",INDEX(Historicals!$T36:$BO36,,AX$6+$D80*-1),$F80*AX$46*Historicals!$S36*INDEX($T$44:$BO$44,,AX$6-$D80+1)),0)</f>
        <v>0</v>
      </c>
      <c r="AY80" s="46">
        <f t="array" ref="AY80">IFERROR(IF(INDEX(Historicals!$T36:$BO36,,AY$6+$D80*-1)&lt;&gt;"",INDEX(Historicals!$T36:$BO36,,AY$6+$D80*-1),$F80*AY$46*Historicals!$S36*INDEX($T$44:$BO$44,,AY$6-$D80+1)),0)</f>
        <v>0</v>
      </c>
      <c r="AZ80" s="46">
        <f t="array" ref="AZ80">IFERROR(IF(INDEX(Historicals!$T36:$BO36,,AZ$6+$D80*-1)&lt;&gt;"",INDEX(Historicals!$T36:$BO36,,AZ$6+$D80*-1),$F80*AZ$46*Historicals!$S36*INDEX($T$44:$BO$44,,AZ$6-$D80+1)),0)</f>
        <v>0</v>
      </c>
      <c r="BA80" s="46">
        <f t="array" ref="BA80">IFERROR(IF(INDEX(Historicals!$T36:$BO36,,BA$6+$D80*-1)&lt;&gt;"",INDEX(Historicals!$T36:$BO36,,BA$6+$D80*-1),$F80*BA$46*Historicals!$S36*INDEX($T$44:$BO$44,,BA$6-$D80+1)),0)</f>
        <v>0</v>
      </c>
      <c r="BB80" s="46">
        <f t="array" ref="BB80">IFERROR(IF(INDEX(Historicals!$T36:$BO36,,BB$6+$D80*-1)&lt;&gt;"",INDEX(Historicals!$T36:$BO36,,BB$6+$D80*-1),$F80*BB$46*Historicals!$S36*INDEX($T$44:$BO$44,,BB$6-$D80+1)),0)</f>
        <v>0</v>
      </c>
      <c r="BC80" s="46">
        <f t="array" ref="BC80">IFERROR(IF(INDEX(Historicals!$T36:$BO36,,BC$6+$D80*-1)&lt;&gt;"",INDEX(Historicals!$T36:$BO36,,BC$6+$D80*-1),$F80*BC$46*Historicals!$S36*INDEX($T$44:$BO$44,,BC$6-$D80+1)),0)</f>
        <v>0</v>
      </c>
      <c r="BD80" s="46">
        <f t="array" ref="BD80">IFERROR(IF(INDEX(Historicals!$T36:$BO36,,BD$6+$D80*-1)&lt;&gt;"",INDEX(Historicals!$T36:$BO36,,BD$6+$D80*-1),$F80*BD$46*Historicals!$S36*INDEX($T$44:$BO$44,,BD$6-$D80+1)),0)</f>
        <v>0</v>
      </c>
      <c r="BE80" s="46">
        <f t="array" ref="BE80">IFERROR(IF(INDEX(Historicals!$T36:$BO36,,BE$6+$D80*-1)&lt;&gt;"",INDEX(Historicals!$T36:$BO36,,BE$6+$D80*-1),$F80*BE$46*Historicals!$S36*INDEX($T$44:$BO$44,,BE$6-$D80+1)),0)</f>
        <v>0</v>
      </c>
      <c r="BF80" s="46">
        <f t="array" ref="BF80">IFERROR(IF(INDEX(Historicals!$T36:$BO36,,BF$6+$D80*-1)&lt;&gt;"",INDEX(Historicals!$T36:$BO36,,BF$6+$D80*-1),$F80*BF$46*Historicals!$S36*INDEX($T$44:$BO$44,,BF$6-$D80+1)),0)</f>
        <v>0</v>
      </c>
      <c r="BG80" s="46">
        <f t="array" ref="BG80">IFERROR(IF(INDEX(Historicals!$T36:$BO36,,BG$6+$D80*-1)&lt;&gt;"",INDEX(Historicals!$T36:$BO36,,BG$6+$D80*-1),$F80*BG$46*Historicals!$S36*INDEX($T$44:$BO$44,,BG$6-$D80+1)),0)</f>
        <v>0</v>
      </c>
      <c r="BH80" s="46">
        <f t="array" ref="BH80">IFERROR(IF(INDEX(Historicals!$T36:$BO36,,BH$6+$D80*-1)&lt;&gt;"",INDEX(Historicals!$T36:$BO36,,BH$6+$D80*-1),$F80*BH$46*Historicals!$S36*INDEX($T$44:$BO$44,,BH$6-$D80+1)),0)</f>
        <v>0</v>
      </c>
      <c r="BI80" s="46">
        <f t="array" ref="BI80">IFERROR(IF(INDEX(Historicals!$T36:$BO36,,BI$6+$D80*-1)&lt;&gt;"",INDEX(Historicals!$T36:$BO36,,BI$6+$D80*-1),$F80*BI$46*Historicals!$S36*INDEX($T$44:$BO$44,,BI$6-$D80+1)),0)</f>
        <v>0</v>
      </c>
      <c r="BJ80" s="46">
        <f t="array" ref="BJ80">IFERROR(IF(INDEX(Historicals!$T36:$BO36,,BJ$6+$D80*-1)&lt;&gt;"",INDEX(Historicals!$T36:$BO36,,BJ$6+$D80*-1),$F80*BJ$46*Historicals!$S36*INDEX($T$44:$BO$44,,BJ$6-$D80+1)),0)</f>
        <v>0</v>
      </c>
      <c r="BK80" s="46">
        <f t="array" ref="BK80">IFERROR(IF(INDEX(Historicals!$T36:$BO36,,BK$6+$D80*-1)&lt;&gt;"",INDEX(Historicals!$T36:$BO36,,BK$6+$D80*-1),$F80*BK$46*Historicals!$S36*INDEX($T$44:$BO$44,,BK$6-$D80+1)),0)</f>
        <v>0</v>
      </c>
      <c r="BL80" s="46">
        <f t="array" ref="BL80">IFERROR(IF(INDEX(Historicals!$T36:$BO36,,BL$6+$D80*-1)&lt;&gt;"",INDEX(Historicals!$T36:$BO36,,BL$6+$D80*-1),$F80*BL$46*Historicals!$S36*INDEX($T$44:$BO$44,,BL$6-$D80+1)),0)</f>
        <v>0</v>
      </c>
      <c r="BM80" s="46">
        <f t="array" ref="BM80">IFERROR(IF(INDEX(Historicals!$T36:$BO36,,BM$6+$D80*-1)&lt;&gt;"",INDEX(Historicals!$T36:$BO36,,BM$6+$D80*-1),$F80*BM$46*Historicals!$S36*INDEX($T$44:$BO$44,,BM$6-$D80+1)),0)</f>
        <v>0</v>
      </c>
      <c r="BN80" s="46">
        <f t="array" ref="BN80">IFERROR(IF(INDEX(Historicals!$T36:$BO36,,BN$6+$D80*-1)&lt;&gt;"",INDEX(Historicals!$T36:$BO36,,BN$6+$D80*-1),$F80*BN$46*Historicals!$S36*INDEX($T$44:$BO$44,,BN$6-$D80+1)),0)</f>
        <v>0</v>
      </c>
      <c r="BO80" s="46">
        <f t="array" ref="BO80">IFERROR(IF(INDEX(Historicals!$T36:$BO36,,BO$6+$D80*-1)&lt;&gt;"",INDEX(Historicals!$T36:$BO36,,BO$6+$D80*-1),$F80*BO$46*Historicals!$S36*INDEX($T$44:$BO$44,,BO$6-$D80+1)),0)</f>
        <v>0</v>
      </c>
    </row>
    <row r="81" spans="1:67" ht="16.5" hidden="1" customHeight="1" outlineLevel="1">
      <c r="A81" s="1"/>
      <c r="B81" s="55">
        <f t="shared" si="19"/>
        <v>44985</v>
      </c>
      <c r="C81" s="17" t="s">
        <v>104</v>
      </c>
      <c r="D81" s="46">
        <f t="shared" si="20"/>
        <v>-22</v>
      </c>
      <c r="E81" s="16"/>
      <c r="F81" s="51">
        <v>1</v>
      </c>
      <c r="G81" s="16" t="s">
        <v>159</v>
      </c>
      <c r="H81" s="16" t="s">
        <v>155</v>
      </c>
      <c r="I81" s="46">
        <f ca="1">IF(H81=Forecast!$H$195,T81,IF(H81=Forecast!$H$196,BO81,IF(H81=Forecast!$H$197,SUM(T81:BO81),IF(H81=Forecast!$H$198,AVERAGE(T81:BO81),0))))</f>
        <v>9.5137733154128288</v>
      </c>
      <c r="J81" s="16"/>
      <c r="K81" s="16"/>
      <c r="L81" s="16"/>
      <c r="M81" s="16"/>
      <c r="N81" s="16"/>
      <c r="O81" s="16"/>
      <c r="P81" s="16"/>
      <c r="Q81" s="16"/>
      <c r="R81" s="16"/>
      <c r="S81" s="16"/>
      <c r="T81" s="46">
        <f t="array" ref="T81">IFERROR(IF(INDEX(Historicals!$T37:$BO37,,T$6+$D81*-1)&lt;&gt;"",INDEX(Historicals!$T37:$BO37,,T$6+$D81*-1),$F81*T$46*Historicals!$S37*INDEX($T$44:$BO$44,,T$6-$D81+1)),0)</f>
        <v>4.7745124027120145</v>
      </c>
      <c r="U81" s="46">
        <f t="array" aca="1" ref="U81" ca="1">IFERROR(IF(INDEX(Historicals!$T37:$BO37,,U$6+$D81*-1)&lt;&gt;"",INDEX(Historicals!$T37:$BO37,,U$6+$D81*-1),$F81*U$46*Historicals!$S37*INDEX($T$44:$BO$44,,U$6-$D81+1)),0)</f>
        <v>2.5276058201071017</v>
      </c>
      <c r="V81" s="46">
        <f t="array" aca="1" ref="V81" ca="1">IFERROR(IF(INDEX(Historicals!$T37:$BO37,,V$6+$D81*-1)&lt;&gt;"",INDEX(Historicals!$T37:$BO37,,V$6+$D81*-1),$F81*V$46*Historicals!$S37*INDEX($T$44:$BO$44,,V$6-$D81+1)),0)</f>
        <v>0</v>
      </c>
      <c r="W81" s="46">
        <f t="array" aca="1" ref="W81" ca="1">IFERROR(IF(INDEX(Historicals!$T37:$BO37,,W$6+$D81*-1)&lt;&gt;"",INDEX(Historicals!$T37:$BO37,,W$6+$D81*-1),$F81*W$46*Historicals!$S37*INDEX($T$44:$BO$44,,W$6-$D81+1)),0)</f>
        <v>0</v>
      </c>
      <c r="X81" s="46">
        <f t="array" aca="1" ref="X81" ca="1">IFERROR(IF(INDEX(Historicals!$T37:$BO37,,X$6+$D81*-1)&lt;&gt;"",INDEX(Historicals!$T37:$BO37,,X$6+$D81*-1),$F81*X$46*Historicals!$S37*INDEX($T$44:$BO$44,,X$6-$D81+1)),0)</f>
        <v>1.2638029100535508</v>
      </c>
      <c r="Y81" s="46">
        <f t="array" aca="1" ref="Y81" ca="1">IFERROR(IF(INDEX(Historicals!$T37:$BO37,,Y$6+$D81*-1)&lt;&gt;"",INDEX(Historicals!$T37:$BO37,,Y$6+$D81*-1),$F81*Y$46*Historicals!$S37*INDEX($T$44:$BO$44,,Y$6-$D81+1)),0)</f>
        <v>0</v>
      </c>
      <c r="Z81" s="46">
        <f t="array" aca="1" ref="Z81" ca="1">IFERROR(IF(INDEX(Historicals!$T37:$BO37,,Z$6+$D81*-1)&lt;&gt;"",INDEX(Historicals!$T37:$BO37,,Z$6+$D81*-1),$F81*Z$46*Historicals!$S37*INDEX($T$44:$BO$44,,Z$6-$D81+1)),0)</f>
        <v>0</v>
      </c>
      <c r="AA81" s="46">
        <f t="array" aca="1" ref="AA81" ca="1">IFERROR(IF(INDEX(Historicals!$T37:$BO37,,AA$6+$D81*-1)&lt;&gt;"",INDEX(Historicals!$T37:$BO37,,AA$6+$D81*-1),$F81*AA$46*Historicals!$S37*INDEX($T$44:$BO$44,,AA$6-$D81+1)),0)</f>
        <v>0.63190145502677542</v>
      </c>
      <c r="AB81" s="46">
        <f t="array" aca="1" ref="AB81" ca="1">IFERROR(IF(INDEX(Historicals!$T37:$BO37,,AB$6+$D81*-1)&lt;&gt;"",INDEX(Historicals!$T37:$BO37,,AB$6+$D81*-1),$F81*AB$46*Historicals!$S37*INDEX($T$44:$BO$44,,AB$6-$D81+1)),0)</f>
        <v>0</v>
      </c>
      <c r="AC81" s="46">
        <f t="array" aca="1" ref="AC81" ca="1">IFERROR(IF(INDEX(Historicals!$T37:$BO37,,AC$6+$D81*-1)&lt;&gt;"",INDEX(Historicals!$T37:$BO37,,AC$6+$D81*-1),$F81*AC$46*Historicals!$S37*INDEX($T$44:$BO$44,,AC$6-$D81+1)),0)</f>
        <v>0</v>
      </c>
      <c r="AD81" s="46">
        <f t="array" aca="1" ref="AD81" ca="1">IFERROR(IF(INDEX(Historicals!$T37:$BO37,,AD$6+$D81*-1)&lt;&gt;"",INDEX(Historicals!$T37:$BO37,,AD$6+$D81*-1),$F81*AD$46*Historicals!$S37*INDEX($T$44:$BO$44,,AD$6-$D81+1)),0)</f>
        <v>0.31595072751338771</v>
      </c>
      <c r="AE81" s="46">
        <f t="array" aca="1" ref="AE81" ca="1">IFERROR(IF(INDEX(Historicals!$T37:$BO37,,AE$6+$D81*-1)&lt;&gt;"",INDEX(Historicals!$T37:$BO37,,AE$6+$D81*-1),$F81*AE$46*Historicals!$S37*INDEX($T$44:$BO$44,,AE$6-$D81+1)),0)</f>
        <v>0</v>
      </c>
      <c r="AF81" s="46">
        <f t="array" aca="1" ref="AF81" ca="1">IFERROR(IF(INDEX(Historicals!$T37:$BO37,,AF$6+$D81*-1)&lt;&gt;"",INDEX(Historicals!$T37:$BO37,,AF$6+$D81*-1),$F81*AF$46*Historicals!$S37*INDEX($T$44:$BO$44,,AF$6-$D81+1)),0)</f>
        <v>0</v>
      </c>
      <c r="AG81" s="46">
        <f t="array" ref="AG81">IFERROR(IF(INDEX(Historicals!$T37:$BO37,,AG$6+$D81*-1)&lt;&gt;"",INDEX(Historicals!$T37:$BO37,,AG$6+$D81*-1),$F81*AG$46*Historicals!$S37*INDEX($T$44:$BO$44,,AG$6-$D81+1)),0)</f>
        <v>0</v>
      </c>
      <c r="AH81" s="46">
        <f t="array" ref="AH81">IFERROR(IF(INDEX(Historicals!$T37:$BO37,,AH$6+$D81*-1)&lt;&gt;"",INDEX(Historicals!$T37:$BO37,,AH$6+$D81*-1),$F81*AH$46*Historicals!$S37*INDEX($T$44:$BO$44,,AH$6-$D81+1)),0)</f>
        <v>0</v>
      </c>
      <c r="AI81" s="46">
        <f t="array" ref="AI81">IFERROR(IF(INDEX(Historicals!$T37:$BO37,,AI$6+$D81*-1)&lt;&gt;"",INDEX(Historicals!$T37:$BO37,,AI$6+$D81*-1),$F81*AI$46*Historicals!$S37*INDEX($T$44:$BO$44,,AI$6-$D81+1)),0)</f>
        <v>0</v>
      </c>
      <c r="AJ81" s="46">
        <f t="array" ref="AJ81">IFERROR(IF(INDEX(Historicals!$T37:$BO37,,AJ$6+$D81*-1)&lt;&gt;"",INDEX(Historicals!$T37:$BO37,,AJ$6+$D81*-1),$F81*AJ$46*Historicals!$S37*INDEX($T$44:$BO$44,,AJ$6-$D81+1)),0)</f>
        <v>0</v>
      </c>
      <c r="AK81" s="46">
        <f t="array" ref="AK81">IFERROR(IF(INDEX(Historicals!$T37:$BO37,,AK$6+$D81*-1)&lt;&gt;"",INDEX(Historicals!$T37:$BO37,,AK$6+$D81*-1),$F81*AK$46*Historicals!$S37*INDEX($T$44:$BO$44,,AK$6-$D81+1)),0)</f>
        <v>0</v>
      </c>
      <c r="AL81" s="46">
        <f t="array" ref="AL81">IFERROR(IF(INDEX(Historicals!$T37:$BO37,,AL$6+$D81*-1)&lt;&gt;"",INDEX(Historicals!$T37:$BO37,,AL$6+$D81*-1),$F81*AL$46*Historicals!$S37*INDEX($T$44:$BO$44,,AL$6-$D81+1)),0)</f>
        <v>0</v>
      </c>
      <c r="AM81" s="46">
        <f t="array" ref="AM81">IFERROR(IF(INDEX(Historicals!$T37:$BO37,,AM$6+$D81*-1)&lt;&gt;"",INDEX(Historicals!$T37:$BO37,,AM$6+$D81*-1),$F81*AM$46*Historicals!$S37*INDEX($T$44:$BO$44,,AM$6-$D81+1)),0)</f>
        <v>0</v>
      </c>
      <c r="AN81" s="46">
        <f t="array" ref="AN81">IFERROR(IF(INDEX(Historicals!$T37:$BO37,,AN$6+$D81*-1)&lt;&gt;"",INDEX(Historicals!$T37:$BO37,,AN$6+$D81*-1),$F81*AN$46*Historicals!$S37*INDEX($T$44:$BO$44,,AN$6-$D81+1)),0)</f>
        <v>0</v>
      </c>
      <c r="AO81" s="46">
        <f t="array" ref="AO81">IFERROR(IF(INDEX(Historicals!$T37:$BO37,,AO$6+$D81*-1)&lt;&gt;"",INDEX(Historicals!$T37:$BO37,,AO$6+$D81*-1),$F81*AO$46*Historicals!$S37*INDEX($T$44:$BO$44,,AO$6-$D81+1)),0)</f>
        <v>0</v>
      </c>
      <c r="AP81" s="46">
        <f t="array" ref="AP81">IFERROR(IF(INDEX(Historicals!$T37:$BO37,,AP$6+$D81*-1)&lt;&gt;"",INDEX(Historicals!$T37:$BO37,,AP$6+$D81*-1),$F81*AP$46*Historicals!$S37*INDEX($T$44:$BO$44,,AP$6-$D81+1)),0)</f>
        <v>0</v>
      </c>
      <c r="AQ81" s="46">
        <f t="array" ref="AQ81">IFERROR(IF(INDEX(Historicals!$T37:$BO37,,AQ$6+$D81*-1)&lt;&gt;"",INDEX(Historicals!$T37:$BO37,,AQ$6+$D81*-1),$F81*AQ$46*Historicals!$S37*INDEX($T$44:$BO$44,,AQ$6-$D81+1)),0)</f>
        <v>0</v>
      </c>
      <c r="AR81" s="46">
        <f t="array" ref="AR81">IFERROR(IF(INDEX(Historicals!$T37:$BO37,,AR$6+$D81*-1)&lt;&gt;"",INDEX(Historicals!$T37:$BO37,,AR$6+$D81*-1),$F81*AR$46*Historicals!$S37*INDEX($T$44:$BO$44,,AR$6-$D81+1)),0)</f>
        <v>0</v>
      </c>
      <c r="AS81" s="46">
        <f t="array" ref="AS81">IFERROR(IF(INDEX(Historicals!$T37:$BO37,,AS$6+$D81*-1)&lt;&gt;"",INDEX(Historicals!$T37:$BO37,,AS$6+$D81*-1),$F81*AS$46*Historicals!$S37*INDEX($T$44:$BO$44,,AS$6-$D81+1)),0)</f>
        <v>0</v>
      </c>
      <c r="AT81" s="46">
        <f t="array" ref="AT81">IFERROR(IF(INDEX(Historicals!$T37:$BO37,,AT$6+$D81*-1)&lt;&gt;"",INDEX(Historicals!$T37:$BO37,,AT$6+$D81*-1),$F81*AT$46*Historicals!$S37*INDEX($T$44:$BO$44,,AT$6-$D81+1)),0)</f>
        <v>0</v>
      </c>
      <c r="AU81" s="46">
        <f t="array" ref="AU81">IFERROR(IF(INDEX(Historicals!$T37:$BO37,,AU$6+$D81*-1)&lt;&gt;"",INDEX(Historicals!$T37:$BO37,,AU$6+$D81*-1),$F81*AU$46*Historicals!$S37*INDEX($T$44:$BO$44,,AU$6-$D81+1)),0)</f>
        <v>0</v>
      </c>
      <c r="AV81" s="46">
        <f t="array" ref="AV81">IFERROR(IF(INDEX(Historicals!$T37:$BO37,,AV$6+$D81*-1)&lt;&gt;"",INDEX(Historicals!$T37:$BO37,,AV$6+$D81*-1),$F81*AV$46*Historicals!$S37*INDEX($T$44:$BO$44,,AV$6-$D81+1)),0)</f>
        <v>0</v>
      </c>
      <c r="AW81" s="46">
        <f t="array" ref="AW81">IFERROR(IF(INDEX(Historicals!$T37:$BO37,,AW$6+$D81*-1)&lt;&gt;"",INDEX(Historicals!$T37:$BO37,,AW$6+$D81*-1),$F81*AW$46*Historicals!$S37*INDEX($T$44:$BO$44,,AW$6-$D81+1)),0)</f>
        <v>0</v>
      </c>
      <c r="AX81" s="46">
        <f t="array" ref="AX81">IFERROR(IF(INDEX(Historicals!$T37:$BO37,,AX$6+$D81*-1)&lt;&gt;"",INDEX(Historicals!$T37:$BO37,,AX$6+$D81*-1),$F81*AX$46*Historicals!$S37*INDEX($T$44:$BO$44,,AX$6-$D81+1)),0)</f>
        <v>0</v>
      </c>
      <c r="AY81" s="46">
        <f t="array" ref="AY81">IFERROR(IF(INDEX(Historicals!$T37:$BO37,,AY$6+$D81*-1)&lt;&gt;"",INDEX(Historicals!$T37:$BO37,,AY$6+$D81*-1),$F81*AY$46*Historicals!$S37*INDEX($T$44:$BO$44,,AY$6-$D81+1)),0)</f>
        <v>0</v>
      </c>
      <c r="AZ81" s="46">
        <f t="array" ref="AZ81">IFERROR(IF(INDEX(Historicals!$T37:$BO37,,AZ$6+$D81*-1)&lt;&gt;"",INDEX(Historicals!$T37:$BO37,,AZ$6+$D81*-1),$F81*AZ$46*Historicals!$S37*INDEX($T$44:$BO$44,,AZ$6-$D81+1)),0)</f>
        <v>0</v>
      </c>
      <c r="BA81" s="46">
        <f t="array" ref="BA81">IFERROR(IF(INDEX(Historicals!$T37:$BO37,,BA$6+$D81*-1)&lt;&gt;"",INDEX(Historicals!$T37:$BO37,,BA$6+$D81*-1),$F81*BA$46*Historicals!$S37*INDEX($T$44:$BO$44,,BA$6-$D81+1)),0)</f>
        <v>0</v>
      </c>
      <c r="BB81" s="46">
        <f t="array" ref="BB81">IFERROR(IF(INDEX(Historicals!$T37:$BO37,,BB$6+$D81*-1)&lt;&gt;"",INDEX(Historicals!$T37:$BO37,,BB$6+$D81*-1),$F81*BB$46*Historicals!$S37*INDEX($T$44:$BO$44,,BB$6-$D81+1)),0)</f>
        <v>0</v>
      </c>
      <c r="BC81" s="46">
        <f t="array" ref="BC81">IFERROR(IF(INDEX(Historicals!$T37:$BO37,,BC$6+$D81*-1)&lt;&gt;"",INDEX(Historicals!$T37:$BO37,,BC$6+$D81*-1),$F81*BC$46*Historicals!$S37*INDEX($T$44:$BO$44,,BC$6-$D81+1)),0)</f>
        <v>0</v>
      </c>
      <c r="BD81" s="46">
        <f t="array" ref="BD81">IFERROR(IF(INDEX(Historicals!$T37:$BO37,,BD$6+$D81*-1)&lt;&gt;"",INDEX(Historicals!$T37:$BO37,,BD$6+$D81*-1),$F81*BD$46*Historicals!$S37*INDEX($T$44:$BO$44,,BD$6-$D81+1)),0)</f>
        <v>0</v>
      </c>
      <c r="BE81" s="46">
        <f t="array" ref="BE81">IFERROR(IF(INDEX(Historicals!$T37:$BO37,,BE$6+$D81*-1)&lt;&gt;"",INDEX(Historicals!$T37:$BO37,,BE$6+$D81*-1),$F81*BE$46*Historicals!$S37*INDEX($T$44:$BO$44,,BE$6-$D81+1)),0)</f>
        <v>0</v>
      </c>
      <c r="BF81" s="46">
        <f t="array" ref="BF81">IFERROR(IF(INDEX(Historicals!$T37:$BO37,,BF$6+$D81*-1)&lt;&gt;"",INDEX(Historicals!$T37:$BO37,,BF$6+$D81*-1),$F81*BF$46*Historicals!$S37*INDEX($T$44:$BO$44,,BF$6-$D81+1)),0)</f>
        <v>0</v>
      </c>
      <c r="BG81" s="46">
        <f t="array" ref="BG81">IFERROR(IF(INDEX(Historicals!$T37:$BO37,,BG$6+$D81*-1)&lt;&gt;"",INDEX(Historicals!$T37:$BO37,,BG$6+$D81*-1),$F81*BG$46*Historicals!$S37*INDEX($T$44:$BO$44,,BG$6-$D81+1)),0)</f>
        <v>0</v>
      </c>
      <c r="BH81" s="46">
        <f t="array" ref="BH81">IFERROR(IF(INDEX(Historicals!$T37:$BO37,,BH$6+$D81*-1)&lt;&gt;"",INDEX(Historicals!$T37:$BO37,,BH$6+$D81*-1),$F81*BH$46*Historicals!$S37*INDEX($T$44:$BO$44,,BH$6-$D81+1)),0)</f>
        <v>0</v>
      </c>
      <c r="BI81" s="46">
        <f t="array" ref="BI81">IFERROR(IF(INDEX(Historicals!$T37:$BO37,,BI$6+$D81*-1)&lt;&gt;"",INDEX(Historicals!$T37:$BO37,,BI$6+$D81*-1),$F81*BI$46*Historicals!$S37*INDEX($T$44:$BO$44,,BI$6-$D81+1)),0)</f>
        <v>0</v>
      </c>
      <c r="BJ81" s="46">
        <f t="array" ref="BJ81">IFERROR(IF(INDEX(Historicals!$T37:$BO37,,BJ$6+$D81*-1)&lt;&gt;"",INDEX(Historicals!$T37:$BO37,,BJ$6+$D81*-1),$F81*BJ$46*Historicals!$S37*INDEX($T$44:$BO$44,,BJ$6-$D81+1)),0)</f>
        <v>0</v>
      </c>
      <c r="BK81" s="46">
        <f t="array" ref="BK81">IFERROR(IF(INDEX(Historicals!$T37:$BO37,,BK$6+$D81*-1)&lt;&gt;"",INDEX(Historicals!$T37:$BO37,,BK$6+$D81*-1),$F81*BK$46*Historicals!$S37*INDEX($T$44:$BO$44,,BK$6-$D81+1)),0)</f>
        <v>0</v>
      </c>
      <c r="BL81" s="46">
        <f t="array" ref="BL81">IFERROR(IF(INDEX(Historicals!$T37:$BO37,,BL$6+$D81*-1)&lt;&gt;"",INDEX(Historicals!$T37:$BO37,,BL$6+$D81*-1),$F81*BL$46*Historicals!$S37*INDEX($T$44:$BO$44,,BL$6-$D81+1)),0)</f>
        <v>0</v>
      </c>
      <c r="BM81" s="46">
        <f t="array" ref="BM81">IFERROR(IF(INDEX(Historicals!$T37:$BO37,,BM$6+$D81*-1)&lt;&gt;"",INDEX(Historicals!$T37:$BO37,,BM$6+$D81*-1),$F81*BM$46*Historicals!$S37*INDEX($T$44:$BO$44,,BM$6-$D81+1)),0)</f>
        <v>0</v>
      </c>
      <c r="BN81" s="46">
        <f t="array" ref="BN81">IFERROR(IF(INDEX(Historicals!$T37:$BO37,,BN$6+$D81*-1)&lt;&gt;"",INDEX(Historicals!$T37:$BO37,,BN$6+$D81*-1),$F81*BN$46*Historicals!$S37*INDEX($T$44:$BO$44,,BN$6-$D81+1)),0)</f>
        <v>0</v>
      </c>
      <c r="BO81" s="46">
        <f t="array" ref="BO81">IFERROR(IF(INDEX(Historicals!$T37:$BO37,,BO$6+$D81*-1)&lt;&gt;"",INDEX(Historicals!$T37:$BO37,,BO$6+$D81*-1),$F81*BO$46*Historicals!$S37*INDEX($T$44:$BO$44,,BO$6-$D81+1)),0)</f>
        <v>0</v>
      </c>
    </row>
    <row r="82" spans="1:67" ht="16.5" hidden="1" customHeight="1" outlineLevel="1">
      <c r="A82" s="1"/>
      <c r="B82" s="55">
        <f t="shared" si="19"/>
        <v>45014</v>
      </c>
      <c r="C82" s="17" t="s">
        <v>104</v>
      </c>
      <c r="D82" s="46">
        <f t="shared" si="20"/>
        <v>-21</v>
      </c>
      <c r="E82" s="16"/>
      <c r="F82" s="51">
        <v>1</v>
      </c>
      <c r="G82" s="16" t="s">
        <v>159</v>
      </c>
      <c r="H82" s="16" t="s">
        <v>155</v>
      </c>
      <c r="I82" s="46">
        <f ca="1">IF(H82=Forecast!$H$195,T82,IF(H82=Forecast!$H$196,BO82,IF(H82=Forecast!$H$197,SUM(T82:BO82),IF(H82=Forecast!$H$198,AVERAGE(T82:BO82),0))))</f>
        <v>11.270948859042981</v>
      </c>
      <c r="J82" s="16"/>
      <c r="K82" s="16"/>
      <c r="L82" s="16"/>
      <c r="M82" s="16"/>
      <c r="N82" s="16"/>
      <c r="O82" s="16"/>
      <c r="P82" s="16"/>
      <c r="Q82" s="16"/>
      <c r="R82" s="16"/>
      <c r="S82" s="16"/>
      <c r="T82" s="46">
        <f t="array" ref="T82">IFERROR(IF(INDEX(Historicals!$T38:$BO38,,T$6+$D82*-1)&lt;&gt;"",INDEX(Historicals!$T38:$BO38,,T$6+$D82*-1),$F82*T$46*Historicals!$S38*INDEX($T$44:$BO$44,,T$6-$D82+1)),0)</f>
        <v>6.2822531614631743</v>
      </c>
      <c r="U82" s="46">
        <f t="array" aca="1" ref="U82" ca="1">IFERROR(IF(INDEX(Historicals!$T38:$BO38,,U$6+$D82*-1)&lt;&gt;"",INDEX(Historicals!$T38:$BO38,,U$6+$D82*-1),$F82*U$46*Historicals!$S38*INDEX($T$44:$BO$44,,U$6-$D82+1)),0)</f>
        <v>0</v>
      </c>
      <c r="V82" s="46">
        <f t="array" aca="1" ref="V82" ca="1">IFERROR(IF(INDEX(Historicals!$T38:$BO38,,V$6+$D82*-1)&lt;&gt;"",INDEX(Historicals!$T38:$BO38,,V$6+$D82*-1),$F82*V$46*Historicals!$S38*INDEX($T$44:$BO$44,,V$6-$D82+1)),0)</f>
        <v>2.6606377053758967</v>
      </c>
      <c r="W82" s="46">
        <f t="array" aca="1" ref="W82" ca="1">IFERROR(IF(INDEX(Historicals!$T38:$BO38,,W$6+$D82*-1)&lt;&gt;"",INDEX(Historicals!$T38:$BO38,,W$6+$D82*-1),$F82*W$46*Historicals!$S38*INDEX($T$44:$BO$44,,W$6-$D82+1)),0)</f>
        <v>0</v>
      </c>
      <c r="X82" s="46">
        <f t="array" aca="1" ref="X82" ca="1">IFERROR(IF(INDEX(Historicals!$T38:$BO38,,X$6+$D82*-1)&lt;&gt;"",INDEX(Historicals!$T38:$BO38,,X$6+$D82*-1),$F82*X$46*Historicals!$S38*INDEX($T$44:$BO$44,,X$6-$D82+1)),0)</f>
        <v>0</v>
      </c>
      <c r="Y82" s="46">
        <f t="array" aca="1" ref="Y82" ca="1">IFERROR(IF(INDEX(Historicals!$T38:$BO38,,Y$6+$D82*-1)&lt;&gt;"",INDEX(Historicals!$T38:$BO38,,Y$6+$D82*-1),$F82*Y$46*Historicals!$S38*INDEX($T$44:$BO$44,,Y$6-$D82+1)),0)</f>
        <v>1.3303188526879484</v>
      </c>
      <c r="Z82" s="46">
        <f t="array" aca="1" ref="Z82" ca="1">IFERROR(IF(INDEX(Historicals!$T38:$BO38,,Z$6+$D82*-1)&lt;&gt;"",INDEX(Historicals!$T38:$BO38,,Z$6+$D82*-1),$F82*Z$46*Historicals!$S38*INDEX($T$44:$BO$44,,Z$6-$D82+1)),0)</f>
        <v>0</v>
      </c>
      <c r="AA82" s="46">
        <f t="array" aca="1" ref="AA82" ca="1">IFERROR(IF(INDEX(Historicals!$T38:$BO38,,AA$6+$D82*-1)&lt;&gt;"",INDEX(Historicals!$T38:$BO38,,AA$6+$D82*-1),$F82*AA$46*Historicals!$S38*INDEX($T$44:$BO$44,,AA$6-$D82+1)),0)</f>
        <v>0</v>
      </c>
      <c r="AB82" s="46">
        <f t="array" aca="1" ref="AB82" ca="1">IFERROR(IF(INDEX(Historicals!$T38:$BO38,,AB$6+$D82*-1)&lt;&gt;"",INDEX(Historicals!$T38:$BO38,,AB$6+$D82*-1),$F82*AB$46*Historicals!$S38*INDEX($T$44:$BO$44,,AB$6-$D82+1)),0)</f>
        <v>0.66515942634397418</v>
      </c>
      <c r="AC82" s="46">
        <f t="array" aca="1" ref="AC82" ca="1">IFERROR(IF(INDEX(Historicals!$T38:$BO38,,AC$6+$D82*-1)&lt;&gt;"",INDEX(Historicals!$T38:$BO38,,AC$6+$D82*-1),$F82*AC$46*Historicals!$S38*INDEX($T$44:$BO$44,,AC$6-$D82+1)),0)</f>
        <v>0</v>
      </c>
      <c r="AD82" s="46">
        <f t="array" aca="1" ref="AD82" ca="1">IFERROR(IF(INDEX(Historicals!$T38:$BO38,,AD$6+$D82*-1)&lt;&gt;"",INDEX(Historicals!$T38:$BO38,,AD$6+$D82*-1),$F82*AD$46*Historicals!$S38*INDEX($T$44:$BO$44,,AD$6-$D82+1)),0)</f>
        <v>0</v>
      </c>
      <c r="AE82" s="46">
        <f t="array" aca="1" ref="AE82" ca="1">IFERROR(IF(INDEX(Historicals!$T38:$BO38,,AE$6+$D82*-1)&lt;&gt;"",INDEX(Historicals!$T38:$BO38,,AE$6+$D82*-1),$F82*AE$46*Historicals!$S38*INDEX($T$44:$BO$44,,AE$6-$D82+1)),0)</f>
        <v>0.33257971317198709</v>
      </c>
      <c r="AF82" s="46">
        <f t="array" aca="1" ref="AF82" ca="1">IFERROR(IF(INDEX(Historicals!$T38:$BO38,,AF$6+$D82*-1)&lt;&gt;"",INDEX(Historicals!$T38:$BO38,,AF$6+$D82*-1),$F82*AF$46*Historicals!$S38*INDEX($T$44:$BO$44,,AF$6-$D82+1)),0)</f>
        <v>0</v>
      </c>
      <c r="AG82" s="46">
        <f t="array" aca="1" ref="AG82" ca="1">IFERROR(IF(INDEX(Historicals!$T38:$BO38,,AG$6+$D82*-1)&lt;&gt;"",INDEX(Historicals!$T38:$BO38,,AG$6+$D82*-1),$F82*AG$46*Historicals!$S38*INDEX($T$44:$BO$44,,AG$6-$D82+1)),0)</f>
        <v>0</v>
      </c>
      <c r="AH82" s="46">
        <f t="array" ref="AH82">IFERROR(IF(INDEX(Historicals!$T38:$BO38,,AH$6+$D82*-1)&lt;&gt;"",INDEX(Historicals!$T38:$BO38,,AH$6+$D82*-1),$F82*AH$46*Historicals!$S38*INDEX($T$44:$BO$44,,AH$6-$D82+1)),0)</f>
        <v>0</v>
      </c>
      <c r="AI82" s="46">
        <f t="array" ref="AI82">IFERROR(IF(INDEX(Historicals!$T38:$BO38,,AI$6+$D82*-1)&lt;&gt;"",INDEX(Historicals!$T38:$BO38,,AI$6+$D82*-1),$F82*AI$46*Historicals!$S38*INDEX($T$44:$BO$44,,AI$6-$D82+1)),0)</f>
        <v>0</v>
      </c>
      <c r="AJ82" s="46">
        <f t="array" ref="AJ82">IFERROR(IF(INDEX(Historicals!$T38:$BO38,,AJ$6+$D82*-1)&lt;&gt;"",INDEX(Historicals!$T38:$BO38,,AJ$6+$D82*-1),$F82*AJ$46*Historicals!$S38*INDEX($T$44:$BO$44,,AJ$6-$D82+1)),0)</f>
        <v>0</v>
      </c>
      <c r="AK82" s="46">
        <f t="array" ref="AK82">IFERROR(IF(INDEX(Historicals!$T38:$BO38,,AK$6+$D82*-1)&lt;&gt;"",INDEX(Historicals!$T38:$BO38,,AK$6+$D82*-1),$F82*AK$46*Historicals!$S38*INDEX($T$44:$BO$44,,AK$6-$D82+1)),0)</f>
        <v>0</v>
      </c>
      <c r="AL82" s="46">
        <f t="array" ref="AL82">IFERROR(IF(INDEX(Historicals!$T38:$BO38,,AL$6+$D82*-1)&lt;&gt;"",INDEX(Historicals!$T38:$BO38,,AL$6+$D82*-1),$F82*AL$46*Historicals!$S38*INDEX($T$44:$BO$44,,AL$6-$D82+1)),0)</f>
        <v>0</v>
      </c>
      <c r="AM82" s="46">
        <f t="array" ref="AM82">IFERROR(IF(INDEX(Historicals!$T38:$BO38,,AM$6+$D82*-1)&lt;&gt;"",INDEX(Historicals!$T38:$BO38,,AM$6+$D82*-1),$F82*AM$46*Historicals!$S38*INDEX($T$44:$BO$44,,AM$6-$D82+1)),0)</f>
        <v>0</v>
      </c>
      <c r="AN82" s="46">
        <f t="array" ref="AN82">IFERROR(IF(INDEX(Historicals!$T38:$BO38,,AN$6+$D82*-1)&lt;&gt;"",INDEX(Historicals!$T38:$BO38,,AN$6+$D82*-1),$F82*AN$46*Historicals!$S38*INDEX($T$44:$BO$44,,AN$6-$D82+1)),0)</f>
        <v>0</v>
      </c>
      <c r="AO82" s="46">
        <f t="array" ref="AO82">IFERROR(IF(INDEX(Historicals!$T38:$BO38,,AO$6+$D82*-1)&lt;&gt;"",INDEX(Historicals!$T38:$BO38,,AO$6+$D82*-1),$F82*AO$46*Historicals!$S38*INDEX($T$44:$BO$44,,AO$6-$D82+1)),0)</f>
        <v>0</v>
      </c>
      <c r="AP82" s="46">
        <f t="array" ref="AP82">IFERROR(IF(INDEX(Historicals!$T38:$BO38,,AP$6+$D82*-1)&lt;&gt;"",INDEX(Historicals!$T38:$BO38,,AP$6+$D82*-1),$F82*AP$46*Historicals!$S38*INDEX($T$44:$BO$44,,AP$6-$D82+1)),0)</f>
        <v>0</v>
      </c>
      <c r="AQ82" s="46">
        <f t="array" ref="AQ82">IFERROR(IF(INDEX(Historicals!$T38:$BO38,,AQ$6+$D82*-1)&lt;&gt;"",INDEX(Historicals!$T38:$BO38,,AQ$6+$D82*-1),$F82*AQ$46*Historicals!$S38*INDEX($T$44:$BO$44,,AQ$6-$D82+1)),0)</f>
        <v>0</v>
      </c>
      <c r="AR82" s="46">
        <f t="array" ref="AR82">IFERROR(IF(INDEX(Historicals!$T38:$BO38,,AR$6+$D82*-1)&lt;&gt;"",INDEX(Historicals!$T38:$BO38,,AR$6+$D82*-1),$F82*AR$46*Historicals!$S38*INDEX($T$44:$BO$44,,AR$6-$D82+1)),0)</f>
        <v>0</v>
      </c>
      <c r="AS82" s="46">
        <f t="array" ref="AS82">IFERROR(IF(INDEX(Historicals!$T38:$BO38,,AS$6+$D82*-1)&lt;&gt;"",INDEX(Historicals!$T38:$BO38,,AS$6+$D82*-1),$F82*AS$46*Historicals!$S38*INDEX($T$44:$BO$44,,AS$6-$D82+1)),0)</f>
        <v>0</v>
      </c>
      <c r="AT82" s="46">
        <f t="array" ref="AT82">IFERROR(IF(INDEX(Historicals!$T38:$BO38,,AT$6+$D82*-1)&lt;&gt;"",INDEX(Historicals!$T38:$BO38,,AT$6+$D82*-1),$F82*AT$46*Historicals!$S38*INDEX($T$44:$BO$44,,AT$6-$D82+1)),0)</f>
        <v>0</v>
      </c>
      <c r="AU82" s="46">
        <f t="array" ref="AU82">IFERROR(IF(INDEX(Historicals!$T38:$BO38,,AU$6+$D82*-1)&lt;&gt;"",INDEX(Historicals!$T38:$BO38,,AU$6+$D82*-1),$F82*AU$46*Historicals!$S38*INDEX($T$44:$BO$44,,AU$6-$D82+1)),0)</f>
        <v>0</v>
      </c>
      <c r="AV82" s="46">
        <f t="array" ref="AV82">IFERROR(IF(INDEX(Historicals!$T38:$BO38,,AV$6+$D82*-1)&lt;&gt;"",INDEX(Historicals!$T38:$BO38,,AV$6+$D82*-1),$F82*AV$46*Historicals!$S38*INDEX($T$44:$BO$44,,AV$6-$D82+1)),0)</f>
        <v>0</v>
      </c>
      <c r="AW82" s="46">
        <f t="array" ref="AW82">IFERROR(IF(INDEX(Historicals!$T38:$BO38,,AW$6+$D82*-1)&lt;&gt;"",INDEX(Historicals!$T38:$BO38,,AW$6+$D82*-1),$F82*AW$46*Historicals!$S38*INDEX($T$44:$BO$44,,AW$6-$D82+1)),0)</f>
        <v>0</v>
      </c>
      <c r="AX82" s="46">
        <f t="array" ref="AX82">IFERROR(IF(INDEX(Historicals!$T38:$BO38,,AX$6+$D82*-1)&lt;&gt;"",INDEX(Historicals!$T38:$BO38,,AX$6+$D82*-1),$F82*AX$46*Historicals!$S38*INDEX($T$44:$BO$44,,AX$6-$D82+1)),0)</f>
        <v>0</v>
      </c>
      <c r="AY82" s="46">
        <f t="array" ref="AY82">IFERROR(IF(INDEX(Historicals!$T38:$BO38,,AY$6+$D82*-1)&lt;&gt;"",INDEX(Historicals!$T38:$BO38,,AY$6+$D82*-1),$F82*AY$46*Historicals!$S38*INDEX($T$44:$BO$44,,AY$6-$D82+1)),0)</f>
        <v>0</v>
      </c>
      <c r="AZ82" s="46">
        <f t="array" ref="AZ82">IFERROR(IF(INDEX(Historicals!$T38:$BO38,,AZ$6+$D82*-1)&lt;&gt;"",INDEX(Historicals!$T38:$BO38,,AZ$6+$D82*-1),$F82*AZ$46*Historicals!$S38*INDEX($T$44:$BO$44,,AZ$6-$D82+1)),0)</f>
        <v>0</v>
      </c>
      <c r="BA82" s="46">
        <f t="array" ref="BA82">IFERROR(IF(INDEX(Historicals!$T38:$BO38,,BA$6+$D82*-1)&lt;&gt;"",INDEX(Historicals!$T38:$BO38,,BA$6+$D82*-1),$F82*BA$46*Historicals!$S38*INDEX($T$44:$BO$44,,BA$6-$D82+1)),0)</f>
        <v>0</v>
      </c>
      <c r="BB82" s="46">
        <f t="array" ref="BB82">IFERROR(IF(INDEX(Historicals!$T38:$BO38,,BB$6+$D82*-1)&lt;&gt;"",INDEX(Historicals!$T38:$BO38,,BB$6+$D82*-1),$F82*BB$46*Historicals!$S38*INDEX($T$44:$BO$44,,BB$6-$D82+1)),0)</f>
        <v>0</v>
      </c>
      <c r="BC82" s="46">
        <f t="array" ref="BC82">IFERROR(IF(INDEX(Historicals!$T38:$BO38,,BC$6+$D82*-1)&lt;&gt;"",INDEX(Historicals!$T38:$BO38,,BC$6+$D82*-1),$F82*BC$46*Historicals!$S38*INDEX($T$44:$BO$44,,BC$6-$D82+1)),0)</f>
        <v>0</v>
      </c>
      <c r="BD82" s="46">
        <f t="array" ref="BD82">IFERROR(IF(INDEX(Historicals!$T38:$BO38,,BD$6+$D82*-1)&lt;&gt;"",INDEX(Historicals!$T38:$BO38,,BD$6+$D82*-1),$F82*BD$46*Historicals!$S38*INDEX($T$44:$BO$44,,BD$6-$D82+1)),0)</f>
        <v>0</v>
      </c>
      <c r="BE82" s="46">
        <f t="array" ref="BE82">IFERROR(IF(INDEX(Historicals!$T38:$BO38,,BE$6+$D82*-1)&lt;&gt;"",INDEX(Historicals!$T38:$BO38,,BE$6+$D82*-1),$F82*BE$46*Historicals!$S38*INDEX($T$44:$BO$44,,BE$6-$D82+1)),0)</f>
        <v>0</v>
      </c>
      <c r="BF82" s="46">
        <f t="array" ref="BF82">IFERROR(IF(INDEX(Historicals!$T38:$BO38,,BF$6+$D82*-1)&lt;&gt;"",INDEX(Historicals!$T38:$BO38,,BF$6+$D82*-1),$F82*BF$46*Historicals!$S38*INDEX($T$44:$BO$44,,BF$6-$D82+1)),0)</f>
        <v>0</v>
      </c>
      <c r="BG82" s="46">
        <f t="array" ref="BG82">IFERROR(IF(INDEX(Historicals!$T38:$BO38,,BG$6+$D82*-1)&lt;&gt;"",INDEX(Historicals!$T38:$BO38,,BG$6+$D82*-1),$F82*BG$46*Historicals!$S38*INDEX($T$44:$BO$44,,BG$6-$D82+1)),0)</f>
        <v>0</v>
      </c>
      <c r="BH82" s="46">
        <f t="array" ref="BH82">IFERROR(IF(INDEX(Historicals!$T38:$BO38,,BH$6+$D82*-1)&lt;&gt;"",INDEX(Historicals!$T38:$BO38,,BH$6+$D82*-1),$F82*BH$46*Historicals!$S38*INDEX($T$44:$BO$44,,BH$6-$D82+1)),0)</f>
        <v>0</v>
      </c>
      <c r="BI82" s="46">
        <f t="array" ref="BI82">IFERROR(IF(INDEX(Historicals!$T38:$BO38,,BI$6+$D82*-1)&lt;&gt;"",INDEX(Historicals!$T38:$BO38,,BI$6+$D82*-1),$F82*BI$46*Historicals!$S38*INDEX($T$44:$BO$44,,BI$6-$D82+1)),0)</f>
        <v>0</v>
      </c>
      <c r="BJ82" s="46">
        <f t="array" ref="BJ82">IFERROR(IF(INDEX(Historicals!$T38:$BO38,,BJ$6+$D82*-1)&lt;&gt;"",INDEX(Historicals!$T38:$BO38,,BJ$6+$D82*-1),$F82*BJ$46*Historicals!$S38*INDEX($T$44:$BO$44,,BJ$6-$D82+1)),0)</f>
        <v>0</v>
      </c>
      <c r="BK82" s="46">
        <f t="array" ref="BK82">IFERROR(IF(INDEX(Historicals!$T38:$BO38,,BK$6+$D82*-1)&lt;&gt;"",INDEX(Historicals!$T38:$BO38,,BK$6+$D82*-1),$F82*BK$46*Historicals!$S38*INDEX($T$44:$BO$44,,BK$6-$D82+1)),0)</f>
        <v>0</v>
      </c>
      <c r="BL82" s="46">
        <f t="array" ref="BL82">IFERROR(IF(INDEX(Historicals!$T38:$BO38,,BL$6+$D82*-1)&lt;&gt;"",INDEX(Historicals!$T38:$BO38,,BL$6+$D82*-1),$F82*BL$46*Historicals!$S38*INDEX($T$44:$BO$44,,BL$6-$D82+1)),0)</f>
        <v>0</v>
      </c>
      <c r="BM82" s="46">
        <f t="array" ref="BM82">IFERROR(IF(INDEX(Historicals!$T38:$BO38,,BM$6+$D82*-1)&lt;&gt;"",INDEX(Historicals!$T38:$BO38,,BM$6+$D82*-1),$F82*BM$46*Historicals!$S38*INDEX($T$44:$BO$44,,BM$6-$D82+1)),0)</f>
        <v>0</v>
      </c>
      <c r="BN82" s="46">
        <f t="array" ref="BN82">IFERROR(IF(INDEX(Historicals!$T38:$BO38,,BN$6+$D82*-1)&lt;&gt;"",INDEX(Historicals!$T38:$BO38,,BN$6+$D82*-1),$F82*BN$46*Historicals!$S38*INDEX($T$44:$BO$44,,BN$6-$D82+1)),0)</f>
        <v>0</v>
      </c>
      <c r="BO82" s="46">
        <f t="array" ref="BO82">IFERROR(IF(INDEX(Historicals!$T38:$BO38,,BO$6+$D82*-1)&lt;&gt;"",INDEX(Historicals!$T38:$BO38,,BO$6+$D82*-1),$F82*BO$46*Historicals!$S38*INDEX($T$44:$BO$44,,BO$6-$D82+1)),0)</f>
        <v>0</v>
      </c>
    </row>
    <row r="83" spans="1:67" ht="16.5" hidden="1" customHeight="1" outlineLevel="1">
      <c r="A83" s="1"/>
      <c r="B83" s="55">
        <f t="shared" si="19"/>
        <v>45045</v>
      </c>
      <c r="C83" s="17" t="s">
        <v>104</v>
      </c>
      <c r="D83" s="46">
        <f t="shared" si="20"/>
        <v>-20</v>
      </c>
      <c r="E83" s="16"/>
      <c r="F83" s="51">
        <v>1</v>
      </c>
      <c r="G83" s="16" t="s">
        <v>159</v>
      </c>
      <c r="H83" s="16" t="s">
        <v>155</v>
      </c>
      <c r="I83" s="46">
        <f ca="1">IF(H83=Forecast!$H$195,T83,IF(H83=Forecast!$H$196,BO83,IF(H83=Forecast!$H$197,SUM(T83:BO83),IF(H83=Forecast!$H$198,AVERAGE(T83:BO83),0))))</f>
        <v>13.517381209903975</v>
      </c>
      <c r="J83" s="16"/>
      <c r="K83" s="16"/>
      <c r="L83" s="16"/>
      <c r="M83" s="16"/>
      <c r="N83" s="16"/>
      <c r="O83" s="16"/>
      <c r="P83" s="16"/>
      <c r="Q83" s="16"/>
      <c r="R83" s="16"/>
      <c r="S83" s="16"/>
      <c r="T83" s="46">
        <f t="array" ref="T83">IFERROR(IF(INDEX(Historicals!$T39:$BO39,,T$6+$D83*-1)&lt;&gt;"",INDEX(Historicals!$T39:$BO39,,T$6+$D83*-1),$F83*T$46*Historicals!$S39*INDEX($T$44:$BO$44,,T$6-$D83+1)),0)</f>
        <v>8.2661225808726009</v>
      </c>
      <c r="U83" s="46">
        <f t="array" aca="1" ref="U83" ca="1">IFERROR(IF(INDEX(Historicals!$T39:$BO39,,U$6+$D83*-1)&lt;&gt;"",INDEX(Historicals!$T39:$BO39,,U$6+$D83*-1),$F83*U$46*Historicals!$S39*INDEX($T$44:$BO$44,,U$6-$D83+1)),0)</f>
        <v>0</v>
      </c>
      <c r="V83" s="46">
        <f t="array" aca="1" ref="V83" ca="1">IFERROR(IF(INDEX(Historicals!$T39:$BO39,,V$6+$D83*-1)&lt;&gt;"",INDEX(Historicals!$T39:$BO39,,V$6+$D83*-1),$F83*V$46*Historicals!$S39*INDEX($T$44:$BO$44,,V$6-$D83+1)),0)</f>
        <v>0</v>
      </c>
      <c r="W83" s="46">
        <f t="array" aca="1" ref="W83" ca="1">IFERROR(IF(INDEX(Historicals!$T39:$BO39,,W$6+$D83*-1)&lt;&gt;"",INDEX(Historicals!$T39:$BO39,,W$6+$D83*-1),$F83*W$46*Historicals!$S39*INDEX($T$44:$BO$44,,W$6-$D83+1)),0)</f>
        <v>2.8006712688167337</v>
      </c>
      <c r="X83" s="46">
        <f t="array" aca="1" ref="X83" ca="1">IFERROR(IF(INDEX(Historicals!$T39:$BO39,,X$6+$D83*-1)&lt;&gt;"",INDEX(Historicals!$T39:$BO39,,X$6+$D83*-1),$F83*X$46*Historicals!$S39*INDEX($T$44:$BO$44,,X$6-$D83+1)),0)</f>
        <v>0</v>
      </c>
      <c r="Y83" s="46">
        <f t="array" aca="1" ref="Y83" ca="1">IFERROR(IF(INDEX(Historicals!$T39:$BO39,,Y$6+$D83*-1)&lt;&gt;"",INDEX(Historicals!$T39:$BO39,,Y$6+$D83*-1),$F83*Y$46*Historicals!$S39*INDEX($T$44:$BO$44,,Y$6-$D83+1)),0)</f>
        <v>0</v>
      </c>
      <c r="Z83" s="46">
        <f t="array" aca="1" ref="Z83" ca="1">IFERROR(IF(INDEX(Historicals!$T39:$BO39,,Z$6+$D83*-1)&lt;&gt;"",INDEX(Historicals!$T39:$BO39,,Z$6+$D83*-1),$F83*Z$46*Historicals!$S39*INDEX($T$44:$BO$44,,Z$6-$D83+1)),0)</f>
        <v>1.4003356344083668</v>
      </c>
      <c r="AA83" s="46">
        <f t="array" aca="1" ref="AA83" ca="1">IFERROR(IF(INDEX(Historicals!$T39:$BO39,,AA$6+$D83*-1)&lt;&gt;"",INDEX(Historicals!$T39:$BO39,,AA$6+$D83*-1),$F83*AA$46*Historicals!$S39*INDEX($T$44:$BO$44,,AA$6-$D83+1)),0)</f>
        <v>0</v>
      </c>
      <c r="AB83" s="46">
        <f t="array" aca="1" ref="AB83" ca="1">IFERROR(IF(INDEX(Historicals!$T39:$BO39,,AB$6+$D83*-1)&lt;&gt;"",INDEX(Historicals!$T39:$BO39,,AB$6+$D83*-1),$F83*AB$46*Historicals!$S39*INDEX($T$44:$BO$44,,AB$6-$D83+1)),0)</f>
        <v>0</v>
      </c>
      <c r="AC83" s="46">
        <f t="array" aca="1" ref="AC83" ca="1">IFERROR(IF(INDEX(Historicals!$T39:$BO39,,AC$6+$D83*-1)&lt;&gt;"",INDEX(Historicals!$T39:$BO39,,AC$6+$D83*-1),$F83*AC$46*Historicals!$S39*INDEX($T$44:$BO$44,,AC$6-$D83+1)),0)</f>
        <v>0.70016781720418342</v>
      </c>
      <c r="AD83" s="46">
        <f t="array" aca="1" ref="AD83" ca="1">IFERROR(IF(INDEX(Historicals!$T39:$BO39,,AD$6+$D83*-1)&lt;&gt;"",INDEX(Historicals!$T39:$BO39,,AD$6+$D83*-1),$F83*AD$46*Historicals!$S39*INDEX($T$44:$BO$44,,AD$6-$D83+1)),0)</f>
        <v>0</v>
      </c>
      <c r="AE83" s="46">
        <f t="array" aca="1" ref="AE83" ca="1">IFERROR(IF(INDEX(Historicals!$T39:$BO39,,AE$6+$D83*-1)&lt;&gt;"",INDEX(Historicals!$T39:$BO39,,AE$6+$D83*-1),$F83*AE$46*Historicals!$S39*INDEX($T$44:$BO$44,,AE$6-$D83+1)),0)</f>
        <v>0</v>
      </c>
      <c r="AF83" s="46">
        <f t="array" aca="1" ref="AF83" ca="1">IFERROR(IF(INDEX(Historicals!$T39:$BO39,,AF$6+$D83*-1)&lt;&gt;"",INDEX(Historicals!$T39:$BO39,,AF$6+$D83*-1),$F83*AF$46*Historicals!$S39*INDEX($T$44:$BO$44,,AF$6-$D83+1)),0)</f>
        <v>0.35008390860209171</v>
      </c>
      <c r="AG83" s="46">
        <f t="array" aca="1" ref="AG83" ca="1">IFERROR(IF(INDEX(Historicals!$T39:$BO39,,AG$6+$D83*-1)&lt;&gt;"",INDEX(Historicals!$T39:$BO39,,AG$6+$D83*-1),$F83*AG$46*Historicals!$S39*INDEX($T$44:$BO$44,,AG$6-$D83+1)),0)</f>
        <v>0</v>
      </c>
      <c r="AH83" s="46">
        <f t="array" aca="1" ref="AH83" ca="1">IFERROR(IF(INDEX(Historicals!$T39:$BO39,,AH$6+$D83*-1)&lt;&gt;"",INDEX(Historicals!$T39:$BO39,,AH$6+$D83*-1),$F83*AH$46*Historicals!$S39*INDEX($T$44:$BO$44,,AH$6-$D83+1)),0)</f>
        <v>0</v>
      </c>
      <c r="AI83" s="46">
        <f t="array" ref="AI83">IFERROR(IF(INDEX(Historicals!$T39:$BO39,,AI$6+$D83*-1)&lt;&gt;"",INDEX(Historicals!$T39:$BO39,,AI$6+$D83*-1),$F83*AI$46*Historicals!$S39*INDEX($T$44:$BO$44,,AI$6-$D83+1)),0)</f>
        <v>0</v>
      </c>
      <c r="AJ83" s="46">
        <f t="array" ref="AJ83">IFERROR(IF(INDEX(Historicals!$T39:$BO39,,AJ$6+$D83*-1)&lt;&gt;"",INDEX(Historicals!$T39:$BO39,,AJ$6+$D83*-1),$F83*AJ$46*Historicals!$S39*INDEX($T$44:$BO$44,,AJ$6-$D83+1)),0)</f>
        <v>0</v>
      </c>
      <c r="AK83" s="46">
        <f t="array" ref="AK83">IFERROR(IF(INDEX(Historicals!$T39:$BO39,,AK$6+$D83*-1)&lt;&gt;"",INDEX(Historicals!$T39:$BO39,,AK$6+$D83*-1),$F83*AK$46*Historicals!$S39*INDEX($T$44:$BO$44,,AK$6-$D83+1)),0)</f>
        <v>0</v>
      </c>
      <c r="AL83" s="46">
        <f t="array" ref="AL83">IFERROR(IF(INDEX(Historicals!$T39:$BO39,,AL$6+$D83*-1)&lt;&gt;"",INDEX(Historicals!$T39:$BO39,,AL$6+$D83*-1),$F83*AL$46*Historicals!$S39*INDEX($T$44:$BO$44,,AL$6-$D83+1)),0)</f>
        <v>0</v>
      </c>
      <c r="AM83" s="46">
        <f t="array" ref="AM83">IFERROR(IF(INDEX(Historicals!$T39:$BO39,,AM$6+$D83*-1)&lt;&gt;"",INDEX(Historicals!$T39:$BO39,,AM$6+$D83*-1),$F83*AM$46*Historicals!$S39*INDEX($T$44:$BO$44,,AM$6-$D83+1)),0)</f>
        <v>0</v>
      </c>
      <c r="AN83" s="46">
        <f t="array" ref="AN83">IFERROR(IF(INDEX(Historicals!$T39:$BO39,,AN$6+$D83*-1)&lt;&gt;"",INDEX(Historicals!$T39:$BO39,,AN$6+$D83*-1),$F83*AN$46*Historicals!$S39*INDEX($T$44:$BO$44,,AN$6-$D83+1)),0)</f>
        <v>0</v>
      </c>
      <c r="AO83" s="46">
        <f t="array" ref="AO83">IFERROR(IF(INDEX(Historicals!$T39:$BO39,,AO$6+$D83*-1)&lt;&gt;"",INDEX(Historicals!$T39:$BO39,,AO$6+$D83*-1),$F83*AO$46*Historicals!$S39*INDEX($T$44:$BO$44,,AO$6-$D83+1)),0)</f>
        <v>0</v>
      </c>
      <c r="AP83" s="46">
        <f t="array" ref="AP83">IFERROR(IF(INDEX(Historicals!$T39:$BO39,,AP$6+$D83*-1)&lt;&gt;"",INDEX(Historicals!$T39:$BO39,,AP$6+$D83*-1),$F83*AP$46*Historicals!$S39*INDEX($T$44:$BO$44,,AP$6-$D83+1)),0)</f>
        <v>0</v>
      </c>
      <c r="AQ83" s="46">
        <f t="array" ref="AQ83">IFERROR(IF(INDEX(Historicals!$T39:$BO39,,AQ$6+$D83*-1)&lt;&gt;"",INDEX(Historicals!$T39:$BO39,,AQ$6+$D83*-1),$F83*AQ$46*Historicals!$S39*INDEX($T$44:$BO$44,,AQ$6-$D83+1)),0)</f>
        <v>0</v>
      </c>
      <c r="AR83" s="46">
        <f t="array" ref="AR83">IFERROR(IF(INDEX(Historicals!$T39:$BO39,,AR$6+$D83*-1)&lt;&gt;"",INDEX(Historicals!$T39:$BO39,,AR$6+$D83*-1),$F83*AR$46*Historicals!$S39*INDEX($T$44:$BO$44,,AR$6-$D83+1)),0)</f>
        <v>0</v>
      </c>
      <c r="AS83" s="46">
        <f t="array" ref="AS83">IFERROR(IF(INDEX(Historicals!$T39:$BO39,,AS$6+$D83*-1)&lt;&gt;"",INDEX(Historicals!$T39:$BO39,,AS$6+$D83*-1),$F83*AS$46*Historicals!$S39*INDEX($T$44:$BO$44,,AS$6-$D83+1)),0)</f>
        <v>0</v>
      </c>
      <c r="AT83" s="46">
        <f t="array" ref="AT83">IFERROR(IF(INDEX(Historicals!$T39:$BO39,,AT$6+$D83*-1)&lt;&gt;"",INDEX(Historicals!$T39:$BO39,,AT$6+$D83*-1),$F83*AT$46*Historicals!$S39*INDEX($T$44:$BO$44,,AT$6-$D83+1)),0)</f>
        <v>0</v>
      </c>
      <c r="AU83" s="46">
        <f t="array" ref="AU83">IFERROR(IF(INDEX(Historicals!$T39:$BO39,,AU$6+$D83*-1)&lt;&gt;"",INDEX(Historicals!$T39:$BO39,,AU$6+$D83*-1),$F83*AU$46*Historicals!$S39*INDEX($T$44:$BO$44,,AU$6-$D83+1)),0)</f>
        <v>0</v>
      </c>
      <c r="AV83" s="46">
        <f t="array" ref="AV83">IFERROR(IF(INDEX(Historicals!$T39:$BO39,,AV$6+$D83*-1)&lt;&gt;"",INDEX(Historicals!$T39:$BO39,,AV$6+$D83*-1),$F83*AV$46*Historicals!$S39*INDEX($T$44:$BO$44,,AV$6-$D83+1)),0)</f>
        <v>0</v>
      </c>
      <c r="AW83" s="46">
        <f t="array" ref="AW83">IFERROR(IF(INDEX(Historicals!$T39:$BO39,,AW$6+$D83*-1)&lt;&gt;"",INDEX(Historicals!$T39:$BO39,,AW$6+$D83*-1),$F83*AW$46*Historicals!$S39*INDEX($T$44:$BO$44,,AW$6-$D83+1)),0)</f>
        <v>0</v>
      </c>
      <c r="AX83" s="46">
        <f t="array" ref="AX83">IFERROR(IF(INDEX(Historicals!$T39:$BO39,,AX$6+$D83*-1)&lt;&gt;"",INDEX(Historicals!$T39:$BO39,,AX$6+$D83*-1),$F83*AX$46*Historicals!$S39*INDEX($T$44:$BO$44,,AX$6-$D83+1)),0)</f>
        <v>0</v>
      </c>
      <c r="AY83" s="46">
        <f t="array" ref="AY83">IFERROR(IF(INDEX(Historicals!$T39:$BO39,,AY$6+$D83*-1)&lt;&gt;"",INDEX(Historicals!$T39:$BO39,,AY$6+$D83*-1),$F83*AY$46*Historicals!$S39*INDEX($T$44:$BO$44,,AY$6-$D83+1)),0)</f>
        <v>0</v>
      </c>
      <c r="AZ83" s="46">
        <f t="array" ref="AZ83">IFERROR(IF(INDEX(Historicals!$T39:$BO39,,AZ$6+$D83*-1)&lt;&gt;"",INDEX(Historicals!$T39:$BO39,,AZ$6+$D83*-1),$F83*AZ$46*Historicals!$S39*INDEX($T$44:$BO$44,,AZ$6-$D83+1)),0)</f>
        <v>0</v>
      </c>
      <c r="BA83" s="46">
        <f t="array" ref="BA83">IFERROR(IF(INDEX(Historicals!$T39:$BO39,,BA$6+$D83*-1)&lt;&gt;"",INDEX(Historicals!$T39:$BO39,,BA$6+$D83*-1),$F83*BA$46*Historicals!$S39*INDEX($T$44:$BO$44,,BA$6-$D83+1)),0)</f>
        <v>0</v>
      </c>
      <c r="BB83" s="46">
        <f t="array" ref="BB83">IFERROR(IF(INDEX(Historicals!$T39:$BO39,,BB$6+$D83*-1)&lt;&gt;"",INDEX(Historicals!$T39:$BO39,,BB$6+$D83*-1),$F83*BB$46*Historicals!$S39*INDEX($T$44:$BO$44,,BB$6-$D83+1)),0)</f>
        <v>0</v>
      </c>
      <c r="BC83" s="46">
        <f t="array" ref="BC83">IFERROR(IF(INDEX(Historicals!$T39:$BO39,,BC$6+$D83*-1)&lt;&gt;"",INDEX(Historicals!$T39:$BO39,,BC$6+$D83*-1),$F83*BC$46*Historicals!$S39*INDEX($T$44:$BO$44,,BC$6-$D83+1)),0)</f>
        <v>0</v>
      </c>
      <c r="BD83" s="46">
        <f t="array" ref="BD83">IFERROR(IF(INDEX(Historicals!$T39:$BO39,,BD$6+$D83*-1)&lt;&gt;"",INDEX(Historicals!$T39:$BO39,,BD$6+$D83*-1),$F83*BD$46*Historicals!$S39*INDEX($T$44:$BO$44,,BD$6-$D83+1)),0)</f>
        <v>0</v>
      </c>
      <c r="BE83" s="46">
        <f t="array" ref="BE83">IFERROR(IF(INDEX(Historicals!$T39:$BO39,,BE$6+$D83*-1)&lt;&gt;"",INDEX(Historicals!$T39:$BO39,,BE$6+$D83*-1),$F83*BE$46*Historicals!$S39*INDEX($T$44:$BO$44,,BE$6-$D83+1)),0)</f>
        <v>0</v>
      </c>
      <c r="BF83" s="46">
        <f t="array" ref="BF83">IFERROR(IF(INDEX(Historicals!$T39:$BO39,,BF$6+$D83*-1)&lt;&gt;"",INDEX(Historicals!$T39:$BO39,,BF$6+$D83*-1),$F83*BF$46*Historicals!$S39*INDEX($T$44:$BO$44,,BF$6-$D83+1)),0)</f>
        <v>0</v>
      </c>
      <c r="BG83" s="46">
        <f t="array" ref="BG83">IFERROR(IF(INDEX(Historicals!$T39:$BO39,,BG$6+$D83*-1)&lt;&gt;"",INDEX(Historicals!$T39:$BO39,,BG$6+$D83*-1),$F83*BG$46*Historicals!$S39*INDEX($T$44:$BO$44,,BG$6-$D83+1)),0)</f>
        <v>0</v>
      </c>
      <c r="BH83" s="46">
        <f t="array" ref="BH83">IFERROR(IF(INDEX(Historicals!$T39:$BO39,,BH$6+$D83*-1)&lt;&gt;"",INDEX(Historicals!$T39:$BO39,,BH$6+$D83*-1),$F83*BH$46*Historicals!$S39*INDEX($T$44:$BO$44,,BH$6-$D83+1)),0)</f>
        <v>0</v>
      </c>
      <c r="BI83" s="46">
        <f t="array" ref="BI83">IFERROR(IF(INDEX(Historicals!$T39:$BO39,,BI$6+$D83*-1)&lt;&gt;"",INDEX(Historicals!$T39:$BO39,,BI$6+$D83*-1),$F83*BI$46*Historicals!$S39*INDEX($T$44:$BO$44,,BI$6-$D83+1)),0)</f>
        <v>0</v>
      </c>
      <c r="BJ83" s="46">
        <f t="array" ref="BJ83">IFERROR(IF(INDEX(Historicals!$T39:$BO39,,BJ$6+$D83*-1)&lt;&gt;"",INDEX(Historicals!$T39:$BO39,,BJ$6+$D83*-1),$F83*BJ$46*Historicals!$S39*INDEX($T$44:$BO$44,,BJ$6-$D83+1)),0)</f>
        <v>0</v>
      </c>
      <c r="BK83" s="46">
        <f t="array" ref="BK83">IFERROR(IF(INDEX(Historicals!$T39:$BO39,,BK$6+$D83*-1)&lt;&gt;"",INDEX(Historicals!$T39:$BO39,,BK$6+$D83*-1),$F83*BK$46*Historicals!$S39*INDEX($T$44:$BO$44,,BK$6-$D83+1)),0)</f>
        <v>0</v>
      </c>
      <c r="BL83" s="46">
        <f t="array" ref="BL83">IFERROR(IF(INDEX(Historicals!$T39:$BO39,,BL$6+$D83*-1)&lt;&gt;"",INDEX(Historicals!$T39:$BO39,,BL$6+$D83*-1),$F83*BL$46*Historicals!$S39*INDEX($T$44:$BO$44,,BL$6-$D83+1)),0)</f>
        <v>0</v>
      </c>
      <c r="BM83" s="46">
        <f t="array" ref="BM83">IFERROR(IF(INDEX(Historicals!$T39:$BO39,,BM$6+$D83*-1)&lt;&gt;"",INDEX(Historicals!$T39:$BO39,,BM$6+$D83*-1),$F83*BM$46*Historicals!$S39*INDEX($T$44:$BO$44,,BM$6-$D83+1)),0)</f>
        <v>0</v>
      </c>
      <c r="BN83" s="46">
        <f t="array" ref="BN83">IFERROR(IF(INDEX(Historicals!$T39:$BO39,,BN$6+$D83*-1)&lt;&gt;"",INDEX(Historicals!$T39:$BO39,,BN$6+$D83*-1),$F83*BN$46*Historicals!$S39*INDEX($T$44:$BO$44,,BN$6-$D83+1)),0)</f>
        <v>0</v>
      </c>
      <c r="BO83" s="46">
        <f t="array" ref="BO83">IFERROR(IF(INDEX(Historicals!$T39:$BO39,,BO$6+$D83*-1)&lt;&gt;"",INDEX(Historicals!$T39:$BO39,,BO$6+$D83*-1),$F83*BO$46*Historicals!$S39*INDEX($T$44:$BO$44,,BO$6-$D83+1)),0)</f>
        <v>0</v>
      </c>
    </row>
    <row r="84" spans="1:67" ht="16.5" hidden="1" customHeight="1" outlineLevel="1">
      <c r="A84" s="1"/>
      <c r="B84" s="55">
        <f t="shared" si="19"/>
        <v>45075</v>
      </c>
      <c r="C84" s="17" t="s">
        <v>104</v>
      </c>
      <c r="D84" s="46">
        <f t="shared" si="20"/>
        <v>-19</v>
      </c>
      <c r="E84" s="16"/>
      <c r="F84" s="51">
        <v>1</v>
      </c>
      <c r="G84" s="16" t="s">
        <v>159</v>
      </c>
      <c r="H84" s="16" t="s">
        <v>155</v>
      </c>
      <c r="I84" s="46">
        <f ca="1">IF(H84=Forecast!$H$195,T84,IF(H84=Forecast!$H$196,BO84,IF(H84=Forecast!$H$197,SUM(T84:BO84),IF(H84=Forecast!$H$198,AVERAGE(T84:BO84),0))))</f>
        <v>11.423790701752466</v>
      </c>
      <c r="J84" s="16"/>
      <c r="K84" s="16"/>
      <c r="L84" s="16"/>
      <c r="M84" s="16"/>
      <c r="N84" s="16"/>
      <c r="O84" s="16"/>
      <c r="P84" s="16"/>
      <c r="Q84" s="16"/>
      <c r="R84" s="16"/>
      <c r="S84" s="16"/>
      <c r="T84" s="46">
        <f t="array" aca="1" ref="T84" ca="1">IFERROR(IF(INDEX(Historicals!$T40:$BO40,,T$6+$D84*-1)&lt;&gt;"",INDEX(Historicals!$T40:$BO40,,T$6+$D84*-1),$F84*T$46*Historicals!$S40*INDEX($T$44:$BO$44,,T$6-$D84+1)),0)</f>
        <v>0</v>
      </c>
      <c r="U84" s="46">
        <f t="array" aca="1" ref="U84" ca="1">IFERROR(IF(INDEX(Historicals!$T40:$BO40,,U$6+$D84*-1)&lt;&gt;"",INDEX(Historicals!$T40:$BO40,,U$6+$D84*-1),$F84*U$46*Historicals!$S40*INDEX($T$44:$BO$44,,U$6-$D84+1)),0)</f>
        <v>5.8961500396141764</v>
      </c>
      <c r="V84" s="46">
        <f t="array" aca="1" ref="V84" ca="1">IFERROR(IF(INDEX(Historicals!$T40:$BO40,,V$6+$D84*-1)&lt;&gt;"",INDEX(Historicals!$T40:$BO40,,V$6+$D84*-1),$F84*V$46*Historicals!$S40*INDEX($T$44:$BO$44,,V$6-$D84+1)),0)</f>
        <v>0</v>
      </c>
      <c r="W84" s="46">
        <f t="array" aca="1" ref="W84" ca="1">IFERROR(IF(INDEX(Historicals!$T40:$BO40,,W$6+$D84*-1)&lt;&gt;"",INDEX(Historicals!$T40:$BO40,,W$6+$D84*-1),$F84*W$46*Historicals!$S40*INDEX($T$44:$BO$44,,W$6-$D84+1)),0)</f>
        <v>0</v>
      </c>
      <c r="X84" s="46">
        <f t="array" aca="1" ref="X84" ca="1">IFERROR(IF(INDEX(Historicals!$T40:$BO40,,X$6+$D84*-1)&lt;&gt;"",INDEX(Historicals!$T40:$BO40,,X$6+$D84*-1),$F84*X$46*Historicals!$S40*INDEX($T$44:$BO$44,,X$6-$D84+1)),0)</f>
        <v>2.9480750198070882</v>
      </c>
      <c r="Y84" s="46">
        <f t="array" aca="1" ref="Y84" ca="1">IFERROR(IF(INDEX(Historicals!$T40:$BO40,,Y$6+$D84*-1)&lt;&gt;"",INDEX(Historicals!$T40:$BO40,,Y$6+$D84*-1),$F84*Y$46*Historicals!$S40*INDEX($T$44:$BO$44,,Y$6-$D84+1)),0)</f>
        <v>0</v>
      </c>
      <c r="Z84" s="46">
        <f t="array" aca="1" ref="Z84" ca="1">IFERROR(IF(INDEX(Historicals!$T40:$BO40,,Z$6+$D84*-1)&lt;&gt;"",INDEX(Historicals!$T40:$BO40,,Z$6+$D84*-1),$F84*Z$46*Historicals!$S40*INDEX($T$44:$BO$44,,Z$6-$D84+1)),0)</f>
        <v>0</v>
      </c>
      <c r="AA84" s="46">
        <f t="array" aca="1" ref="AA84" ca="1">IFERROR(IF(INDEX(Historicals!$T40:$BO40,,AA$6+$D84*-1)&lt;&gt;"",INDEX(Historicals!$T40:$BO40,,AA$6+$D84*-1),$F84*AA$46*Historicals!$S40*INDEX($T$44:$BO$44,,AA$6-$D84+1)),0)</f>
        <v>1.4740375099035441</v>
      </c>
      <c r="AB84" s="46">
        <f t="array" aca="1" ref="AB84" ca="1">IFERROR(IF(INDEX(Historicals!$T40:$BO40,,AB$6+$D84*-1)&lt;&gt;"",INDEX(Historicals!$T40:$BO40,,AB$6+$D84*-1),$F84*AB$46*Historicals!$S40*INDEX($T$44:$BO$44,,AB$6-$D84+1)),0)</f>
        <v>0</v>
      </c>
      <c r="AC84" s="46">
        <f t="array" aca="1" ref="AC84" ca="1">IFERROR(IF(INDEX(Historicals!$T40:$BO40,,AC$6+$D84*-1)&lt;&gt;"",INDEX(Historicals!$T40:$BO40,,AC$6+$D84*-1),$F84*AC$46*Historicals!$S40*INDEX($T$44:$BO$44,,AC$6-$D84+1)),0)</f>
        <v>0</v>
      </c>
      <c r="AD84" s="46">
        <f t="array" aca="1" ref="AD84" ca="1">IFERROR(IF(INDEX(Historicals!$T40:$BO40,,AD$6+$D84*-1)&lt;&gt;"",INDEX(Historicals!$T40:$BO40,,AD$6+$D84*-1),$F84*AD$46*Historicals!$S40*INDEX($T$44:$BO$44,,AD$6-$D84+1)),0)</f>
        <v>0.73701875495177205</v>
      </c>
      <c r="AE84" s="46">
        <f t="array" aca="1" ref="AE84" ca="1">IFERROR(IF(INDEX(Historicals!$T40:$BO40,,AE$6+$D84*-1)&lt;&gt;"",INDEX(Historicals!$T40:$BO40,,AE$6+$D84*-1),$F84*AE$46*Historicals!$S40*INDEX($T$44:$BO$44,,AE$6-$D84+1)),0)</f>
        <v>0</v>
      </c>
      <c r="AF84" s="46">
        <f t="array" aca="1" ref="AF84" ca="1">IFERROR(IF(INDEX(Historicals!$T40:$BO40,,AF$6+$D84*-1)&lt;&gt;"",INDEX(Historicals!$T40:$BO40,,AF$6+$D84*-1),$F84*AF$46*Historicals!$S40*INDEX($T$44:$BO$44,,AF$6-$D84+1)),0)</f>
        <v>0</v>
      </c>
      <c r="AG84" s="46">
        <f t="array" aca="1" ref="AG84" ca="1">IFERROR(IF(INDEX(Historicals!$T40:$BO40,,AG$6+$D84*-1)&lt;&gt;"",INDEX(Historicals!$T40:$BO40,,AG$6+$D84*-1),$F84*AG$46*Historicals!$S40*INDEX($T$44:$BO$44,,AG$6-$D84+1)),0)</f>
        <v>0.36850937747588602</v>
      </c>
      <c r="AH84" s="46">
        <f t="array" aca="1" ref="AH84" ca="1">IFERROR(IF(INDEX(Historicals!$T40:$BO40,,AH$6+$D84*-1)&lt;&gt;"",INDEX(Historicals!$T40:$BO40,,AH$6+$D84*-1),$F84*AH$46*Historicals!$S40*INDEX($T$44:$BO$44,,AH$6-$D84+1)),0)</f>
        <v>0</v>
      </c>
      <c r="AI84" s="46">
        <f t="array" aca="1" ref="AI84" ca="1">IFERROR(IF(INDEX(Historicals!$T40:$BO40,,AI$6+$D84*-1)&lt;&gt;"",INDEX(Historicals!$T40:$BO40,,AI$6+$D84*-1),$F84*AI$46*Historicals!$S40*INDEX($T$44:$BO$44,,AI$6-$D84+1)),0)</f>
        <v>0</v>
      </c>
      <c r="AJ84" s="46">
        <f t="array" ref="AJ84">IFERROR(IF(INDEX(Historicals!$T40:$BO40,,AJ$6+$D84*-1)&lt;&gt;"",INDEX(Historicals!$T40:$BO40,,AJ$6+$D84*-1),$F84*AJ$46*Historicals!$S40*INDEX($T$44:$BO$44,,AJ$6-$D84+1)),0)</f>
        <v>0</v>
      </c>
      <c r="AK84" s="46">
        <f t="array" ref="AK84">IFERROR(IF(INDEX(Historicals!$T40:$BO40,,AK$6+$D84*-1)&lt;&gt;"",INDEX(Historicals!$T40:$BO40,,AK$6+$D84*-1),$F84*AK$46*Historicals!$S40*INDEX($T$44:$BO$44,,AK$6-$D84+1)),0)</f>
        <v>0</v>
      </c>
      <c r="AL84" s="46">
        <f t="array" ref="AL84">IFERROR(IF(INDEX(Historicals!$T40:$BO40,,AL$6+$D84*-1)&lt;&gt;"",INDEX(Historicals!$T40:$BO40,,AL$6+$D84*-1),$F84*AL$46*Historicals!$S40*INDEX($T$44:$BO$44,,AL$6-$D84+1)),0)</f>
        <v>0</v>
      </c>
      <c r="AM84" s="46">
        <f t="array" ref="AM84">IFERROR(IF(INDEX(Historicals!$T40:$BO40,,AM$6+$D84*-1)&lt;&gt;"",INDEX(Historicals!$T40:$BO40,,AM$6+$D84*-1),$F84*AM$46*Historicals!$S40*INDEX($T$44:$BO$44,,AM$6-$D84+1)),0)</f>
        <v>0</v>
      </c>
      <c r="AN84" s="46">
        <f t="array" ref="AN84">IFERROR(IF(INDEX(Historicals!$T40:$BO40,,AN$6+$D84*-1)&lt;&gt;"",INDEX(Historicals!$T40:$BO40,,AN$6+$D84*-1),$F84*AN$46*Historicals!$S40*INDEX($T$44:$BO$44,,AN$6-$D84+1)),0)</f>
        <v>0</v>
      </c>
      <c r="AO84" s="46">
        <f t="array" ref="AO84">IFERROR(IF(INDEX(Historicals!$T40:$BO40,,AO$6+$D84*-1)&lt;&gt;"",INDEX(Historicals!$T40:$BO40,,AO$6+$D84*-1),$F84*AO$46*Historicals!$S40*INDEX($T$44:$BO$44,,AO$6-$D84+1)),0)</f>
        <v>0</v>
      </c>
      <c r="AP84" s="46">
        <f t="array" ref="AP84">IFERROR(IF(INDEX(Historicals!$T40:$BO40,,AP$6+$D84*-1)&lt;&gt;"",INDEX(Historicals!$T40:$BO40,,AP$6+$D84*-1),$F84*AP$46*Historicals!$S40*INDEX($T$44:$BO$44,,AP$6-$D84+1)),0)</f>
        <v>0</v>
      </c>
      <c r="AQ84" s="46">
        <f t="array" ref="AQ84">IFERROR(IF(INDEX(Historicals!$T40:$BO40,,AQ$6+$D84*-1)&lt;&gt;"",INDEX(Historicals!$T40:$BO40,,AQ$6+$D84*-1),$F84*AQ$46*Historicals!$S40*INDEX($T$44:$BO$44,,AQ$6-$D84+1)),0)</f>
        <v>0</v>
      </c>
      <c r="AR84" s="46">
        <f t="array" ref="AR84">IFERROR(IF(INDEX(Historicals!$T40:$BO40,,AR$6+$D84*-1)&lt;&gt;"",INDEX(Historicals!$T40:$BO40,,AR$6+$D84*-1),$F84*AR$46*Historicals!$S40*INDEX($T$44:$BO$44,,AR$6-$D84+1)),0)</f>
        <v>0</v>
      </c>
      <c r="AS84" s="46">
        <f t="array" ref="AS84">IFERROR(IF(INDEX(Historicals!$T40:$BO40,,AS$6+$D84*-1)&lt;&gt;"",INDEX(Historicals!$T40:$BO40,,AS$6+$D84*-1),$F84*AS$46*Historicals!$S40*INDEX($T$44:$BO$44,,AS$6-$D84+1)),0)</f>
        <v>0</v>
      </c>
      <c r="AT84" s="46">
        <f t="array" ref="AT84">IFERROR(IF(INDEX(Historicals!$T40:$BO40,,AT$6+$D84*-1)&lt;&gt;"",INDEX(Historicals!$T40:$BO40,,AT$6+$D84*-1),$F84*AT$46*Historicals!$S40*INDEX($T$44:$BO$44,,AT$6-$D84+1)),0)</f>
        <v>0</v>
      </c>
      <c r="AU84" s="46">
        <f t="array" ref="AU84">IFERROR(IF(INDEX(Historicals!$T40:$BO40,,AU$6+$D84*-1)&lt;&gt;"",INDEX(Historicals!$T40:$BO40,,AU$6+$D84*-1),$F84*AU$46*Historicals!$S40*INDEX($T$44:$BO$44,,AU$6-$D84+1)),0)</f>
        <v>0</v>
      </c>
      <c r="AV84" s="46">
        <f t="array" ref="AV84">IFERROR(IF(INDEX(Historicals!$T40:$BO40,,AV$6+$D84*-1)&lt;&gt;"",INDEX(Historicals!$T40:$BO40,,AV$6+$D84*-1),$F84*AV$46*Historicals!$S40*INDEX($T$44:$BO$44,,AV$6-$D84+1)),0)</f>
        <v>0</v>
      </c>
      <c r="AW84" s="46">
        <f t="array" ref="AW84">IFERROR(IF(INDEX(Historicals!$T40:$BO40,,AW$6+$D84*-1)&lt;&gt;"",INDEX(Historicals!$T40:$BO40,,AW$6+$D84*-1),$F84*AW$46*Historicals!$S40*INDEX($T$44:$BO$44,,AW$6-$D84+1)),0)</f>
        <v>0</v>
      </c>
      <c r="AX84" s="46">
        <f t="array" ref="AX84">IFERROR(IF(INDEX(Historicals!$T40:$BO40,,AX$6+$D84*-1)&lt;&gt;"",INDEX(Historicals!$T40:$BO40,,AX$6+$D84*-1),$F84*AX$46*Historicals!$S40*INDEX($T$44:$BO$44,,AX$6-$D84+1)),0)</f>
        <v>0</v>
      </c>
      <c r="AY84" s="46">
        <f t="array" ref="AY84">IFERROR(IF(INDEX(Historicals!$T40:$BO40,,AY$6+$D84*-1)&lt;&gt;"",INDEX(Historicals!$T40:$BO40,,AY$6+$D84*-1),$F84*AY$46*Historicals!$S40*INDEX($T$44:$BO$44,,AY$6-$D84+1)),0)</f>
        <v>0</v>
      </c>
      <c r="AZ84" s="46">
        <f t="array" ref="AZ84">IFERROR(IF(INDEX(Historicals!$T40:$BO40,,AZ$6+$D84*-1)&lt;&gt;"",INDEX(Historicals!$T40:$BO40,,AZ$6+$D84*-1),$F84*AZ$46*Historicals!$S40*INDEX($T$44:$BO$44,,AZ$6-$D84+1)),0)</f>
        <v>0</v>
      </c>
      <c r="BA84" s="46">
        <f t="array" ref="BA84">IFERROR(IF(INDEX(Historicals!$T40:$BO40,,BA$6+$D84*-1)&lt;&gt;"",INDEX(Historicals!$T40:$BO40,,BA$6+$D84*-1),$F84*BA$46*Historicals!$S40*INDEX($T$44:$BO$44,,BA$6-$D84+1)),0)</f>
        <v>0</v>
      </c>
      <c r="BB84" s="46">
        <f t="array" ref="BB84">IFERROR(IF(INDEX(Historicals!$T40:$BO40,,BB$6+$D84*-1)&lt;&gt;"",INDEX(Historicals!$T40:$BO40,,BB$6+$D84*-1),$F84*BB$46*Historicals!$S40*INDEX($T$44:$BO$44,,BB$6-$D84+1)),0)</f>
        <v>0</v>
      </c>
      <c r="BC84" s="46">
        <f t="array" ref="BC84">IFERROR(IF(INDEX(Historicals!$T40:$BO40,,BC$6+$D84*-1)&lt;&gt;"",INDEX(Historicals!$T40:$BO40,,BC$6+$D84*-1),$F84*BC$46*Historicals!$S40*INDEX($T$44:$BO$44,,BC$6-$D84+1)),0)</f>
        <v>0</v>
      </c>
      <c r="BD84" s="46">
        <f t="array" ref="BD84">IFERROR(IF(INDEX(Historicals!$T40:$BO40,,BD$6+$D84*-1)&lt;&gt;"",INDEX(Historicals!$T40:$BO40,,BD$6+$D84*-1),$F84*BD$46*Historicals!$S40*INDEX($T$44:$BO$44,,BD$6-$D84+1)),0)</f>
        <v>0</v>
      </c>
      <c r="BE84" s="46">
        <f t="array" ref="BE84">IFERROR(IF(INDEX(Historicals!$T40:$BO40,,BE$6+$D84*-1)&lt;&gt;"",INDEX(Historicals!$T40:$BO40,,BE$6+$D84*-1),$F84*BE$46*Historicals!$S40*INDEX($T$44:$BO$44,,BE$6-$D84+1)),0)</f>
        <v>0</v>
      </c>
      <c r="BF84" s="46">
        <f t="array" ref="BF84">IFERROR(IF(INDEX(Historicals!$T40:$BO40,,BF$6+$D84*-1)&lt;&gt;"",INDEX(Historicals!$T40:$BO40,,BF$6+$D84*-1),$F84*BF$46*Historicals!$S40*INDEX($T$44:$BO$44,,BF$6-$D84+1)),0)</f>
        <v>0</v>
      </c>
      <c r="BG84" s="46">
        <f t="array" ref="BG84">IFERROR(IF(INDEX(Historicals!$T40:$BO40,,BG$6+$D84*-1)&lt;&gt;"",INDEX(Historicals!$T40:$BO40,,BG$6+$D84*-1),$F84*BG$46*Historicals!$S40*INDEX($T$44:$BO$44,,BG$6-$D84+1)),0)</f>
        <v>0</v>
      </c>
      <c r="BH84" s="46">
        <f t="array" ref="BH84">IFERROR(IF(INDEX(Historicals!$T40:$BO40,,BH$6+$D84*-1)&lt;&gt;"",INDEX(Historicals!$T40:$BO40,,BH$6+$D84*-1),$F84*BH$46*Historicals!$S40*INDEX($T$44:$BO$44,,BH$6-$D84+1)),0)</f>
        <v>0</v>
      </c>
      <c r="BI84" s="46">
        <f t="array" ref="BI84">IFERROR(IF(INDEX(Historicals!$T40:$BO40,,BI$6+$D84*-1)&lt;&gt;"",INDEX(Historicals!$T40:$BO40,,BI$6+$D84*-1),$F84*BI$46*Historicals!$S40*INDEX($T$44:$BO$44,,BI$6-$D84+1)),0)</f>
        <v>0</v>
      </c>
      <c r="BJ84" s="46">
        <f t="array" ref="BJ84">IFERROR(IF(INDEX(Historicals!$T40:$BO40,,BJ$6+$D84*-1)&lt;&gt;"",INDEX(Historicals!$T40:$BO40,,BJ$6+$D84*-1),$F84*BJ$46*Historicals!$S40*INDEX($T$44:$BO$44,,BJ$6-$D84+1)),0)</f>
        <v>0</v>
      </c>
      <c r="BK84" s="46">
        <f t="array" ref="BK84">IFERROR(IF(INDEX(Historicals!$T40:$BO40,,BK$6+$D84*-1)&lt;&gt;"",INDEX(Historicals!$T40:$BO40,,BK$6+$D84*-1),$F84*BK$46*Historicals!$S40*INDEX($T$44:$BO$44,,BK$6-$D84+1)),0)</f>
        <v>0</v>
      </c>
      <c r="BL84" s="46">
        <f t="array" ref="BL84">IFERROR(IF(INDEX(Historicals!$T40:$BO40,,BL$6+$D84*-1)&lt;&gt;"",INDEX(Historicals!$T40:$BO40,,BL$6+$D84*-1),$F84*BL$46*Historicals!$S40*INDEX($T$44:$BO$44,,BL$6-$D84+1)),0)</f>
        <v>0</v>
      </c>
      <c r="BM84" s="46">
        <f t="array" ref="BM84">IFERROR(IF(INDEX(Historicals!$T40:$BO40,,BM$6+$D84*-1)&lt;&gt;"",INDEX(Historicals!$T40:$BO40,,BM$6+$D84*-1),$F84*BM$46*Historicals!$S40*INDEX($T$44:$BO$44,,BM$6-$D84+1)),0)</f>
        <v>0</v>
      </c>
      <c r="BN84" s="46">
        <f t="array" ref="BN84">IFERROR(IF(INDEX(Historicals!$T40:$BO40,,BN$6+$D84*-1)&lt;&gt;"",INDEX(Historicals!$T40:$BO40,,BN$6+$D84*-1),$F84*BN$46*Historicals!$S40*INDEX($T$44:$BO$44,,BN$6-$D84+1)),0)</f>
        <v>0</v>
      </c>
      <c r="BO84" s="46">
        <f t="array" ref="BO84">IFERROR(IF(INDEX(Historicals!$T40:$BO40,,BO$6+$D84*-1)&lt;&gt;"",INDEX(Historicals!$T40:$BO40,,BO$6+$D84*-1),$F84*BO$46*Historicals!$S40*INDEX($T$44:$BO$44,,BO$6-$D84+1)),0)</f>
        <v>0</v>
      </c>
    </row>
    <row r="85" spans="1:67" ht="16.5" hidden="1" customHeight="1" outlineLevel="1">
      <c r="A85" s="1"/>
      <c r="B85" s="55">
        <f t="shared" si="19"/>
        <v>45106</v>
      </c>
      <c r="C85" s="17" t="s">
        <v>104</v>
      </c>
      <c r="D85" s="46">
        <f t="shared" si="20"/>
        <v>-18</v>
      </c>
      <c r="E85" s="16"/>
      <c r="F85" s="51">
        <v>1</v>
      </c>
      <c r="G85" s="16" t="s">
        <v>159</v>
      </c>
      <c r="H85" s="16" t="s">
        <v>155</v>
      </c>
      <c r="I85" s="46">
        <f ca="1">IF(H85=Forecast!$H$195,T85,IF(H85=Forecast!$H$196,BO85,IF(H85=Forecast!$H$197,SUM(T85:BO85),IF(H85=Forecast!$H$198,AVERAGE(T85:BO85),0))))</f>
        <v>26.336196896707232</v>
      </c>
      <c r="J85" s="16"/>
      <c r="K85" s="16"/>
      <c r="L85" s="16"/>
      <c r="M85" s="16"/>
      <c r="N85" s="16"/>
      <c r="O85" s="16"/>
      <c r="P85" s="16"/>
      <c r="Q85" s="16"/>
      <c r="R85" s="16"/>
      <c r="S85" s="16"/>
      <c r="T85" s="46">
        <f t="array" ref="T85">IFERROR(IF(INDEX(Historicals!$T41:$BO41,,T$6+$D85*-1)&lt;&gt;"",INDEX(Historicals!$T41:$BO41,,T$6+$D85*-1),$F85*T$46*Historicals!$S41*INDEX($T$44:$BO$44,,T$6-$D85+1)),0)</f>
        <v>14.311154052757267</v>
      </c>
      <c r="U85" s="46">
        <f t="array" aca="1" ref="U85" ca="1">IFERROR(IF(INDEX(Historicals!$T41:$BO41,,U$6+$D85*-1)&lt;&gt;"",INDEX(Historicals!$T41:$BO41,,U$6+$D85*-1),$F85*U$46*Historicals!$S41*INDEX($T$44:$BO$44,,U$6-$D85+1)),0)</f>
        <v>0</v>
      </c>
      <c r="V85" s="46">
        <f t="array" aca="1" ref="V85" ca="1">IFERROR(IF(INDEX(Historicals!$T41:$BO41,,V$6+$D85*-1)&lt;&gt;"",INDEX(Historicals!$T41:$BO41,,V$6+$D85*-1),$F85*V$46*Historicals!$S41*INDEX($T$44:$BO$44,,V$6-$D85+1)),0)</f>
        <v>6.2064737259096594</v>
      </c>
      <c r="W85" s="46">
        <f t="array" aca="1" ref="W85" ca="1">IFERROR(IF(INDEX(Historicals!$T41:$BO41,,W$6+$D85*-1)&lt;&gt;"",INDEX(Historicals!$T41:$BO41,,W$6+$D85*-1),$F85*W$46*Historicals!$S41*INDEX($T$44:$BO$44,,W$6-$D85+1)),0)</f>
        <v>0</v>
      </c>
      <c r="X85" s="46">
        <f t="array" aca="1" ref="X85" ca="1">IFERROR(IF(INDEX(Historicals!$T41:$BO41,,X$6+$D85*-1)&lt;&gt;"",INDEX(Historicals!$T41:$BO41,,X$6+$D85*-1),$F85*X$46*Historicals!$S41*INDEX($T$44:$BO$44,,X$6-$D85+1)),0)</f>
        <v>0</v>
      </c>
      <c r="Y85" s="46">
        <f t="array" aca="1" ref="Y85" ca="1">IFERROR(IF(INDEX(Historicals!$T41:$BO41,,Y$6+$D85*-1)&lt;&gt;"",INDEX(Historicals!$T41:$BO41,,Y$6+$D85*-1),$F85*Y$46*Historicals!$S41*INDEX($T$44:$BO$44,,Y$6-$D85+1)),0)</f>
        <v>3.1032368629548297</v>
      </c>
      <c r="Z85" s="46">
        <f t="array" aca="1" ref="Z85" ca="1">IFERROR(IF(INDEX(Historicals!$T41:$BO41,,Z$6+$D85*-1)&lt;&gt;"",INDEX(Historicals!$T41:$BO41,,Z$6+$D85*-1),$F85*Z$46*Historicals!$S41*INDEX($T$44:$BO$44,,Z$6-$D85+1)),0)</f>
        <v>0</v>
      </c>
      <c r="AA85" s="46">
        <f t="array" aca="1" ref="AA85" ca="1">IFERROR(IF(INDEX(Historicals!$T41:$BO41,,AA$6+$D85*-1)&lt;&gt;"",INDEX(Historicals!$T41:$BO41,,AA$6+$D85*-1),$F85*AA$46*Historicals!$S41*INDEX($T$44:$BO$44,,AA$6-$D85+1)),0)</f>
        <v>0</v>
      </c>
      <c r="AB85" s="46">
        <f t="array" aca="1" ref="AB85" ca="1">IFERROR(IF(INDEX(Historicals!$T41:$BO41,,AB$6+$D85*-1)&lt;&gt;"",INDEX(Historicals!$T41:$BO41,,AB$6+$D85*-1),$F85*AB$46*Historicals!$S41*INDEX($T$44:$BO$44,,AB$6-$D85+1)),0)</f>
        <v>1.5516184314774149</v>
      </c>
      <c r="AC85" s="46">
        <f t="array" aca="1" ref="AC85" ca="1">IFERROR(IF(INDEX(Historicals!$T41:$BO41,,AC$6+$D85*-1)&lt;&gt;"",INDEX(Historicals!$T41:$BO41,,AC$6+$D85*-1),$F85*AC$46*Historicals!$S41*INDEX($T$44:$BO$44,,AC$6-$D85+1)),0)</f>
        <v>0</v>
      </c>
      <c r="AD85" s="46">
        <f t="array" aca="1" ref="AD85" ca="1">IFERROR(IF(INDEX(Historicals!$T41:$BO41,,AD$6+$D85*-1)&lt;&gt;"",INDEX(Historicals!$T41:$BO41,,AD$6+$D85*-1),$F85*AD$46*Historicals!$S41*INDEX($T$44:$BO$44,,AD$6-$D85+1)),0)</f>
        <v>0</v>
      </c>
      <c r="AE85" s="46">
        <f t="array" aca="1" ref="AE85" ca="1">IFERROR(IF(INDEX(Historicals!$T41:$BO41,,AE$6+$D85*-1)&lt;&gt;"",INDEX(Historicals!$T41:$BO41,,AE$6+$D85*-1),$F85*AE$46*Historicals!$S41*INDEX($T$44:$BO$44,,AE$6-$D85+1)),0)</f>
        <v>0.77580921573870743</v>
      </c>
      <c r="AF85" s="46">
        <f t="array" aca="1" ref="AF85" ca="1">IFERROR(IF(INDEX(Historicals!$T41:$BO41,,AF$6+$D85*-1)&lt;&gt;"",INDEX(Historicals!$T41:$BO41,,AF$6+$D85*-1),$F85*AF$46*Historicals!$S41*INDEX($T$44:$BO$44,,AF$6-$D85+1)),0)</f>
        <v>0</v>
      </c>
      <c r="AG85" s="46">
        <f t="array" aca="1" ref="AG85" ca="1">IFERROR(IF(INDEX(Historicals!$T41:$BO41,,AG$6+$D85*-1)&lt;&gt;"",INDEX(Historicals!$T41:$BO41,,AG$6+$D85*-1),$F85*AG$46*Historicals!$S41*INDEX($T$44:$BO$44,,AG$6-$D85+1)),0)</f>
        <v>0</v>
      </c>
      <c r="AH85" s="46">
        <f t="array" aca="1" ref="AH85" ca="1">IFERROR(IF(INDEX(Historicals!$T41:$BO41,,AH$6+$D85*-1)&lt;&gt;"",INDEX(Historicals!$T41:$BO41,,AH$6+$D85*-1),$F85*AH$46*Historicals!$S41*INDEX($T$44:$BO$44,,AH$6-$D85+1)),0)</f>
        <v>0.38790460786935371</v>
      </c>
      <c r="AI85" s="46">
        <f t="array" aca="1" ref="AI85" ca="1">IFERROR(IF(INDEX(Historicals!$T41:$BO41,,AI$6+$D85*-1)&lt;&gt;"",INDEX(Historicals!$T41:$BO41,,AI$6+$D85*-1),$F85*AI$46*Historicals!$S41*INDEX($T$44:$BO$44,,AI$6-$D85+1)),0)</f>
        <v>0</v>
      </c>
      <c r="AJ85" s="46">
        <f t="array" aca="1" ref="AJ85" ca="1">IFERROR(IF(INDEX(Historicals!$T41:$BO41,,AJ$6+$D85*-1)&lt;&gt;"",INDEX(Historicals!$T41:$BO41,,AJ$6+$D85*-1),$F85*AJ$46*Historicals!$S41*INDEX($T$44:$BO$44,,AJ$6-$D85+1)),0)</f>
        <v>0</v>
      </c>
      <c r="AK85" s="46">
        <f t="array" ref="AK85">IFERROR(IF(INDEX(Historicals!$T41:$BO41,,AK$6+$D85*-1)&lt;&gt;"",INDEX(Historicals!$T41:$BO41,,AK$6+$D85*-1),$F85*AK$46*Historicals!$S41*INDEX($T$44:$BO$44,,AK$6-$D85+1)),0)</f>
        <v>0</v>
      </c>
      <c r="AL85" s="46">
        <f t="array" ref="AL85">IFERROR(IF(INDEX(Historicals!$T41:$BO41,,AL$6+$D85*-1)&lt;&gt;"",INDEX(Historicals!$T41:$BO41,,AL$6+$D85*-1),$F85*AL$46*Historicals!$S41*INDEX($T$44:$BO$44,,AL$6-$D85+1)),0)</f>
        <v>0</v>
      </c>
      <c r="AM85" s="46">
        <f t="array" ref="AM85">IFERROR(IF(INDEX(Historicals!$T41:$BO41,,AM$6+$D85*-1)&lt;&gt;"",INDEX(Historicals!$T41:$BO41,,AM$6+$D85*-1),$F85*AM$46*Historicals!$S41*INDEX($T$44:$BO$44,,AM$6-$D85+1)),0)</f>
        <v>0</v>
      </c>
      <c r="AN85" s="46">
        <f t="array" ref="AN85">IFERROR(IF(INDEX(Historicals!$T41:$BO41,,AN$6+$D85*-1)&lt;&gt;"",INDEX(Historicals!$T41:$BO41,,AN$6+$D85*-1),$F85*AN$46*Historicals!$S41*INDEX($T$44:$BO$44,,AN$6-$D85+1)),0)</f>
        <v>0</v>
      </c>
      <c r="AO85" s="46">
        <f t="array" ref="AO85">IFERROR(IF(INDEX(Historicals!$T41:$BO41,,AO$6+$D85*-1)&lt;&gt;"",INDEX(Historicals!$T41:$BO41,,AO$6+$D85*-1),$F85*AO$46*Historicals!$S41*INDEX($T$44:$BO$44,,AO$6-$D85+1)),0)</f>
        <v>0</v>
      </c>
      <c r="AP85" s="46">
        <f t="array" ref="AP85">IFERROR(IF(INDEX(Historicals!$T41:$BO41,,AP$6+$D85*-1)&lt;&gt;"",INDEX(Historicals!$T41:$BO41,,AP$6+$D85*-1),$F85*AP$46*Historicals!$S41*INDEX($T$44:$BO$44,,AP$6-$D85+1)),0)</f>
        <v>0</v>
      </c>
      <c r="AQ85" s="46">
        <f t="array" ref="AQ85">IFERROR(IF(INDEX(Historicals!$T41:$BO41,,AQ$6+$D85*-1)&lt;&gt;"",INDEX(Historicals!$T41:$BO41,,AQ$6+$D85*-1),$F85*AQ$46*Historicals!$S41*INDEX($T$44:$BO$44,,AQ$6-$D85+1)),0)</f>
        <v>0</v>
      </c>
      <c r="AR85" s="46">
        <f t="array" ref="AR85">IFERROR(IF(INDEX(Historicals!$T41:$BO41,,AR$6+$D85*-1)&lt;&gt;"",INDEX(Historicals!$T41:$BO41,,AR$6+$D85*-1),$F85*AR$46*Historicals!$S41*INDEX($T$44:$BO$44,,AR$6-$D85+1)),0)</f>
        <v>0</v>
      </c>
      <c r="AS85" s="46">
        <f t="array" ref="AS85">IFERROR(IF(INDEX(Historicals!$T41:$BO41,,AS$6+$D85*-1)&lt;&gt;"",INDEX(Historicals!$T41:$BO41,,AS$6+$D85*-1),$F85*AS$46*Historicals!$S41*INDEX($T$44:$BO$44,,AS$6-$D85+1)),0)</f>
        <v>0</v>
      </c>
      <c r="AT85" s="46">
        <f t="array" ref="AT85">IFERROR(IF(INDEX(Historicals!$T41:$BO41,,AT$6+$D85*-1)&lt;&gt;"",INDEX(Historicals!$T41:$BO41,,AT$6+$D85*-1),$F85*AT$46*Historicals!$S41*INDEX($T$44:$BO$44,,AT$6-$D85+1)),0)</f>
        <v>0</v>
      </c>
      <c r="AU85" s="46">
        <f t="array" ref="AU85">IFERROR(IF(INDEX(Historicals!$T41:$BO41,,AU$6+$D85*-1)&lt;&gt;"",INDEX(Historicals!$T41:$BO41,,AU$6+$D85*-1),$F85*AU$46*Historicals!$S41*INDEX($T$44:$BO$44,,AU$6-$D85+1)),0)</f>
        <v>0</v>
      </c>
      <c r="AV85" s="46">
        <f t="array" ref="AV85">IFERROR(IF(INDEX(Historicals!$T41:$BO41,,AV$6+$D85*-1)&lt;&gt;"",INDEX(Historicals!$T41:$BO41,,AV$6+$D85*-1),$F85*AV$46*Historicals!$S41*INDEX($T$44:$BO$44,,AV$6-$D85+1)),0)</f>
        <v>0</v>
      </c>
      <c r="AW85" s="46">
        <f t="array" ref="AW85">IFERROR(IF(INDEX(Historicals!$T41:$BO41,,AW$6+$D85*-1)&lt;&gt;"",INDEX(Historicals!$T41:$BO41,,AW$6+$D85*-1),$F85*AW$46*Historicals!$S41*INDEX($T$44:$BO$44,,AW$6-$D85+1)),0)</f>
        <v>0</v>
      </c>
      <c r="AX85" s="46">
        <f t="array" ref="AX85">IFERROR(IF(INDEX(Historicals!$T41:$BO41,,AX$6+$D85*-1)&lt;&gt;"",INDEX(Historicals!$T41:$BO41,,AX$6+$D85*-1),$F85*AX$46*Historicals!$S41*INDEX($T$44:$BO$44,,AX$6-$D85+1)),0)</f>
        <v>0</v>
      </c>
      <c r="AY85" s="46">
        <f t="array" ref="AY85">IFERROR(IF(INDEX(Historicals!$T41:$BO41,,AY$6+$D85*-1)&lt;&gt;"",INDEX(Historicals!$T41:$BO41,,AY$6+$D85*-1),$F85*AY$46*Historicals!$S41*INDEX($T$44:$BO$44,,AY$6-$D85+1)),0)</f>
        <v>0</v>
      </c>
      <c r="AZ85" s="46">
        <f t="array" ref="AZ85">IFERROR(IF(INDEX(Historicals!$T41:$BO41,,AZ$6+$D85*-1)&lt;&gt;"",INDEX(Historicals!$T41:$BO41,,AZ$6+$D85*-1),$F85*AZ$46*Historicals!$S41*INDEX($T$44:$BO$44,,AZ$6-$D85+1)),0)</f>
        <v>0</v>
      </c>
      <c r="BA85" s="46">
        <f t="array" ref="BA85">IFERROR(IF(INDEX(Historicals!$T41:$BO41,,BA$6+$D85*-1)&lt;&gt;"",INDEX(Historicals!$T41:$BO41,,BA$6+$D85*-1),$F85*BA$46*Historicals!$S41*INDEX($T$44:$BO$44,,BA$6-$D85+1)),0)</f>
        <v>0</v>
      </c>
      <c r="BB85" s="46">
        <f t="array" ref="BB85">IFERROR(IF(INDEX(Historicals!$T41:$BO41,,BB$6+$D85*-1)&lt;&gt;"",INDEX(Historicals!$T41:$BO41,,BB$6+$D85*-1),$F85*BB$46*Historicals!$S41*INDEX($T$44:$BO$44,,BB$6-$D85+1)),0)</f>
        <v>0</v>
      </c>
      <c r="BC85" s="46">
        <f t="array" ref="BC85">IFERROR(IF(INDEX(Historicals!$T41:$BO41,,BC$6+$D85*-1)&lt;&gt;"",INDEX(Historicals!$T41:$BO41,,BC$6+$D85*-1),$F85*BC$46*Historicals!$S41*INDEX($T$44:$BO$44,,BC$6-$D85+1)),0)</f>
        <v>0</v>
      </c>
      <c r="BD85" s="46">
        <f t="array" ref="BD85">IFERROR(IF(INDEX(Historicals!$T41:$BO41,,BD$6+$D85*-1)&lt;&gt;"",INDEX(Historicals!$T41:$BO41,,BD$6+$D85*-1),$F85*BD$46*Historicals!$S41*INDEX($T$44:$BO$44,,BD$6-$D85+1)),0)</f>
        <v>0</v>
      </c>
      <c r="BE85" s="46">
        <f t="array" ref="BE85">IFERROR(IF(INDEX(Historicals!$T41:$BO41,,BE$6+$D85*-1)&lt;&gt;"",INDEX(Historicals!$T41:$BO41,,BE$6+$D85*-1),$F85*BE$46*Historicals!$S41*INDEX($T$44:$BO$44,,BE$6-$D85+1)),0)</f>
        <v>0</v>
      </c>
      <c r="BF85" s="46">
        <f t="array" ref="BF85">IFERROR(IF(INDEX(Historicals!$T41:$BO41,,BF$6+$D85*-1)&lt;&gt;"",INDEX(Historicals!$T41:$BO41,,BF$6+$D85*-1),$F85*BF$46*Historicals!$S41*INDEX($T$44:$BO$44,,BF$6-$D85+1)),0)</f>
        <v>0</v>
      </c>
      <c r="BG85" s="46">
        <f t="array" ref="BG85">IFERROR(IF(INDEX(Historicals!$T41:$BO41,,BG$6+$D85*-1)&lt;&gt;"",INDEX(Historicals!$T41:$BO41,,BG$6+$D85*-1),$F85*BG$46*Historicals!$S41*INDEX($T$44:$BO$44,,BG$6-$D85+1)),0)</f>
        <v>0</v>
      </c>
      <c r="BH85" s="46">
        <f t="array" ref="BH85">IFERROR(IF(INDEX(Historicals!$T41:$BO41,,BH$6+$D85*-1)&lt;&gt;"",INDEX(Historicals!$T41:$BO41,,BH$6+$D85*-1),$F85*BH$46*Historicals!$S41*INDEX($T$44:$BO$44,,BH$6-$D85+1)),0)</f>
        <v>0</v>
      </c>
      <c r="BI85" s="46">
        <f t="array" ref="BI85">IFERROR(IF(INDEX(Historicals!$T41:$BO41,,BI$6+$D85*-1)&lt;&gt;"",INDEX(Historicals!$T41:$BO41,,BI$6+$D85*-1),$F85*BI$46*Historicals!$S41*INDEX($T$44:$BO$44,,BI$6-$D85+1)),0)</f>
        <v>0</v>
      </c>
      <c r="BJ85" s="46">
        <f t="array" ref="BJ85">IFERROR(IF(INDEX(Historicals!$T41:$BO41,,BJ$6+$D85*-1)&lt;&gt;"",INDEX(Historicals!$T41:$BO41,,BJ$6+$D85*-1),$F85*BJ$46*Historicals!$S41*INDEX($T$44:$BO$44,,BJ$6-$D85+1)),0)</f>
        <v>0</v>
      </c>
      <c r="BK85" s="46">
        <f t="array" ref="BK85">IFERROR(IF(INDEX(Historicals!$T41:$BO41,,BK$6+$D85*-1)&lt;&gt;"",INDEX(Historicals!$T41:$BO41,,BK$6+$D85*-1),$F85*BK$46*Historicals!$S41*INDEX($T$44:$BO$44,,BK$6-$D85+1)),0)</f>
        <v>0</v>
      </c>
      <c r="BL85" s="46">
        <f t="array" ref="BL85">IFERROR(IF(INDEX(Historicals!$T41:$BO41,,BL$6+$D85*-1)&lt;&gt;"",INDEX(Historicals!$T41:$BO41,,BL$6+$D85*-1),$F85*BL$46*Historicals!$S41*INDEX($T$44:$BO$44,,BL$6-$D85+1)),0)</f>
        <v>0</v>
      </c>
      <c r="BM85" s="46">
        <f t="array" ref="BM85">IFERROR(IF(INDEX(Historicals!$T41:$BO41,,BM$6+$D85*-1)&lt;&gt;"",INDEX(Historicals!$T41:$BO41,,BM$6+$D85*-1),$F85*BM$46*Historicals!$S41*INDEX($T$44:$BO$44,,BM$6-$D85+1)),0)</f>
        <v>0</v>
      </c>
      <c r="BN85" s="46">
        <f t="array" ref="BN85">IFERROR(IF(INDEX(Historicals!$T41:$BO41,,BN$6+$D85*-1)&lt;&gt;"",INDEX(Historicals!$T41:$BO41,,BN$6+$D85*-1),$F85*BN$46*Historicals!$S41*INDEX($T$44:$BO$44,,BN$6-$D85+1)),0)</f>
        <v>0</v>
      </c>
      <c r="BO85" s="46">
        <f t="array" ref="BO85">IFERROR(IF(INDEX(Historicals!$T41:$BO41,,BO$6+$D85*-1)&lt;&gt;"",INDEX(Historicals!$T41:$BO41,,BO$6+$D85*-1),$F85*BO$46*Historicals!$S41*INDEX($T$44:$BO$44,,BO$6-$D85+1)),0)</f>
        <v>0</v>
      </c>
    </row>
    <row r="86" spans="1:67" ht="16.5" hidden="1" customHeight="1" outlineLevel="1">
      <c r="A86" s="1"/>
      <c r="B86" s="55">
        <f t="shared" si="19"/>
        <v>45136</v>
      </c>
      <c r="C86" s="17" t="s">
        <v>104</v>
      </c>
      <c r="D86" s="46">
        <f t="shared" si="20"/>
        <v>-17</v>
      </c>
      <c r="E86" s="16"/>
      <c r="F86" s="51">
        <v>1</v>
      </c>
      <c r="G86" s="16" t="s">
        <v>159</v>
      </c>
      <c r="H86" s="16" t="s">
        <v>155</v>
      </c>
      <c r="I86" s="46">
        <f ca="1">IF(H86=Forecast!$H$195,T86,IF(H86=Forecast!$H$196,BO86,IF(H86=Forecast!$H$197,SUM(T86:BO86),IF(H86=Forecast!$H$198,AVERAGE(T86:BO86),0))))</f>
        <v>31.488405694627946</v>
      </c>
      <c r="J86" s="16"/>
      <c r="K86" s="16"/>
      <c r="L86" s="16"/>
      <c r="M86" s="16"/>
      <c r="N86" s="16"/>
      <c r="O86" s="16"/>
      <c r="P86" s="16"/>
      <c r="Q86" s="16"/>
      <c r="R86" s="16"/>
      <c r="S86" s="16"/>
      <c r="T86" s="46">
        <f t="array" ref="T86">IFERROR(IF(INDEX(Historicals!$T42:$BO42,,T$6+$D86*-1)&lt;&gt;"",INDEX(Historicals!$T42:$BO42,,T$6+$D86*-1),$F86*T$46*Historicals!$S42*INDEX($T$44:$BO$44,,T$6-$D86+1)),0)</f>
        <v>18.830465858891142</v>
      </c>
      <c r="U86" s="46">
        <f t="array" aca="1" ref="U86" ca="1">IFERROR(IF(INDEX(Historicals!$T42:$BO42,,U$6+$D86*-1)&lt;&gt;"",INDEX(Historicals!$T42:$BO42,,U$6+$D86*-1),$F86*U$46*Historicals!$S42*INDEX($T$44:$BO$44,,U$6-$D86+1)),0)</f>
        <v>0</v>
      </c>
      <c r="V86" s="46">
        <f t="array" aca="1" ref="V86" ca="1">IFERROR(IF(INDEX(Historicals!$T42:$BO42,,V$6+$D86*-1)&lt;&gt;"",INDEX(Historicals!$T42:$BO42,,V$6+$D86*-1),$F86*V$46*Historicals!$S42*INDEX($T$44:$BO$44,,V$6-$D86+1)),0)</f>
        <v>0</v>
      </c>
      <c r="W86" s="46">
        <f t="array" aca="1" ref="W86" ca="1">IFERROR(IF(INDEX(Historicals!$T42:$BO42,,W$6+$D86*-1)&lt;&gt;"",INDEX(Historicals!$T42:$BO42,,W$6+$D86*-1),$F86*W$46*Historicals!$S42*INDEX($T$44:$BO$44,,W$6-$D86+1)),0)</f>
        <v>6.5331302377996421</v>
      </c>
      <c r="X86" s="46">
        <f t="array" aca="1" ref="X86" ca="1">IFERROR(IF(INDEX(Historicals!$T42:$BO42,,X$6+$D86*-1)&lt;&gt;"",INDEX(Historicals!$T42:$BO42,,X$6+$D86*-1),$F86*X$46*Historicals!$S42*INDEX($T$44:$BO$44,,X$6-$D86+1)),0)</f>
        <v>0</v>
      </c>
      <c r="Y86" s="46">
        <f t="array" aca="1" ref="Y86" ca="1">IFERROR(IF(INDEX(Historicals!$T42:$BO42,,Y$6+$D86*-1)&lt;&gt;"",INDEX(Historicals!$T42:$BO42,,Y$6+$D86*-1),$F86*Y$46*Historicals!$S42*INDEX($T$44:$BO$44,,Y$6-$D86+1)),0)</f>
        <v>0</v>
      </c>
      <c r="Z86" s="46">
        <f t="array" aca="1" ref="Z86" ca="1">IFERROR(IF(INDEX(Historicals!$T42:$BO42,,Z$6+$D86*-1)&lt;&gt;"",INDEX(Historicals!$T42:$BO42,,Z$6+$D86*-1),$F86*Z$46*Historicals!$S42*INDEX($T$44:$BO$44,,Z$6-$D86+1)),0)</f>
        <v>3.266565118899821</v>
      </c>
      <c r="AA86" s="46">
        <f t="array" aca="1" ref="AA86" ca="1">IFERROR(IF(INDEX(Historicals!$T42:$BO42,,AA$6+$D86*-1)&lt;&gt;"",INDEX(Historicals!$T42:$BO42,,AA$6+$D86*-1),$F86*AA$46*Historicals!$S42*INDEX($T$44:$BO$44,,AA$6-$D86+1)),0)</f>
        <v>0</v>
      </c>
      <c r="AB86" s="46">
        <f t="array" aca="1" ref="AB86" ca="1">IFERROR(IF(INDEX(Historicals!$T42:$BO42,,AB$6+$D86*-1)&lt;&gt;"",INDEX(Historicals!$T42:$BO42,,AB$6+$D86*-1),$F86*AB$46*Historicals!$S42*INDEX($T$44:$BO$44,,AB$6-$D86+1)),0)</f>
        <v>0</v>
      </c>
      <c r="AC86" s="46">
        <f t="array" aca="1" ref="AC86" ca="1">IFERROR(IF(INDEX(Historicals!$T42:$BO42,,AC$6+$D86*-1)&lt;&gt;"",INDEX(Historicals!$T42:$BO42,,AC$6+$D86*-1),$F86*AC$46*Historicals!$S42*INDEX($T$44:$BO$44,,AC$6-$D86+1)),0)</f>
        <v>1.6332825594499105</v>
      </c>
      <c r="AD86" s="46">
        <f t="array" aca="1" ref="AD86" ca="1">IFERROR(IF(INDEX(Historicals!$T42:$BO42,,AD$6+$D86*-1)&lt;&gt;"",INDEX(Historicals!$T42:$BO42,,AD$6+$D86*-1),$F86*AD$46*Historicals!$S42*INDEX($T$44:$BO$44,,AD$6-$D86+1)),0)</f>
        <v>0</v>
      </c>
      <c r="AE86" s="46">
        <f t="array" aca="1" ref="AE86" ca="1">IFERROR(IF(INDEX(Historicals!$T42:$BO42,,AE$6+$D86*-1)&lt;&gt;"",INDEX(Historicals!$T42:$BO42,,AE$6+$D86*-1),$F86*AE$46*Historicals!$S42*INDEX($T$44:$BO$44,,AE$6-$D86+1)),0)</f>
        <v>0</v>
      </c>
      <c r="AF86" s="46">
        <f t="array" aca="1" ref="AF86" ca="1">IFERROR(IF(INDEX(Historicals!$T42:$BO42,,AF$6+$D86*-1)&lt;&gt;"",INDEX(Historicals!$T42:$BO42,,AF$6+$D86*-1),$F86*AF$46*Historicals!$S42*INDEX($T$44:$BO$44,,AF$6-$D86+1)),0)</f>
        <v>0.81664127972495526</v>
      </c>
      <c r="AG86" s="46">
        <f t="array" aca="1" ref="AG86" ca="1">IFERROR(IF(INDEX(Historicals!$T42:$BO42,,AG$6+$D86*-1)&lt;&gt;"",INDEX(Historicals!$T42:$BO42,,AG$6+$D86*-1),$F86*AG$46*Historicals!$S42*INDEX($T$44:$BO$44,,AG$6-$D86+1)),0)</f>
        <v>0</v>
      </c>
      <c r="AH86" s="46">
        <f t="array" aca="1" ref="AH86" ca="1">IFERROR(IF(INDEX(Historicals!$T42:$BO42,,AH$6+$D86*-1)&lt;&gt;"",INDEX(Historicals!$T42:$BO42,,AH$6+$D86*-1),$F86*AH$46*Historicals!$S42*INDEX($T$44:$BO$44,,AH$6-$D86+1)),0)</f>
        <v>0</v>
      </c>
      <c r="AI86" s="46">
        <f t="array" aca="1" ref="AI86" ca="1">IFERROR(IF(INDEX(Historicals!$T42:$BO42,,AI$6+$D86*-1)&lt;&gt;"",INDEX(Historicals!$T42:$BO42,,AI$6+$D86*-1),$F86*AI$46*Historicals!$S42*INDEX($T$44:$BO$44,,AI$6-$D86+1)),0)</f>
        <v>0.40832063986247763</v>
      </c>
      <c r="AJ86" s="46">
        <f t="array" aca="1" ref="AJ86" ca="1">IFERROR(IF(INDEX(Historicals!$T42:$BO42,,AJ$6+$D86*-1)&lt;&gt;"",INDEX(Historicals!$T42:$BO42,,AJ$6+$D86*-1),$F86*AJ$46*Historicals!$S42*INDEX($T$44:$BO$44,,AJ$6-$D86+1)),0)</f>
        <v>0</v>
      </c>
      <c r="AK86" s="46">
        <f t="array" aca="1" ref="AK86" ca="1">IFERROR(IF(INDEX(Historicals!$T42:$BO42,,AK$6+$D86*-1)&lt;&gt;"",INDEX(Historicals!$T42:$BO42,,AK$6+$D86*-1),$F86*AK$46*Historicals!$S42*INDEX($T$44:$BO$44,,AK$6-$D86+1)),0)</f>
        <v>0</v>
      </c>
      <c r="AL86" s="46">
        <f t="array" ref="AL86">IFERROR(IF(INDEX(Historicals!$T42:$BO42,,AL$6+$D86*-1)&lt;&gt;"",INDEX(Historicals!$T42:$BO42,,AL$6+$D86*-1),$F86*AL$46*Historicals!$S42*INDEX($T$44:$BO$44,,AL$6-$D86+1)),0)</f>
        <v>0</v>
      </c>
      <c r="AM86" s="46">
        <f t="array" ref="AM86">IFERROR(IF(INDEX(Historicals!$T42:$BO42,,AM$6+$D86*-1)&lt;&gt;"",INDEX(Historicals!$T42:$BO42,,AM$6+$D86*-1),$F86*AM$46*Historicals!$S42*INDEX($T$44:$BO$44,,AM$6-$D86+1)),0)</f>
        <v>0</v>
      </c>
      <c r="AN86" s="46">
        <f t="array" ref="AN86">IFERROR(IF(INDEX(Historicals!$T42:$BO42,,AN$6+$D86*-1)&lt;&gt;"",INDEX(Historicals!$T42:$BO42,,AN$6+$D86*-1),$F86*AN$46*Historicals!$S42*INDEX($T$44:$BO$44,,AN$6-$D86+1)),0)</f>
        <v>0</v>
      </c>
      <c r="AO86" s="46">
        <f t="array" ref="AO86">IFERROR(IF(INDEX(Historicals!$T42:$BO42,,AO$6+$D86*-1)&lt;&gt;"",INDEX(Historicals!$T42:$BO42,,AO$6+$D86*-1),$F86*AO$46*Historicals!$S42*INDEX($T$44:$BO$44,,AO$6-$D86+1)),0)</f>
        <v>0</v>
      </c>
      <c r="AP86" s="46">
        <f t="array" ref="AP86">IFERROR(IF(INDEX(Historicals!$T42:$BO42,,AP$6+$D86*-1)&lt;&gt;"",INDEX(Historicals!$T42:$BO42,,AP$6+$D86*-1),$F86*AP$46*Historicals!$S42*INDEX($T$44:$BO$44,,AP$6-$D86+1)),0)</f>
        <v>0</v>
      </c>
      <c r="AQ86" s="46">
        <f t="array" ref="AQ86">IFERROR(IF(INDEX(Historicals!$T42:$BO42,,AQ$6+$D86*-1)&lt;&gt;"",INDEX(Historicals!$T42:$BO42,,AQ$6+$D86*-1),$F86*AQ$46*Historicals!$S42*INDEX($T$44:$BO$44,,AQ$6-$D86+1)),0)</f>
        <v>0</v>
      </c>
      <c r="AR86" s="46">
        <f t="array" ref="AR86">IFERROR(IF(INDEX(Historicals!$T42:$BO42,,AR$6+$D86*-1)&lt;&gt;"",INDEX(Historicals!$T42:$BO42,,AR$6+$D86*-1),$F86*AR$46*Historicals!$S42*INDEX($T$44:$BO$44,,AR$6-$D86+1)),0)</f>
        <v>0</v>
      </c>
      <c r="AS86" s="46">
        <f t="array" ref="AS86">IFERROR(IF(INDEX(Historicals!$T42:$BO42,,AS$6+$D86*-1)&lt;&gt;"",INDEX(Historicals!$T42:$BO42,,AS$6+$D86*-1),$F86*AS$46*Historicals!$S42*INDEX($T$44:$BO$44,,AS$6-$D86+1)),0)</f>
        <v>0</v>
      </c>
      <c r="AT86" s="46">
        <f t="array" ref="AT86">IFERROR(IF(INDEX(Historicals!$T42:$BO42,,AT$6+$D86*-1)&lt;&gt;"",INDEX(Historicals!$T42:$BO42,,AT$6+$D86*-1),$F86*AT$46*Historicals!$S42*INDEX($T$44:$BO$44,,AT$6-$D86+1)),0)</f>
        <v>0</v>
      </c>
      <c r="AU86" s="46">
        <f t="array" ref="AU86">IFERROR(IF(INDEX(Historicals!$T42:$BO42,,AU$6+$D86*-1)&lt;&gt;"",INDEX(Historicals!$T42:$BO42,,AU$6+$D86*-1),$F86*AU$46*Historicals!$S42*INDEX($T$44:$BO$44,,AU$6-$D86+1)),0)</f>
        <v>0</v>
      </c>
      <c r="AV86" s="46">
        <f t="array" ref="AV86">IFERROR(IF(INDEX(Historicals!$T42:$BO42,,AV$6+$D86*-1)&lt;&gt;"",INDEX(Historicals!$T42:$BO42,,AV$6+$D86*-1),$F86*AV$46*Historicals!$S42*INDEX($T$44:$BO$44,,AV$6-$D86+1)),0)</f>
        <v>0</v>
      </c>
      <c r="AW86" s="46">
        <f t="array" ref="AW86">IFERROR(IF(INDEX(Historicals!$T42:$BO42,,AW$6+$D86*-1)&lt;&gt;"",INDEX(Historicals!$T42:$BO42,,AW$6+$D86*-1),$F86*AW$46*Historicals!$S42*INDEX($T$44:$BO$44,,AW$6-$D86+1)),0)</f>
        <v>0</v>
      </c>
      <c r="AX86" s="46">
        <f t="array" ref="AX86">IFERROR(IF(INDEX(Historicals!$T42:$BO42,,AX$6+$D86*-1)&lt;&gt;"",INDEX(Historicals!$T42:$BO42,,AX$6+$D86*-1),$F86*AX$46*Historicals!$S42*INDEX($T$44:$BO$44,,AX$6-$D86+1)),0)</f>
        <v>0</v>
      </c>
      <c r="AY86" s="46">
        <f t="array" ref="AY86">IFERROR(IF(INDEX(Historicals!$T42:$BO42,,AY$6+$D86*-1)&lt;&gt;"",INDEX(Historicals!$T42:$BO42,,AY$6+$D86*-1),$F86*AY$46*Historicals!$S42*INDEX($T$44:$BO$44,,AY$6-$D86+1)),0)</f>
        <v>0</v>
      </c>
      <c r="AZ86" s="46">
        <f t="array" ref="AZ86">IFERROR(IF(INDEX(Historicals!$T42:$BO42,,AZ$6+$D86*-1)&lt;&gt;"",INDEX(Historicals!$T42:$BO42,,AZ$6+$D86*-1),$F86*AZ$46*Historicals!$S42*INDEX($T$44:$BO$44,,AZ$6-$D86+1)),0)</f>
        <v>0</v>
      </c>
      <c r="BA86" s="46">
        <f t="array" ref="BA86">IFERROR(IF(INDEX(Historicals!$T42:$BO42,,BA$6+$D86*-1)&lt;&gt;"",INDEX(Historicals!$T42:$BO42,,BA$6+$D86*-1),$F86*BA$46*Historicals!$S42*INDEX($T$44:$BO$44,,BA$6-$D86+1)),0)</f>
        <v>0</v>
      </c>
      <c r="BB86" s="46">
        <f t="array" ref="BB86">IFERROR(IF(INDEX(Historicals!$T42:$BO42,,BB$6+$D86*-1)&lt;&gt;"",INDEX(Historicals!$T42:$BO42,,BB$6+$D86*-1),$F86*BB$46*Historicals!$S42*INDEX($T$44:$BO$44,,BB$6-$D86+1)),0)</f>
        <v>0</v>
      </c>
      <c r="BC86" s="46">
        <f t="array" ref="BC86">IFERROR(IF(INDEX(Historicals!$T42:$BO42,,BC$6+$D86*-1)&lt;&gt;"",INDEX(Historicals!$T42:$BO42,,BC$6+$D86*-1),$F86*BC$46*Historicals!$S42*INDEX($T$44:$BO$44,,BC$6-$D86+1)),0)</f>
        <v>0</v>
      </c>
      <c r="BD86" s="46">
        <f t="array" ref="BD86">IFERROR(IF(INDEX(Historicals!$T42:$BO42,,BD$6+$D86*-1)&lt;&gt;"",INDEX(Historicals!$T42:$BO42,,BD$6+$D86*-1),$F86*BD$46*Historicals!$S42*INDEX($T$44:$BO$44,,BD$6-$D86+1)),0)</f>
        <v>0</v>
      </c>
      <c r="BE86" s="46">
        <f t="array" ref="BE86">IFERROR(IF(INDEX(Historicals!$T42:$BO42,,BE$6+$D86*-1)&lt;&gt;"",INDEX(Historicals!$T42:$BO42,,BE$6+$D86*-1),$F86*BE$46*Historicals!$S42*INDEX($T$44:$BO$44,,BE$6-$D86+1)),0)</f>
        <v>0</v>
      </c>
      <c r="BF86" s="46">
        <f t="array" ref="BF86">IFERROR(IF(INDEX(Historicals!$T42:$BO42,,BF$6+$D86*-1)&lt;&gt;"",INDEX(Historicals!$T42:$BO42,,BF$6+$D86*-1),$F86*BF$46*Historicals!$S42*INDEX($T$44:$BO$44,,BF$6-$D86+1)),0)</f>
        <v>0</v>
      </c>
      <c r="BG86" s="46">
        <f t="array" ref="BG86">IFERROR(IF(INDEX(Historicals!$T42:$BO42,,BG$6+$D86*-1)&lt;&gt;"",INDEX(Historicals!$T42:$BO42,,BG$6+$D86*-1),$F86*BG$46*Historicals!$S42*INDEX($T$44:$BO$44,,BG$6-$D86+1)),0)</f>
        <v>0</v>
      </c>
      <c r="BH86" s="46">
        <f t="array" ref="BH86">IFERROR(IF(INDEX(Historicals!$T42:$BO42,,BH$6+$D86*-1)&lt;&gt;"",INDEX(Historicals!$T42:$BO42,,BH$6+$D86*-1),$F86*BH$46*Historicals!$S42*INDEX($T$44:$BO$44,,BH$6-$D86+1)),0)</f>
        <v>0</v>
      </c>
      <c r="BI86" s="46">
        <f t="array" ref="BI86">IFERROR(IF(INDEX(Historicals!$T42:$BO42,,BI$6+$D86*-1)&lt;&gt;"",INDEX(Historicals!$T42:$BO42,,BI$6+$D86*-1),$F86*BI$46*Historicals!$S42*INDEX($T$44:$BO$44,,BI$6-$D86+1)),0)</f>
        <v>0</v>
      </c>
      <c r="BJ86" s="46">
        <f t="array" ref="BJ86">IFERROR(IF(INDEX(Historicals!$T42:$BO42,,BJ$6+$D86*-1)&lt;&gt;"",INDEX(Historicals!$T42:$BO42,,BJ$6+$D86*-1),$F86*BJ$46*Historicals!$S42*INDEX($T$44:$BO$44,,BJ$6-$D86+1)),0)</f>
        <v>0</v>
      </c>
      <c r="BK86" s="46">
        <f t="array" ref="BK86">IFERROR(IF(INDEX(Historicals!$T42:$BO42,,BK$6+$D86*-1)&lt;&gt;"",INDEX(Historicals!$T42:$BO42,,BK$6+$D86*-1),$F86*BK$46*Historicals!$S42*INDEX($T$44:$BO$44,,BK$6-$D86+1)),0)</f>
        <v>0</v>
      </c>
      <c r="BL86" s="46">
        <f t="array" ref="BL86">IFERROR(IF(INDEX(Historicals!$T42:$BO42,,BL$6+$D86*-1)&lt;&gt;"",INDEX(Historicals!$T42:$BO42,,BL$6+$D86*-1),$F86*BL$46*Historicals!$S42*INDEX($T$44:$BO$44,,BL$6-$D86+1)),0)</f>
        <v>0</v>
      </c>
      <c r="BM86" s="46">
        <f t="array" ref="BM86">IFERROR(IF(INDEX(Historicals!$T42:$BO42,,BM$6+$D86*-1)&lt;&gt;"",INDEX(Historicals!$T42:$BO42,,BM$6+$D86*-1),$F86*BM$46*Historicals!$S42*INDEX($T$44:$BO$44,,BM$6-$D86+1)),0)</f>
        <v>0</v>
      </c>
      <c r="BN86" s="46">
        <f t="array" ref="BN86">IFERROR(IF(INDEX(Historicals!$T42:$BO42,,BN$6+$D86*-1)&lt;&gt;"",INDEX(Historicals!$T42:$BO42,,BN$6+$D86*-1),$F86*BN$46*Historicals!$S42*INDEX($T$44:$BO$44,,BN$6-$D86+1)),0)</f>
        <v>0</v>
      </c>
      <c r="BO86" s="46">
        <f t="array" ref="BO86">IFERROR(IF(INDEX(Historicals!$T42:$BO42,,BO$6+$D86*-1)&lt;&gt;"",INDEX(Historicals!$T42:$BO42,,BO$6+$D86*-1),$F86*BO$46*Historicals!$S42*INDEX($T$44:$BO$44,,BO$6-$D86+1)),0)</f>
        <v>0</v>
      </c>
    </row>
    <row r="87" spans="1:67" ht="16.5" hidden="1" customHeight="1" outlineLevel="1">
      <c r="A87" s="1"/>
      <c r="B87" s="55">
        <f t="shared" si="19"/>
        <v>45167</v>
      </c>
      <c r="C87" s="17" t="s">
        <v>104</v>
      </c>
      <c r="D87" s="46">
        <f t="shared" si="20"/>
        <v>-16</v>
      </c>
      <c r="E87" s="16"/>
      <c r="F87" s="51">
        <v>1</v>
      </c>
      <c r="G87" s="16" t="s">
        <v>159</v>
      </c>
      <c r="H87" s="16" t="s">
        <v>155</v>
      </c>
      <c r="I87" s="46">
        <f ca="1">IF(H87=Forecast!$H$195,T87,IF(H87=Forecast!$H$196,BO87,IF(H87=Forecast!$H$197,SUM(T87:BO87),IF(H87=Forecast!$H$198,AVERAGE(T87:BO87),0))))</f>
        <v>51.855034352578976</v>
      </c>
      <c r="J87" s="16"/>
      <c r="K87" s="16"/>
      <c r="L87" s="16"/>
      <c r="M87" s="16"/>
      <c r="N87" s="16"/>
      <c r="O87" s="16"/>
      <c r="P87" s="16"/>
      <c r="Q87" s="16"/>
      <c r="R87" s="16"/>
      <c r="S87" s="16"/>
      <c r="T87" s="46">
        <f t="array" ref="T87">IFERROR(IF(INDEX(Historicals!$T43:$BO43,,T$6+$D87*-1)&lt;&gt;"",INDEX(Historicals!$T43:$BO43,,T$6+$D87*-1),$F87*T$46*Historicals!$S43*INDEX($T$44:$BO$44,,T$6-$D87+1)),0)</f>
        <v>24.77692876169888</v>
      </c>
      <c r="U87" s="46">
        <f t="array" aca="1" ref="U87" ca="1">IFERROR(IF(INDEX(Historicals!$T43:$BO43,,U$6+$D87*-1)&lt;&gt;"",INDEX(Historicals!$T43:$BO43,,U$6+$D87*-1),$F87*U$46*Historicals!$S43*INDEX($T$44:$BO$44,,U$6-$D87+1)),0)</f>
        <v>13.753958395367668</v>
      </c>
      <c r="V87" s="46">
        <f t="array" aca="1" ref="V87" ca="1">IFERROR(IF(INDEX(Historicals!$T43:$BO43,,V$6+$D87*-1)&lt;&gt;"",INDEX(Historicals!$T43:$BO43,,V$6+$D87*-1),$F87*V$46*Historicals!$S43*INDEX($T$44:$BO$44,,V$6-$D87+1)),0)</f>
        <v>0</v>
      </c>
      <c r="W87" s="46">
        <f t="array" aca="1" ref="W87" ca="1">IFERROR(IF(INDEX(Historicals!$T43:$BO43,,W$6+$D87*-1)&lt;&gt;"",INDEX(Historicals!$T43:$BO43,,W$6+$D87*-1),$F87*W$46*Historicals!$S43*INDEX($T$44:$BO$44,,W$6-$D87+1)),0)</f>
        <v>0</v>
      </c>
      <c r="X87" s="46">
        <f t="array" aca="1" ref="X87" ca="1">IFERROR(IF(INDEX(Historicals!$T43:$BO43,,X$6+$D87*-1)&lt;&gt;"",INDEX(Historicals!$T43:$BO43,,X$6+$D87*-1),$F87*X$46*Historicals!$S43*INDEX($T$44:$BO$44,,X$6-$D87+1)),0)</f>
        <v>6.8769791976838341</v>
      </c>
      <c r="Y87" s="46">
        <f t="array" aca="1" ref="Y87" ca="1">IFERROR(IF(INDEX(Historicals!$T43:$BO43,,Y$6+$D87*-1)&lt;&gt;"",INDEX(Historicals!$T43:$BO43,,Y$6+$D87*-1),$F87*Y$46*Historicals!$S43*INDEX($T$44:$BO$44,,Y$6-$D87+1)),0)</f>
        <v>0</v>
      </c>
      <c r="Z87" s="46">
        <f t="array" aca="1" ref="Z87" ca="1">IFERROR(IF(INDEX(Historicals!$T43:$BO43,,Z$6+$D87*-1)&lt;&gt;"",INDEX(Historicals!$T43:$BO43,,Z$6+$D87*-1),$F87*Z$46*Historicals!$S43*INDEX($T$44:$BO$44,,Z$6-$D87+1)),0)</f>
        <v>0</v>
      </c>
      <c r="AA87" s="46">
        <f t="array" aca="1" ref="AA87" ca="1">IFERROR(IF(INDEX(Historicals!$T43:$BO43,,AA$6+$D87*-1)&lt;&gt;"",INDEX(Historicals!$T43:$BO43,,AA$6+$D87*-1),$F87*AA$46*Historicals!$S43*INDEX($T$44:$BO$44,,AA$6-$D87+1)),0)</f>
        <v>3.4384895988419171</v>
      </c>
      <c r="AB87" s="46">
        <f t="array" aca="1" ref="AB87" ca="1">IFERROR(IF(INDEX(Historicals!$T43:$BO43,,AB$6+$D87*-1)&lt;&gt;"",INDEX(Historicals!$T43:$BO43,,AB$6+$D87*-1),$F87*AB$46*Historicals!$S43*INDEX($T$44:$BO$44,,AB$6-$D87+1)),0)</f>
        <v>0</v>
      </c>
      <c r="AC87" s="46">
        <f t="array" aca="1" ref="AC87" ca="1">IFERROR(IF(INDEX(Historicals!$T43:$BO43,,AC$6+$D87*-1)&lt;&gt;"",INDEX(Historicals!$T43:$BO43,,AC$6+$D87*-1),$F87*AC$46*Historicals!$S43*INDEX($T$44:$BO$44,,AC$6-$D87+1)),0)</f>
        <v>0</v>
      </c>
      <c r="AD87" s="46">
        <f t="array" aca="1" ref="AD87" ca="1">IFERROR(IF(INDEX(Historicals!$T43:$BO43,,AD$6+$D87*-1)&lt;&gt;"",INDEX(Historicals!$T43:$BO43,,AD$6+$D87*-1),$F87*AD$46*Historicals!$S43*INDEX($T$44:$BO$44,,AD$6-$D87+1)),0)</f>
        <v>1.7192447994209585</v>
      </c>
      <c r="AE87" s="46">
        <f t="array" aca="1" ref="AE87" ca="1">IFERROR(IF(INDEX(Historicals!$T43:$BO43,,AE$6+$D87*-1)&lt;&gt;"",INDEX(Historicals!$T43:$BO43,,AE$6+$D87*-1),$F87*AE$46*Historicals!$S43*INDEX($T$44:$BO$44,,AE$6-$D87+1)),0)</f>
        <v>0</v>
      </c>
      <c r="AF87" s="46">
        <f t="array" aca="1" ref="AF87" ca="1">IFERROR(IF(INDEX(Historicals!$T43:$BO43,,AF$6+$D87*-1)&lt;&gt;"",INDEX(Historicals!$T43:$BO43,,AF$6+$D87*-1),$F87*AF$46*Historicals!$S43*INDEX($T$44:$BO$44,,AF$6-$D87+1)),0)</f>
        <v>0</v>
      </c>
      <c r="AG87" s="46">
        <f t="array" aca="1" ref="AG87" ca="1">IFERROR(IF(INDEX(Historicals!$T43:$BO43,,AG$6+$D87*-1)&lt;&gt;"",INDEX(Historicals!$T43:$BO43,,AG$6+$D87*-1),$F87*AG$46*Historicals!$S43*INDEX($T$44:$BO$44,,AG$6-$D87+1)),0)</f>
        <v>0.85962239971047927</v>
      </c>
      <c r="AH87" s="46">
        <f t="array" aca="1" ref="AH87" ca="1">IFERROR(IF(INDEX(Historicals!$T43:$BO43,,AH$6+$D87*-1)&lt;&gt;"",INDEX(Historicals!$T43:$BO43,,AH$6+$D87*-1),$F87*AH$46*Historicals!$S43*INDEX($T$44:$BO$44,,AH$6-$D87+1)),0)</f>
        <v>0</v>
      </c>
      <c r="AI87" s="46">
        <f t="array" aca="1" ref="AI87" ca="1">IFERROR(IF(INDEX(Historicals!$T43:$BO43,,AI$6+$D87*-1)&lt;&gt;"",INDEX(Historicals!$T43:$BO43,,AI$6+$D87*-1),$F87*AI$46*Historicals!$S43*INDEX($T$44:$BO$44,,AI$6-$D87+1)),0)</f>
        <v>0</v>
      </c>
      <c r="AJ87" s="46">
        <f t="array" aca="1" ref="AJ87" ca="1">IFERROR(IF(INDEX(Historicals!$T43:$BO43,,AJ$6+$D87*-1)&lt;&gt;"",INDEX(Historicals!$T43:$BO43,,AJ$6+$D87*-1),$F87*AJ$46*Historicals!$S43*INDEX($T$44:$BO$44,,AJ$6-$D87+1)),0)</f>
        <v>0.42981119985523963</v>
      </c>
      <c r="AK87" s="46">
        <f t="array" aca="1" ref="AK87" ca="1">IFERROR(IF(INDEX(Historicals!$T43:$BO43,,AK$6+$D87*-1)&lt;&gt;"",INDEX(Historicals!$T43:$BO43,,AK$6+$D87*-1),$F87*AK$46*Historicals!$S43*INDEX($T$44:$BO$44,,AK$6-$D87+1)),0)</f>
        <v>0</v>
      </c>
      <c r="AL87" s="46">
        <f t="array" aca="1" ref="AL87" ca="1">IFERROR(IF(INDEX(Historicals!$T43:$BO43,,AL$6+$D87*-1)&lt;&gt;"",INDEX(Historicals!$T43:$BO43,,AL$6+$D87*-1),$F87*AL$46*Historicals!$S43*INDEX($T$44:$BO$44,,AL$6-$D87+1)),0)</f>
        <v>0</v>
      </c>
      <c r="AM87" s="46">
        <f t="array" ref="AM87">IFERROR(IF(INDEX(Historicals!$T43:$BO43,,AM$6+$D87*-1)&lt;&gt;"",INDEX(Historicals!$T43:$BO43,,AM$6+$D87*-1),$F87*AM$46*Historicals!$S43*INDEX($T$44:$BO$44,,AM$6-$D87+1)),0)</f>
        <v>0</v>
      </c>
      <c r="AN87" s="46">
        <f t="array" ref="AN87">IFERROR(IF(INDEX(Historicals!$T43:$BO43,,AN$6+$D87*-1)&lt;&gt;"",INDEX(Historicals!$T43:$BO43,,AN$6+$D87*-1),$F87*AN$46*Historicals!$S43*INDEX($T$44:$BO$44,,AN$6-$D87+1)),0)</f>
        <v>0</v>
      </c>
      <c r="AO87" s="46">
        <f t="array" ref="AO87">IFERROR(IF(INDEX(Historicals!$T43:$BO43,,AO$6+$D87*-1)&lt;&gt;"",INDEX(Historicals!$T43:$BO43,,AO$6+$D87*-1),$F87*AO$46*Historicals!$S43*INDEX($T$44:$BO$44,,AO$6-$D87+1)),0)</f>
        <v>0</v>
      </c>
      <c r="AP87" s="46">
        <f t="array" ref="AP87">IFERROR(IF(INDEX(Historicals!$T43:$BO43,,AP$6+$D87*-1)&lt;&gt;"",INDEX(Historicals!$T43:$BO43,,AP$6+$D87*-1),$F87*AP$46*Historicals!$S43*INDEX($T$44:$BO$44,,AP$6-$D87+1)),0)</f>
        <v>0</v>
      </c>
      <c r="AQ87" s="46">
        <f t="array" ref="AQ87">IFERROR(IF(INDEX(Historicals!$T43:$BO43,,AQ$6+$D87*-1)&lt;&gt;"",INDEX(Historicals!$T43:$BO43,,AQ$6+$D87*-1),$F87*AQ$46*Historicals!$S43*INDEX($T$44:$BO$44,,AQ$6-$D87+1)),0)</f>
        <v>0</v>
      </c>
      <c r="AR87" s="46">
        <f t="array" ref="AR87">IFERROR(IF(INDEX(Historicals!$T43:$BO43,,AR$6+$D87*-1)&lt;&gt;"",INDEX(Historicals!$T43:$BO43,,AR$6+$D87*-1),$F87*AR$46*Historicals!$S43*INDEX($T$44:$BO$44,,AR$6-$D87+1)),0)</f>
        <v>0</v>
      </c>
      <c r="AS87" s="46">
        <f t="array" ref="AS87">IFERROR(IF(INDEX(Historicals!$T43:$BO43,,AS$6+$D87*-1)&lt;&gt;"",INDEX(Historicals!$T43:$BO43,,AS$6+$D87*-1),$F87*AS$46*Historicals!$S43*INDEX($T$44:$BO$44,,AS$6-$D87+1)),0)</f>
        <v>0</v>
      </c>
      <c r="AT87" s="46">
        <f t="array" ref="AT87">IFERROR(IF(INDEX(Historicals!$T43:$BO43,,AT$6+$D87*-1)&lt;&gt;"",INDEX(Historicals!$T43:$BO43,,AT$6+$D87*-1),$F87*AT$46*Historicals!$S43*INDEX($T$44:$BO$44,,AT$6-$D87+1)),0)</f>
        <v>0</v>
      </c>
      <c r="AU87" s="46">
        <f t="array" ref="AU87">IFERROR(IF(INDEX(Historicals!$T43:$BO43,,AU$6+$D87*-1)&lt;&gt;"",INDEX(Historicals!$T43:$BO43,,AU$6+$D87*-1),$F87*AU$46*Historicals!$S43*INDEX($T$44:$BO$44,,AU$6-$D87+1)),0)</f>
        <v>0</v>
      </c>
      <c r="AV87" s="46">
        <f t="array" ref="AV87">IFERROR(IF(INDEX(Historicals!$T43:$BO43,,AV$6+$D87*-1)&lt;&gt;"",INDEX(Historicals!$T43:$BO43,,AV$6+$D87*-1),$F87*AV$46*Historicals!$S43*INDEX($T$44:$BO$44,,AV$6-$D87+1)),0)</f>
        <v>0</v>
      </c>
      <c r="AW87" s="46">
        <f t="array" ref="AW87">IFERROR(IF(INDEX(Historicals!$T43:$BO43,,AW$6+$D87*-1)&lt;&gt;"",INDEX(Historicals!$T43:$BO43,,AW$6+$D87*-1),$F87*AW$46*Historicals!$S43*INDEX($T$44:$BO$44,,AW$6-$D87+1)),0)</f>
        <v>0</v>
      </c>
      <c r="AX87" s="46">
        <f t="array" ref="AX87">IFERROR(IF(INDEX(Historicals!$T43:$BO43,,AX$6+$D87*-1)&lt;&gt;"",INDEX(Historicals!$T43:$BO43,,AX$6+$D87*-1),$F87*AX$46*Historicals!$S43*INDEX($T$44:$BO$44,,AX$6-$D87+1)),0)</f>
        <v>0</v>
      </c>
      <c r="AY87" s="46">
        <f t="array" ref="AY87">IFERROR(IF(INDEX(Historicals!$T43:$BO43,,AY$6+$D87*-1)&lt;&gt;"",INDEX(Historicals!$T43:$BO43,,AY$6+$D87*-1),$F87*AY$46*Historicals!$S43*INDEX($T$44:$BO$44,,AY$6-$D87+1)),0)</f>
        <v>0</v>
      </c>
      <c r="AZ87" s="46">
        <f t="array" ref="AZ87">IFERROR(IF(INDEX(Historicals!$T43:$BO43,,AZ$6+$D87*-1)&lt;&gt;"",INDEX(Historicals!$T43:$BO43,,AZ$6+$D87*-1),$F87*AZ$46*Historicals!$S43*INDEX($T$44:$BO$44,,AZ$6-$D87+1)),0)</f>
        <v>0</v>
      </c>
      <c r="BA87" s="46">
        <f t="array" ref="BA87">IFERROR(IF(INDEX(Historicals!$T43:$BO43,,BA$6+$D87*-1)&lt;&gt;"",INDEX(Historicals!$T43:$BO43,,BA$6+$D87*-1),$F87*BA$46*Historicals!$S43*INDEX($T$44:$BO$44,,BA$6-$D87+1)),0)</f>
        <v>0</v>
      </c>
      <c r="BB87" s="46">
        <f t="array" ref="BB87">IFERROR(IF(INDEX(Historicals!$T43:$BO43,,BB$6+$D87*-1)&lt;&gt;"",INDEX(Historicals!$T43:$BO43,,BB$6+$D87*-1),$F87*BB$46*Historicals!$S43*INDEX($T$44:$BO$44,,BB$6-$D87+1)),0)</f>
        <v>0</v>
      </c>
      <c r="BC87" s="46">
        <f t="array" ref="BC87">IFERROR(IF(INDEX(Historicals!$T43:$BO43,,BC$6+$D87*-1)&lt;&gt;"",INDEX(Historicals!$T43:$BO43,,BC$6+$D87*-1),$F87*BC$46*Historicals!$S43*INDEX($T$44:$BO$44,,BC$6-$D87+1)),0)</f>
        <v>0</v>
      </c>
      <c r="BD87" s="46">
        <f t="array" ref="BD87">IFERROR(IF(INDEX(Historicals!$T43:$BO43,,BD$6+$D87*-1)&lt;&gt;"",INDEX(Historicals!$T43:$BO43,,BD$6+$D87*-1),$F87*BD$46*Historicals!$S43*INDEX($T$44:$BO$44,,BD$6-$D87+1)),0)</f>
        <v>0</v>
      </c>
      <c r="BE87" s="46">
        <f t="array" ref="BE87">IFERROR(IF(INDEX(Historicals!$T43:$BO43,,BE$6+$D87*-1)&lt;&gt;"",INDEX(Historicals!$T43:$BO43,,BE$6+$D87*-1),$F87*BE$46*Historicals!$S43*INDEX($T$44:$BO$44,,BE$6-$D87+1)),0)</f>
        <v>0</v>
      </c>
      <c r="BF87" s="46">
        <f t="array" ref="BF87">IFERROR(IF(INDEX(Historicals!$T43:$BO43,,BF$6+$D87*-1)&lt;&gt;"",INDEX(Historicals!$T43:$BO43,,BF$6+$D87*-1),$F87*BF$46*Historicals!$S43*INDEX($T$44:$BO$44,,BF$6-$D87+1)),0)</f>
        <v>0</v>
      </c>
      <c r="BG87" s="46">
        <f t="array" ref="BG87">IFERROR(IF(INDEX(Historicals!$T43:$BO43,,BG$6+$D87*-1)&lt;&gt;"",INDEX(Historicals!$T43:$BO43,,BG$6+$D87*-1),$F87*BG$46*Historicals!$S43*INDEX($T$44:$BO$44,,BG$6-$D87+1)),0)</f>
        <v>0</v>
      </c>
      <c r="BH87" s="46">
        <f t="array" ref="BH87">IFERROR(IF(INDEX(Historicals!$T43:$BO43,,BH$6+$D87*-1)&lt;&gt;"",INDEX(Historicals!$T43:$BO43,,BH$6+$D87*-1),$F87*BH$46*Historicals!$S43*INDEX($T$44:$BO$44,,BH$6-$D87+1)),0)</f>
        <v>0</v>
      </c>
      <c r="BI87" s="46">
        <f t="array" ref="BI87">IFERROR(IF(INDEX(Historicals!$T43:$BO43,,BI$6+$D87*-1)&lt;&gt;"",INDEX(Historicals!$T43:$BO43,,BI$6+$D87*-1),$F87*BI$46*Historicals!$S43*INDEX($T$44:$BO$44,,BI$6-$D87+1)),0)</f>
        <v>0</v>
      </c>
      <c r="BJ87" s="46">
        <f t="array" ref="BJ87">IFERROR(IF(INDEX(Historicals!$T43:$BO43,,BJ$6+$D87*-1)&lt;&gt;"",INDEX(Historicals!$T43:$BO43,,BJ$6+$D87*-1),$F87*BJ$46*Historicals!$S43*INDEX($T$44:$BO$44,,BJ$6-$D87+1)),0)</f>
        <v>0</v>
      </c>
      <c r="BK87" s="46">
        <f t="array" ref="BK87">IFERROR(IF(INDEX(Historicals!$T43:$BO43,,BK$6+$D87*-1)&lt;&gt;"",INDEX(Historicals!$T43:$BO43,,BK$6+$D87*-1),$F87*BK$46*Historicals!$S43*INDEX($T$44:$BO$44,,BK$6-$D87+1)),0)</f>
        <v>0</v>
      </c>
      <c r="BL87" s="46">
        <f t="array" ref="BL87">IFERROR(IF(INDEX(Historicals!$T43:$BO43,,BL$6+$D87*-1)&lt;&gt;"",INDEX(Historicals!$T43:$BO43,,BL$6+$D87*-1),$F87*BL$46*Historicals!$S43*INDEX($T$44:$BO$44,,BL$6-$D87+1)),0)</f>
        <v>0</v>
      </c>
      <c r="BM87" s="46">
        <f t="array" ref="BM87">IFERROR(IF(INDEX(Historicals!$T43:$BO43,,BM$6+$D87*-1)&lt;&gt;"",INDEX(Historicals!$T43:$BO43,,BM$6+$D87*-1),$F87*BM$46*Historicals!$S43*INDEX($T$44:$BO$44,,BM$6-$D87+1)),0)</f>
        <v>0</v>
      </c>
      <c r="BN87" s="46">
        <f t="array" ref="BN87">IFERROR(IF(INDEX(Historicals!$T43:$BO43,,BN$6+$D87*-1)&lt;&gt;"",INDEX(Historicals!$T43:$BO43,,BN$6+$D87*-1),$F87*BN$46*Historicals!$S43*INDEX($T$44:$BO$44,,BN$6-$D87+1)),0)</f>
        <v>0</v>
      </c>
      <c r="BO87" s="46">
        <f t="array" ref="BO87">IFERROR(IF(INDEX(Historicals!$T43:$BO43,,BO$6+$D87*-1)&lt;&gt;"",INDEX(Historicals!$T43:$BO43,,BO$6+$D87*-1),$F87*BO$46*Historicals!$S43*INDEX($T$44:$BO$44,,BO$6-$D87+1)),0)</f>
        <v>0</v>
      </c>
    </row>
    <row r="88" spans="1:67" ht="16.5" hidden="1" customHeight="1" outlineLevel="1">
      <c r="A88" s="1"/>
      <c r="B88" s="55">
        <f t="shared" si="19"/>
        <v>45198</v>
      </c>
      <c r="C88" s="17" t="s">
        <v>104</v>
      </c>
      <c r="D88" s="46">
        <f t="shared" si="20"/>
        <v>-15</v>
      </c>
      <c r="E88" s="16"/>
      <c r="F88" s="51">
        <v>1</v>
      </c>
      <c r="G88" s="16" t="s">
        <v>159</v>
      </c>
      <c r="H88" s="16" t="s">
        <v>155</v>
      </c>
      <c r="I88" s="46">
        <f ca="1">IF(H88=Forecast!$H$195,T88,IF(H88=Forecast!$H$196,BO88,IF(H88=Forecast!$H$197,SUM(T88:BO88),IF(H88=Forecast!$H$198,AVERAGE(T88:BO88),0))))</f>
        <v>61.104491097898631</v>
      </c>
      <c r="J88" s="16"/>
      <c r="K88" s="16"/>
      <c r="L88" s="16"/>
      <c r="M88" s="16"/>
      <c r="N88" s="16"/>
      <c r="O88" s="16"/>
      <c r="P88" s="16"/>
      <c r="Q88" s="16"/>
      <c r="R88" s="16"/>
      <c r="S88" s="16"/>
      <c r="T88" s="46">
        <f t="array" ref="T88">IFERROR(IF(INDEX(Historicals!$T44:$BO44,,T$6+$D88*-1)&lt;&gt;"",INDEX(Historicals!$T44:$BO44,,T$6+$D88*-1),$F88*T$46*Historicals!$S44*INDEX($T$44:$BO$44,,T$6-$D88+1)),0)</f>
        <v>32.601222054866945</v>
      </c>
      <c r="U88" s="46">
        <f t="array" aca="1" ref="U88" ca="1">IFERROR(IF(INDEX(Historicals!$T44:$BO44,,U$6+$D88*-1)&lt;&gt;"",INDEX(Historicals!$T44:$BO44,,U$6+$D88*-1),$F88*U$46*Historicals!$S44*INDEX($T$44:$BO$44,,U$6-$D88+1)),0)</f>
        <v>0</v>
      </c>
      <c r="V88" s="46">
        <f t="array" aca="1" ref="V88" ca="1">IFERROR(IF(INDEX(Historicals!$T44:$BO44,,V$6+$D88*-1)&lt;&gt;"",INDEX(Historicals!$T44:$BO44,,V$6+$D88*-1),$F88*V$46*Historicals!$S44*INDEX($T$44:$BO$44,,V$6-$D88+1)),0)</f>
        <v>14.477850942492283</v>
      </c>
      <c r="W88" s="46">
        <f t="array" aca="1" ref="W88" ca="1">IFERROR(IF(INDEX(Historicals!$T44:$BO44,,W$6+$D88*-1)&lt;&gt;"",INDEX(Historicals!$T44:$BO44,,W$6+$D88*-1),$F88*W$46*Historicals!$S44*INDEX($T$44:$BO$44,,W$6-$D88+1)),0)</f>
        <v>0</v>
      </c>
      <c r="X88" s="46">
        <f t="array" aca="1" ref="X88" ca="1">IFERROR(IF(INDEX(Historicals!$T44:$BO44,,X$6+$D88*-1)&lt;&gt;"",INDEX(Historicals!$T44:$BO44,,X$6+$D88*-1),$F88*X$46*Historicals!$S44*INDEX($T$44:$BO$44,,X$6-$D88+1)),0)</f>
        <v>0</v>
      </c>
      <c r="Y88" s="46">
        <f t="array" aca="1" ref="Y88" ca="1">IFERROR(IF(INDEX(Historicals!$T44:$BO44,,Y$6+$D88*-1)&lt;&gt;"",INDEX(Historicals!$T44:$BO44,,Y$6+$D88*-1),$F88*Y$46*Historicals!$S44*INDEX($T$44:$BO$44,,Y$6-$D88+1)),0)</f>
        <v>7.2389254712461417</v>
      </c>
      <c r="Z88" s="46">
        <f t="array" aca="1" ref="Z88" ca="1">IFERROR(IF(INDEX(Historicals!$T44:$BO44,,Z$6+$D88*-1)&lt;&gt;"",INDEX(Historicals!$T44:$BO44,,Z$6+$D88*-1),$F88*Z$46*Historicals!$S44*INDEX($T$44:$BO$44,,Z$6-$D88+1)),0)</f>
        <v>0</v>
      </c>
      <c r="AA88" s="46">
        <f t="array" aca="1" ref="AA88" ca="1">IFERROR(IF(INDEX(Historicals!$T44:$BO44,,AA$6+$D88*-1)&lt;&gt;"",INDEX(Historicals!$T44:$BO44,,AA$6+$D88*-1),$F88*AA$46*Historicals!$S44*INDEX($T$44:$BO$44,,AA$6-$D88+1)),0)</f>
        <v>0</v>
      </c>
      <c r="AB88" s="46">
        <f t="array" aca="1" ref="AB88" ca="1">IFERROR(IF(INDEX(Historicals!$T44:$BO44,,AB$6+$D88*-1)&lt;&gt;"",INDEX(Historicals!$T44:$BO44,,AB$6+$D88*-1),$F88*AB$46*Historicals!$S44*INDEX($T$44:$BO$44,,AB$6-$D88+1)),0)</f>
        <v>3.6194627356230709</v>
      </c>
      <c r="AC88" s="46">
        <f t="array" aca="1" ref="AC88" ca="1">IFERROR(IF(INDEX(Historicals!$T44:$BO44,,AC$6+$D88*-1)&lt;&gt;"",INDEX(Historicals!$T44:$BO44,,AC$6+$D88*-1),$F88*AC$46*Historicals!$S44*INDEX($T$44:$BO$44,,AC$6-$D88+1)),0)</f>
        <v>0</v>
      </c>
      <c r="AD88" s="46">
        <f t="array" aca="1" ref="AD88" ca="1">IFERROR(IF(INDEX(Historicals!$T44:$BO44,,AD$6+$D88*-1)&lt;&gt;"",INDEX(Historicals!$T44:$BO44,,AD$6+$D88*-1),$F88*AD$46*Historicals!$S44*INDEX($T$44:$BO$44,,AD$6-$D88+1)),0)</f>
        <v>0</v>
      </c>
      <c r="AE88" s="46">
        <f t="array" aca="1" ref="AE88" ca="1">IFERROR(IF(INDEX(Historicals!$T44:$BO44,,AE$6+$D88*-1)&lt;&gt;"",INDEX(Historicals!$T44:$BO44,,AE$6+$D88*-1),$F88*AE$46*Historicals!$S44*INDEX($T$44:$BO$44,,AE$6-$D88+1)),0)</f>
        <v>1.8097313678115354</v>
      </c>
      <c r="AF88" s="46">
        <f t="array" aca="1" ref="AF88" ca="1">IFERROR(IF(INDEX(Historicals!$T44:$BO44,,AF$6+$D88*-1)&lt;&gt;"",INDEX(Historicals!$T44:$BO44,,AF$6+$D88*-1),$F88*AF$46*Historicals!$S44*INDEX($T$44:$BO$44,,AF$6-$D88+1)),0)</f>
        <v>0</v>
      </c>
      <c r="AG88" s="46">
        <f t="array" aca="1" ref="AG88" ca="1">IFERROR(IF(INDEX(Historicals!$T44:$BO44,,AG$6+$D88*-1)&lt;&gt;"",INDEX(Historicals!$T44:$BO44,,AG$6+$D88*-1),$F88*AG$46*Historicals!$S44*INDEX($T$44:$BO$44,,AG$6-$D88+1)),0)</f>
        <v>0</v>
      </c>
      <c r="AH88" s="46">
        <f t="array" aca="1" ref="AH88" ca="1">IFERROR(IF(INDEX(Historicals!$T44:$BO44,,AH$6+$D88*-1)&lt;&gt;"",INDEX(Historicals!$T44:$BO44,,AH$6+$D88*-1),$F88*AH$46*Historicals!$S44*INDEX($T$44:$BO$44,,AH$6-$D88+1)),0)</f>
        <v>0.90486568390576771</v>
      </c>
      <c r="AI88" s="46">
        <f t="array" aca="1" ref="AI88" ca="1">IFERROR(IF(INDEX(Historicals!$T44:$BO44,,AI$6+$D88*-1)&lt;&gt;"",INDEX(Historicals!$T44:$BO44,,AI$6+$D88*-1),$F88*AI$46*Historicals!$S44*INDEX($T$44:$BO$44,,AI$6-$D88+1)),0)</f>
        <v>0</v>
      </c>
      <c r="AJ88" s="46">
        <f t="array" aca="1" ref="AJ88" ca="1">IFERROR(IF(INDEX(Historicals!$T44:$BO44,,AJ$6+$D88*-1)&lt;&gt;"",INDEX(Historicals!$T44:$BO44,,AJ$6+$D88*-1),$F88*AJ$46*Historicals!$S44*INDEX($T$44:$BO$44,,AJ$6-$D88+1)),0)</f>
        <v>0</v>
      </c>
      <c r="AK88" s="46">
        <f t="array" aca="1" ref="AK88" ca="1">IFERROR(IF(INDEX(Historicals!$T44:$BO44,,AK$6+$D88*-1)&lt;&gt;"",INDEX(Historicals!$T44:$BO44,,AK$6+$D88*-1),$F88*AK$46*Historicals!$S44*INDEX($T$44:$BO$44,,AK$6-$D88+1)),0)</f>
        <v>0.45243284195288386</v>
      </c>
      <c r="AL88" s="46">
        <f t="array" aca="1" ref="AL88" ca="1">IFERROR(IF(INDEX(Historicals!$T44:$BO44,,AL$6+$D88*-1)&lt;&gt;"",INDEX(Historicals!$T44:$BO44,,AL$6+$D88*-1),$F88*AL$46*Historicals!$S44*INDEX($T$44:$BO$44,,AL$6-$D88+1)),0)</f>
        <v>0</v>
      </c>
      <c r="AM88" s="46">
        <f t="array" aca="1" ref="AM88" ca="1">IFERROR(IF(INDEX(Historicals!$T44:$BO44,,AM$6+$D88*-1)&lt;&gt;"",INDEX(Historicals!$T44:$BO44,,AM$6+$D88*-1),$F88*AM$46*Historicals!$S44*INDEX($T$44:$BO$44,,AM$6-$D88+1)),0)</f>
        <v>0</v>
      </c>
      <c r="AN88" s="46">
        <f t="array" ref="AN88">IFERROR(IF(INDEX(Historicals!$T44:$BO44,,AN$6+$D88*-1)&lt;&gt;"",INDEX(Historicals!$T44:$BO44,,AN$6+$D88*-1),$F88*AN$46*Historicals!$S44*INDEX($T$44:$BO$44,,AN$6-$D88+1)),0)</f>
        <v>0</v>
      </c>
      <c r="AO88" s="46">
        <f t="array" ref="AO88">IFERROR(IF(INDEX(Historicals!$T44:$BO44,,AO$6+$D88*-1)&lt;&gt;"",INDEX(Historicals!$T44:$BO44,,AO$6+$D88*-1),$F88*AO$46*Historicals!$S44*INDEX($T$44:$BO$44,,AO$6-$D88+1)),0)</f>
        <v>0</v>
      </c>
      <c r="AP88" s="46">
        <f t="array" ref="AP88">IFERROR(IF(INDEX(Historicals!$T44:$BO44,,AP$6+$D88*-1)&lt;&gt;"",INDEX(Historicals!$T44:$BO44,,AP$6+$D88*-1),$F88*AP$46*Historicals!$S44*INDEX($T$44:$BO$44,,AP$6-$D88+1)),0)</f>
        <v>0</v>
      </c>
      <c r="AQ88" s="46">
        <f t="array" ref="AQ88">IFERROR(IF(INDEX(Historicals!$T44:$BO44,,AQ$6+$D88*-1)&lt;&gt;"",INDEX(Historicals!$T44:$BO44,,AQ$6+$D88*-1),$F88*AQ$46*Historicals!$S44*INDEX($T$44:$BO$44,,AQ$6-$D88+1)),0)</f>
        <v>0</v>
      </c>
      <c r="AR88" s="46">
        <f t="array" ref="AR88">IFERROR(IF(INDEX(Historicals!$T44:$BO44,,AR$6+$D88*-1)&lt;&gt;"",INDEX(Historicals!$T44:$BO44,,AR$6+$D88*-1),$F88*AR$46*Historicals!$S44*INDEX($T$44:$BO$44,,AR$6-$D88+1)),0)</f>
        <v>0</v>
      </c>
      <c r="AS88" s="46">
        <f t="array" ref="AS88">IFERROR(IF(INDEX(Historicals!$T44:$BO44,,AS$6+$D88*-1)&lt;&gt;"",INDEX(Historicals!$T44:$BO44,,AS$6+$D88*-1),$F88*AS$46*Historicals!$S44*INDEX($T$44:$BO$44,,AS$6-$D88+1)),0)</f>
        <v>0</v>
      </c>
      <c r="AT88" s="46">
        <f t="array" ref="AT88">IFERROR(IF(INDEX(Historicals!$T44:$BO44,,AT$6+$D88*-1)&lt;&gt;"",INDEX(Historicals!$T44:$BO44,,AT$6+$D88*-1),$F88*AT$46*Historicals!$S44*INDEX($T$44:$BO$44,,AT$6-$D88+1)),0)</f>
        <v>0</v>
      </c>
      <c r="AU88" s="46">
        <f t="array" ref="AU88">IFERROR(IF(INDEX(Historicals!$T44:$BO44,,AU$6+$D88*-1)&lt;&gt;"",INDEX(Historicals!$T44:$BO44,,AU$6+$D88*-1),$F88*AU$46*Historicals!$S44*INDEX($T$44:$BO$44,,AU$6-$D88+1)),0)</f>
        <v>0</v>
      </c>
      <c r="AV88" s="46">
        <f t="array" ref="AV88">IFERROR(IF(INDEX(Historicals!$T44:$BO44,,AV$6+$D88*-1)&lt;&gt;"",INDEX(Historicals!$T44:$BO44,,AV$6+$D88*-1),$F88*AV$46*Historicals!$S44*INDEX($T$44:$BO$44,,AV$6-$D88+1)),0)</f>
        <v>0</v>
      </c>
      <c r="AW88" s="46">
        <f t="array" ref="AW88">IFERROR(IF(INDEX(Historicals!$T44:$BO44,,AW$6+$D88*-1)&lt;&gt;"",INDEX(Historicals!$T44:$BO44,,AW$6+$D88*-1),$F88*AW$46*Historicals!$S44*INDEX($T$44:$BO$44,,AW$6-$D88+1)),0)</f>
        <v>0</v>
      </c>
      <c r="AX88" s="46">
        <f t="array" ref="AX88">IFERROR(IF(INDEX(Historicals!$T44:$BO44,,AX$6+$D88*-1)&lt;&gt;"",INDEX(Historicals!$T44:$BO44,,AX$6+$D88*-1),$F88*AX$46*Historicals!$S44*INDEX($T$44:$BO$44,,AX$6-$D88+1)),0)</f>
        <v>0</v>
      </c>
      <c r="AY88" s="46">
        <f t="array" ref="AY88">IFERROR(IF(INDEX(Historicals!$T44:$BO44,,AY$6+$D88*-1)&lt;&gt;"",INDEX(Historicals!$T44:$BO44,,AY$6+$D88*-1),$F88*AY$46*Historicals!$S44*INDEX($T$44:$BO$44,,AY$6-$D88+1)),0)</f>
        <v>0</v>
      </c>
      <c r="AZ88" s="46">
        <f t="array" ref="AZ88">IFERROR(IF(INDEX(Historicals!$T44:$BO44,,AZ$6+$D88*-1)&lt;&gt;"",INDEX(Historicals!$T44:$BO44,,AZ$6+$D88*-1),$F88*AZ$46*Historicals!$S44*INDEX($T$44:$BO$44,,AZ$6-$D88+1)),0)</f>
        <v>0</v>
      </c>
      <c r="BA88" s="46">
        <f t="array" ref="BA88">IFERROR(IF(INDEX(Historicals!$T44:$BO44,,BA$6+$D88*-1)&lt;&gt;"",INDEX(Historicals!$T44:$BO44,,BA$6+$D88*-1),$F88*BA$46*Historicals!$S44*INDEX($T$44:$BO$44,,BA$6-$D88+1)),0)</f>
        <v>0</v>
      </c>
      <c r="BB88" s="46">
        <f t="array" ref="BB88">IFERROR(IF(INDEX(Historicals!$T44:$BO44,,BB$6+$D88*-1)&lt;&gt;"",INDEX(Historicals!$T44:$BO44,,BB$6+$D88*-1),$F88*BB$46*Historicals!$S44*INDEX($T$44:$BO$44,,BB$6-$D88+1)),0)</f>
        <v>0</v>
      </c>
      <c r="BC88" s="46">
        <f t="array" ref="BC88">IFERROR(IF(INDEX(Historicals!$T44:$BO44,,BC$6+$D88*-1)&lt;&gt;"",INDEX(Historicals!$T44:$BO44,,BC$6+$D88*-1),$F88*BC$46*Historicals!$S44*INDEX($T$44:$BO$44,,BC$6-$D88+1)),0)</f>
        <v>0</v>
      </c>
      <c r="BD88" s="46">
        <f t="array" ref="BD88">IFERROR(IF(INDEX(Historicals!$T44:$BO44,,BD$6+$D88*-1)&lt;&gt;"",INDEX(Historicals!$T44:$BO44,,BD$6+$D88*-1),$F88*BD$46*Historicals!$S44*INDEX($T$44:$BO$44,,BD$6-$D88+1)),0)</f>
        <v>0</v>
      </c>
      <c r="BE88" s="46">
        <f t="array" ref="BE88">IFERROR(IF(INDEX(Historicals!$T44:$BO44,,BE$6+$D88*-1)&lt;&gt;"",INDEX(Historicals!$T44:$BO44,,BE$6+$D88*-1),$F88*BE$46*Historicals!$S44*INDEX($T$44:$BO$44,,BE$6-$D88+1)),0)</f>
        <v>0</v>
      </c>
      <c r="BF88" s="46">
        <f t="array" ref="BF88">IFERROR(IF(INDEX(Historicals!$T44:$BO44,,BF$6+$D88*-1)&lt;&gt;"",INDEX(Historicals!$T44:$BO44,,BF$6+$D88*-1),$F88*BF$46*Historicals!$S44*INDEX($T$44:$BO$44,,BF$6-$D88+1)),0)</f>
        <v>0</v>
      </c>
      <c r="BG88" s="46">
        <f t="array" ref="BG88">IFERROR(IF(INDEX(Historicals!$T44:$BO44,,BG$6+$D88*-1)&lt;&gt;"",INDEX(Historicals!$T44:$BO44,,BG$6+$D88*-1),$F88*BG$46*Historicals!$S44*INDEX($T$44:$BO$44,,BG$6-$D88+1)),0)</f>
        <v>0</v>
      </c>
      <c r="BH88" s="46">
        <f t="array" ref="BH88">IFERROR(IF(INDEX(Historicals!$T44:$BO44,,BH$6+$D88*-1)&lt;&gt;"",INDEX(Historicals!$T44:$BO44,,BH$6+$D88*-1),$F88*BH$46*Historicals!$S44*INDEX($T$44:$BO$44,,BH$6-$D88+1)),0)</f>
        <v>0</v>
      </c>
      <c r="BI88" s="46">
        <f t="array" ref="BI88">IFERROR(IF(INDEX(Historicals!$T44:$BO44,,BI$6+$D88*-1)&lt;&gt;"",INDEX(Historicals!$T44:$BO44,,BI$6+$D88*-1),$F88*BI$46*Historicals!$S44*INDEX($T$44:$BO$44,,BI$6-$D88+1)),0)</f>
        <v>0</v>
      </c>
      <c r="BJ88" s="46">
        <f t="array" ref="BJ88">IFERROR(IF(INDEX(Historicals!$T44:$BO44,,BJ$6+$D88*-1)&lt;&gt;"",INDEX(Historicals!$T44:$BO44,,BJ$6+$D88*-1),$F88*BJ$46*Historicals!$S44*INDEX($T$44:$BO$44,,BJ$6-$D88+1)),0)</f>
        <v>0</v>
      </c>
      <c r="BK88" s="46">
        <f t="array" ref="BK88">IFERROR(IF(INDEX(Historicals!$T44:$BO44,,BK$6+$D88*-1)&lt;&gt;"",INDEX(Historicals!$T44:$BO44,,BK$6+$D88*-1),$F88*BK$46*Historicals!$S44*INDEX($T$44:$BO$44,,BK$6-$D88+1)),0)</f>
        <v>0</v>
      </c>
      <c r="BL88" s="46">
        <f t="array" ref="BL88">IFERROR(IF(INDEX(Historicals!$T44:$BO44,,BL$6+$D88*-1)&lt;&gt;"",INDEX(Historicals!$T44:$BO44,,BL$6+$D88*-1),$F88*BL$46*Historicals!$S44*INDEX($T$44:$BO$44,,BL$6-$D88+1)),0)</f>
        <v>0</v>
      </c>
      <c r="BM88" s="46">
        <f t="array" ref="BM88">IFERROR(IF(INDEX(Historicals!$T44:$BO44,,BM$6+$D88*-1)&lt;&gt;"",INDEX(Historicals!$T44:$BO44,,BM$6+$D88*-1),$F88*BM$46*Historicals!$S44*INDEX($T$44:$BO$44,,BM$6-$D88+1)),0)</f>
        <v>0</v>
      </c>
      <c r="BN88" s="46">
        <f t="array" ref="BN88">IFERROR(IF(INDEX(Historicals!$T44:$BO44,,BN$6+$D88*-1)&lt;&gt;"",INDEX(Historicals!$T44:$BO44,,BN$6+$D88*-1),$F88*BN$46*Historicals!$S44*INDEX($T$44:$BO$44,,BN$6-$D88+1)),0)</f>
        <v>0</v>
      </c>
      <c r="BO88" s="46">
        <f t="array" ref="BO88">IFERROR(IF(INDEX(Historicals!$T44:$BO44,,BO$6+$D88*-1)&lt;&gt;"",INDEX(Historicals!$T44:$BO44,,BO$6+$D88*-1),$F88*BO$46*Historicals!$S44*INDEX($T$44:$BO$44,,BO$6-$D88+1)),0)</f>
        <v>0</v>
      </c>
    </row>
    <row r="89" spans="1:67" ht="16.5" hidden="1" customHeight="1" outlineLevel="1">
      <c r="A89" s="1"/>
      <c r="B89" s="55">
        <f t="shared" si="19"/>
        <v>45228</v>
      </c>
      <c r="C89" s="17" t="s">
        <v>104</v>
      </c>
      <c r="D89" s="46">
        <f t="shared" si="20"/>
        <v>-14</v>
      </c>
      <c r="E89" s="16"/>
      <c r="F89" s="51">
        <v>1</v>
      </c>
      <c r="G89" s="16" t="s">
        <v>159</v>
      </c>
      <c r="H89" s="16" t="s">
        <v>155</v>
      </c>
      <c r="I89" s="46">
        <f ca="1">IF(H89=Forecast!$H$195,T89,IF(H89=Forecast!$H$196,BO89,IF(H89=Forecast!$H$197,SUM(T89:BO89),IF(H89=Forecast!$H$198,AVERAGE(T89:BO89),0))))</f>
        <v>72.899785906963558</v>
      </c>
      <c r="J89" s="16"/>
      <c r="K89" s="16"/>
      <c r="L89" s="16"/>
      <c r="M89" s="16"/>
      <c r="N89" s="16"/>
      <c r="O89" s="16"/>
      <c r="P89" s="16"/>
      <c r="Q89" s="16"/>
      <c r="R89" s="16"/>
      <c r="S89" s="16"/>
      <c r="T89" s="46">
        <f t="array" ref="T89">IFERROR(IF(INDEX(Historicals!$T45:$BO45,,T$6+$D89*-1)&lt;&gt;"",INDEX(Historicals!$T45:$BO45,,T$6+$D89*-1),$F89*T$46*Historicals!$S45*INDEX($T$44:$BO$44,,T$6-$D89+1)),0)</f>
        <v>42.896344809035462</v>
      </c>
      <c r="U89" s="46">
        <f t="array" aca="1" ref="U89" ca="1">IFERROR(IF(INDEX(Historicals!$T45:$BO45,,U$6+$D89*-1)&lt;&gt;"",INDEX(Historicals!$T45:$BO45,,U$6+$D89*-1),$F89*U$46*Historicals!$S45*INDEX($T$44:$BO$44,,U$6-$D89+1)),0)</f>
        <v>0</v>
      </c>
      <c r="V89" s="46">
        <f t="array" aca="1" ref="V89" ca="1">IFERROR(IF(INDEX(Historicals!$T45:$BO45,,V$6+$D89*-1)&lt;&gt;"",INDEX(Historicals!$T45:$BO45,,V$6+$D89*-1),$F89*V$46*Historicals!$S45*INDEX($T$44:$BO$44,,V$6-$D89+1)),0)</f>
        <v>0</v>
      </c>
      <c r="W89" s="46">
        <f t="array" aca="1" ref="W89" ca="1">IFERROR(IF(INDEX(Historicals!$T45:$BO45,,W$6+$D89*-1)&lt;&gt;"",INDEX(Historicals!$T45:$BO45,,W$6+$D89*-1),$F89*W$46*Historicals!$S45*INDEX($T$44:$BO$44,,W$6-$D89+1)),0)</f>
        <v>15.2398430973603</v>
      </c>
      <c r="X89" s="46">
        <f t="array" aca="1" ref="X89" ca="1">IFERROR(IF(INDEX(Historicals!$T45:$BO45,,X$6+$D89*-1)&lt;&gt;"",INDEX(Historicals!$T45:$BO45,,X$6+$D89*-1),$F89*X$46*Historicals!$S45*INDEX($T$44:$BO$44,,X$6-$D89+1)),0)</f>
        <v>0</v>
      </c>
      <c r="Y89" s="46">
        <f t="array" aca="1" ref="Y89" ca="1">IFERROR(IF(INDEX(Historicals!$T45:$BO45,,Y$6+$D89*-1)&lt;&gt;"",INDEX(Historicals!$T45:$BO45,,Y$6+$D89*-1),$F89*Y$46*Historicals!$S45*INDEX($T$44:$BO$44,,Y$6-$D89+1)),0)</f>
        <v>0</v>
      </c>
      <c r="Z89" s="46">
        <f t="array" aca="1" ref="Z89" ca="1">IFERROR(IF(INDEX(Historicals!$T45:$BO45,,Z$6+$D89*-1)&lt;&gt;"",INDEX(Historicals!$T45:$BO45,,Z$6+$D89*-1),$F89*Z$46*Historicals!$S45*INDEX($T$44:$BO$44,,Z$6-$D89+1)),0)</f>
        <v>7.6199215486801499</v>
      </c>
      <c r="AA89" s="46">
        <f t="array" aca="1" ref="AA89" ca="1">IFERROR(IF(INDEX(Historicals!$T45:$BO45,,AA$6+$D89*-1)&lt;&gt;"",INDEX(Historicals!$T45:$BO45,,AA$6+$D89*-1),$F89*AA$46*Historicals!$S45*INDEX($T$44:$BO$44,,AA$6-$D89+1)),0)</f>
        <v>0</v>
      </c>
      <c r="AB89" s="46">
        <f t="array" aca="1" ref="AB89" ca="1">IFERROR(IF(INDEX(Historicals!$T45:$BO45,,AB$6+$D89*-1)&lt;&gt;"",INDEX(Historicals!$T45:$BO45,,AB$6+$D89*-1),$F89*AB$46*Historicals!$S45*INDEX($T$44:$BO$44,,AB$6-$D89+1)),0)</f>
        <v>0</v>
      </c>
      <c r="AC89" s="46">
        <f t="array" aca="1" ref="AC89" ca="1">IFERROR(IF(INDEX(Historicals!$T45:$BO45,,AC$6+$D89*-1)&lt;&gt;"",INDEX(Historicals!$T45:$BO45,,AC$6+$D89*-1),$F89*AC$46*Historicals!$S45*INDEX($T$44:$BO$44,,AC$6-$D89+1)),0)</f>
        <v>3.809960774340075</v>
      </c>
      <c r="AD89" s="46">
        <f t="array" aca="1" ref="AD89" ca="1">IFERROR(IF(INDEX(Historicals!$T45:$BO45,,AD$6+$D89*-1)&lt;&gt;"",INDEX(Historicals!$T45:$BO45,,AD$6+$D89*-1),$F89*AD$46*Historicals!$S45*INDEX($T$44:$BO$44,,AD$6-$D89+1)),0)</f>
        <v>0</v>
      </c>
      <c r="AE89" s="46">
        <f t="array" aca="1" ref="AE89" ca="1">IFERROR(IF(INDEX(Historicals!$T45:$BO45,,AE$6+$D89*-1)&lt;&gt;"",INDEX(Historicals!$T45:$BO45,,AE$6+$D89*-1),$F89*AE$46*Historicals!$S45*INDEX($T$44:$BO$44,,AE$6-$D89+1)),0)</f>
        <v>0</v>
      </c>
      <c r="AF89" s="46">
        <f t="array" aca="1" ref="AF89" ca="1">IFERROR(IF(INDEX(Historicals!$T45:$BO45,,AF$6+$D89*-1)&lt;&gt;"",INDEX(Historicals!$T45:$BO45,,AF$6+$D89*-1),$F89*AF$46*Historicals!$S45*INDEX($T$44:$BO$44,,AF$6-$D89+1)),0)</f>
        <v>1.9049803871700375</v>
      </c>
      <c r="AG89" s="46">
        <f t="array" aca="1" ref="AG89" ca="1">IFERROR(IF(INDEX(Historicals!$T45:$BO45,,AG$6+$D89*-1)&lt;&gt;"",INDEX(Historicals!$T45:$BO45,,AG$6+$D89*-1),$F89*AG$46*Historicals!$S45*INDEX($T$44:$BO$44,,AG$6-$D89+1)),0)</f>
        <v>0</v>
      </c>
      <c r="AH89" s="46">
        <f t="array" aca="1" ref="AH89" ca="1">IFERROR(IF(INDEX(Historicals!$T45:$BO45,,AH$6+$D89*-1)&lt;&gt;"",INDEX(Historicals!$T45:$BO45,,AH$6+$D89*-1),$F89*AH$46*Historicals!$S45*INDEX($T$44:$BO$44,,AH$6-$D89+1)),0)</f>
        <v>0</v>
      </c>
      <c r="AI89" s="46">
        <f t="array" aca="1" ref="AI89" ca="1">IFERROR(IF(INDEX(Historicals!$T45:$BO45,,AI$6+$D89*-1)&lt;&gt;"",INDEX(Historicals!$T45:$BO45,,AI$6+$D89*-1),$F89*AI$46*Historicals!$S45*INDEX($T$44:$BO$44,,AI$6-$D89+1)),0)</f>
        <v>0.95249019358501874</v>
      </c>
      <c r="AJ89" s="46">
        <f t="array" aca="1" ref="AJ89" ca="1">IFERROR(IF(INDEX(Historicals!$T45:$BO45,,AJ$6+$D89*-1)&lt;&gt;"",INDEX(Historicals!$T45:$BO45,,AJ$6+$D89*-1),$F89*AJ$46*Historicals!$S45*INDEX($T$44:$BO$44,,AJ$6-$D89+1)),0)</f>
        <v>0</v>
      </c>
      <c r="AK89" s="46">
        <f t="array" aca="1" ref="AK89" ca="1">IFERROR(IF(INDEX(Historicals!$T45:$BO45,,AK$6+$D89*-1)&lt;&gt;"",INDEX(Historicals!$T45:$BO45,,AK$6+$D89*-1),$F89*AK$46*Historicals!$S45*INDEX($T$44:$BO$44,,AK$6-$D89+1)),0)</f>
        <v>0</v>
      </c>
      <c r="AL89" s="46">
        <f t="array" aca="1" ref="AL89" ca="1">IFERROR(IF(INDEX(Historicals!$T45:$BO45,,AL$6+$D89*-1)&lt;&gt;"",INDEX(Historicals!$T45:$BO45,,AL$6+$D89*-1),$F89*AL$46*Historicals!$S45*INDEX($T$44:$BO$44,,AL$6-$D89+1)),0)</f>
        <v>0.47624509679250937</v>
      </c>
      <c r="AM89" s="46">
        <f t="array" aca="1" ref="AM89" ca="1">IFERROR(IF(INDEX(Historicals!$T45:$BO45,,AM$6+$D89*-1)&lt;&gt;"",INDEX(Historicals!$T45:$BO45,,AM$6+$D89*-1),$F89*AM$46*Historicals!$S45*INDEX($T$44:$BO$44,,AM$6-$D89+1)),0)</f>
        <v>0</v>
      </c>
      <c r="AN89" s="46">
        <f t="array" aca="1" ref="AN89" ca="1">IFERROR(IF(INDEX(Historicals!$T45:$BO45,,AN$6+$D89*-1)&lt;&gt;"",INDEX(Historicals!$T45:$BO45,,AN$6+$D89*-1),$F89*AN$46*Historicals!$S45*INDEX($T$44:$BO$44,,AN$6-$D89+1)),0)</f>
        <v>0</v>
      </c>
      <c r="AO89" s="46">
        <f t="array" ref="AO89">IFERROR(IF(INDEX(Historicals!$T45:$BO45,,AO$6+$D89*-1)&lt;&gt;"",INDEX(Historicals!$T45:$BO45,,AO$6+$D89*-1),$F89*AO$46*Historicals!$S45*INDEX($T$44:$BO$44,,AO$6-$D89+1)),0)</f>
        <v>0</v>
      </c>
      <c r="AP89" s="46">
        <f t="array" ref="AP89">IFERROR(IF(INDEX(Historicals!$T45:$BO45,,AP$6+$D89*-1)&lt;&gt;"",INDEX(Historicals!$T45:$BO45,,AP$6+$D89*-1),$F89*AP$46*Historicals!$S45*INDEX($T$44:$BO$44,,AP$6-$D89+1)),0)</f>
        <v>0</v>
      </c>
      <c r="AQ89" s="46">
        <f t="array" ref="AQ89">IFERROR(IF(INDEX(Historicals!$T45:$BO45,,AQ$6+$D89*-1)&lt;&gt;"",INDEX(Historicals!$T45:$BO45,,AQ$6+$D89*-1),$F89*AQ$46*Historicals!$S45*INDEX($T$44:$BO$44,,AQ$6-$D89+1)),0)</f>
        <v>0</v>
      </c>
      <c r="AR89" s="46">
        <f t="array" ref="AR89">IFERROR(IF(INDEX(Historicals!$T45:$BO45,,AR$6+$D89*-1)&lt;&gt;"",INDEX(Historicals!$T45:$BO45,,AR$6+$D89*-1),$F89*AR$46*Historicals!$S45*INDEX($T$44:$BO$44,,AR$6-$D89+1)),0)</f>
        <v>0</v>
      </c>
      <c r="AS89" s="46">
        <f t="array" ref="AS89">IFERROR(IF(INDEX(Historicals!$T45:$BO45,,AS$6+$D89*-1)&lt;&gt;"",INDEX(Historicals!$T45:$BO45,,AS$6+$D89*-1),$F89*AS$46*Historicals!$S45*INDEX($T$44:$BO$44,,AS$6-$D89+1)),0)</f>
        <v>0</v>
      </c>
      <c r="AT89" s="46">
        <f t="array" ref="AT89">IFERROR(IF(INDEX(Historicals!$T45:$BO45,,AT$6+$D89*-1)&lt;&gt;"",INDEX(Historicals!$T45:$BO45,,AT$6+$D89*-1),$F89*AT$46*Historicals!$S45*INDEX($T$44:$BO$44,,AT$6-$D89+1)),0)</f>
        <v>0</v>
      </c>
      <c r="AU89" s="46">
        <f t="array" ref="AU89">IFERROR(IF(INDEX(Historicals!$T45:$BO45,,AU$6+$D89*-1)&lt;&gt;"",INDEX(Historicals!$T45:$BO45,,AU$6+$D89*-1),$F89*AU$46*Historicals!$S45*INDEX($T$44:$BO$44,,AU$6-$D89+1)),0)</f>
        <v>0</v>
      </c>
      <c r="AV89" s="46">
        <f t="array" ref="AV89">IFERROR(IF(INDEX(Historicals!$T45:$BO45,,AV$6+$D89*-1)&lt;&gt;"",INDEX(Historicals!$T45:$BO45,,AV$6+$D89*-1),$F89*AV$46*Historicals!$S45*INDEX($T$44:$BO$44,,AV$6-$D89+1)),0)</f>
        <v>0</v>
      </c>
      <c r="AW89" s="46">
        <f t="array" ref="AW89">IFERROR(IF(INDEX(Historicals!$T45:$BO45,,AW$6+$D89*-1)&lt;&gt;"",INDEX(Historicals!$T45:$BO45,,AW$6+$D89*-1),$F89*AW$46*Historicals!$S45*INDEX($T$44:$BO$44,,AW$6-$D89+1)),0)</f>
        <v>0</v>
      </c>
      <c r="AX89" s="46">
        <f t="array" ref="AX89">IFERROR(IF(INDEX(Historicals!$T45:$BO45,,AX$6+$D89*-1)&lt;&gt;"",INDEX(Historicals!$T45:$BO45,,AX$6+$D89*-1),$F89*AX$46*Historicals!$S45*INDEX($T$44:$BO$44,,AX$6-$D89+1)),0)</f>
        <v>0</v>
      </c>
      <c r="AY89" s="46">
        <f t="array" ref="AY89">IFERROR(IF(INDEX(Historicals!$T45:$BO45,,AY$6+$D89*-1)&lt;&gt;"",INDEX(Historicals!$T45:$BO45,,AY$6+$D89*-1),$F89*AY$46*Historicals!$S45*INDEX($T$44:$BO$44,,AY$6-$D89+1)),0)</f>
        <v>0</v>
      </c>
      <c r="AZ89" s="46">
        <f t="array" ref="AZ89">IFERROR(IF(INDEX(Historicals!$T45:$BO45,,AZ$6+$D89*-1)&lt;&gt;"",INDEX(Historicals!$T45:$BO45,,AZ$6+$D89*-1),$F89*AZ$46*Historicals!$S45*INDEX($T$44:$BO$44,,AZ$6-$D89+1)),0)</f>
        <v>0</v>
      </c>
      <c r="BA89" s="46">
        <f t="array" ref="BA89">IFERROR(IF(INDEX(Historicals!$T45:$BO45,,BA$6+$D89*-1)&lt;&gt;"",INDEX(Historicals!$T45:$BO45,,BA$6+$D89*-1),$F89*BA$46*Historicals!$S45*INDEX($T$44:$BO$44,,BA$6-$D89+1)),0)</f>
        <v>0</v>
      </c>
      <c r="BB89" s="46">
        <f t="array" ref="BB89">IFERROR(IF(INDEX(Historicals!$T45:$BO45,,BB$6+$D89*-1)&lt;&gt;"",INDEX(Historicals!$T45:$BO45,,BB$6+$D89*-1),$F89*BB$46*Historicals!$S45*INDEX($T$44:$BO$44,,BB$6-$D89+1)),0)</f>
        <v>0</v>
      </c>
      <c r="BC89" s="46">
        <f t="array" ref="BC89">IFERROR(IF(INDEX(Historicals!$T45:$BO45,,BC$6+$D89*-1)&lt;&gt;"",INDEX(Historicals!$T45:$BO45,,BC$6+$D89*-1),$F89*BC$46*Historicals!$S45*INDEX($T$44:$BO$44,,BC$6-$D89+1)),0)</f>
        <v>0</v>
      </c>
      <c r="BD89" s="46">
        <f t="array" ref="BD89">IFERROR(IF(INDEX(Historicals!$T45:$BO45,,BD$6+$D89*-1)&lt;&gt;"",INDEX(Historicals!$T45:$BO45,,BD$6+$D89*-1),$F89*BD$46*Historicals!$S45*INDEX($T$44:$BO$44,,BD$6-$D89+1)),0)</f>
        <v>0</v>
      </c>
      <c r="BE89" s="46">
        <f t="array" ref="BE89">IFERROR(IF(INDEX(Historicals!$T45:$BO45,,BE$6+$D89*-1)&lt;&gt;"",INDEX(Historicals!$T45:$BO45,,BE$6+$D89*-1),$F89*BE$46*Historicals!$S45*INDEX($T$44:$BO$44,,BE$6-$D89+1)),0)</f>
        <v>0</v>
      </c>
      <c r="BF89" s="46">
        <f t="array" ref="BF89">IFERROR(IF(INDEX(Historicals!$T45:$BO45,,BF$6+$D89*-1)&lt;&gt;"",INDEX(Historicals!$T45:$BO45,,BF$6+$D89*-1),$F89*BF$46*Historicals!$S45*INDEX($T$44:$BO$44,,BF$6-$D89+1)),0)</f>
        <v>0</v>
      </c>
      <c r="BG89" s="46">
        <f t="array" ref="BG89">IFERROR(IF(INDEX(Historicals!$T45:$BO45,,BG$6+$D89*-1)&lt;&gt;"",INDEX(Historicals!$T45:$BO45,,BG$6+$D89*-1),$F89*BG$46*Historicals!$S45*INDEX($T$44:$BO$44,,BG$6-$D89+1)),0)</f>
        <v>0</v>
      </c>
      <c r="BH89" s="46">
        <f t="array" ref="BH89">IFERROR(IF(INDEX(Historicals!$T45:$BO45,,BH$6+$D89*-1)&lt;&gt;"",INDEX(Historicals!$T45:$BO45,,BH$6+$D89*-1),$F89*BH$46*Historicals!$S45*INDEX($T$44:$BO$44,,BH$6-$D89+1)),0)</f>
        <v>0</v>
      </c>
      <c r="BI89" s="46">
        <f t="array" ref="BI89">IFERROR(IF(INDEX(Historicals!$T45:$BO45,,BI$6+$D89*-1)&lt;&gt;"",INDEX(Historicals!$T45:$BO45,,BI$6+$D89*-1),$F89*BI$46*Historicals!$S45*INDEX($T$44:$BO$44,,BI$6-$D89+1)),0)</f>
        <v>0</v>
      </c>
      <c r="BJ89" s="46">
        <f t="array" ref="BJ89">IFERROR(IF(INDEX(Historicals!$T45:$BO45,,BJ$6+$D89*-1)&lt;&gt;"",INDEX(Historicals!$T45:$BO45,,BJ$6+$D89*-1),$F89*BJ$46*Historicals!$S45*INDEX($T$44:$BO$44,,BJ$6-$D89+1)),0)</f>
        <v>0</v>
      </c>
      <c r="BK89" s="46">
        <f t="array" ref="BK89">IFERROR(IF(INDEX(Historicals!$T45:$BO45,,BK$6+$D89*-1)&lt;&gt;"",INDEX(Historicals!$T45:$BO45,,BK$6+$D89*-1),$F89*BK$46*Historicals!$S45*INDEX($T$44:$BO$44,,BK$6-$D89+1)),0)</f>
        <v>0</v>
      </c>
      <c r="BL89" s="46">
        <f t="array" ref="BL89">IFERROR(IF(INDEX(Historicals!$T45:$BO45,,BL$6+$D89*-1)&lt;&gt;"",INDEX(Historicals!$T45:$BO45,,BL$6+$D89*-1),$F89*BL$46*Historicals!$S45*INDEX($T$44:$BO$44,,BL$6-$D89+1)),0)</f>
        <v>0</v>
      </c>
      <c r="BM89" s="46">
        <f t="array" ref="BM89">IFERROR(IF(INDEX(Historicals!$T45:$BO45,,BM$6+$D89*-1)&lt;&gt;"",INDEX(Historicals!$T45:$BO45,,BM$6+$D89*-1),$F89*BM$46*Historicals!$S45*INDEX($T$44:$BO$44,,BM$6-$D89+1)),0)</f>
        <v>0</v>
      </c>
      <c r="BN89" s="46">
        <f t="array" ref="BN89">IFERROR(IF(INDEX(Historicals!$T45:$BO45,,BN$6+$D89*-1)&lt;&gt;"",INDEX(Historicals!$T45:$BO45,,BN$6+$D89*-1),$F89*BN$46*Historicals!$S45*INDEX($T$44:$BO$44,,BN$6-$D89+1)),0)</f>
        <v>0</v>
      </c>
      <c r="BO89" s="46">
        <f t="array" ref="BO89">IFERROR(IF(INDEX(Historicals!$T45:$BO45,,BO$6+$D89*-1)&lt;&gt;"",INDEX(Historicals!$T45:$BO45,,BO$6+$D89*-1),$F89*BO$46*Historicals!$S45*INDEX($T$44:$BO$44,,BO$6-$D89+1)),0)</f>
        <v>0</v>
      </c>
    </row>
    <row r="90" spans="1:67" ht="16.5" hidden="1" customHeight="1" outlineLevel="1">
      <c r="A90" s="1"/>
      <c r="B90" s="55">
        <f t="shared" si="19"/>
        <v>45259</v>
      </c>
      <c r="C90" s="17" t="s">
        <v>104</v>
      </c>
      <c r="D90" s="46">
        <f t="shared" si="20"/>
        <v>-13</v>
      </c>
      <c r="E90" s="16"/>
      <c r="F90" s="51">
        <v>1</v>
      </c>
      <c r="G90" s="16" t="s">
        <v>159</v>
      </c>
      <c r="H90" s="16" t="s">
        <v>155</v>
      </c>
      <c r="I90" s="46">
        <f ca="1">IF(H90=Forecast!$H$195,T90,IF(H90=Forecast!$H$196,BO90,IF(H90=Forecast!$H$197,SUM(T90:BO90),IF(H90=Forecast!$H$198,AVERAGE(T90:BO90),0))))</f>
        <v>120.10900874099266</v>
      </c>
      <c r="J90" s="16"/>
      <c r="K90" s="16"/>
      <c r="L90" s="16"/>
      <c r="M90" s="16"/>
      <c r="N90" s="16"/>
      <c r="O90" s="16"/>
      <c r="P90" s="16"/>
      <c r="Q90" s="16"/>
      <c r="R90" s="16"/>
      <c r="S90" s="16"/>
      <c r="T90" s="46">
        <f t="array" ref="T90">IFERROR(IF(INDEX(Historicals!$T46:$BO46,,T$6+$D90*-1)&lt;&gt;"",INDEX(Historicals!$T46:$BO46,,T$6+$D90*-1),$F90*T$46*Historicals!$S46*INDEX($T$44:$BO$44,,T$6-$D90+1)),0)</f>
        <v>56.442558959257191</v>
      </c>
      <c r="U90" s="46">
        <f t="array" aca="1" ref="U90" ca="1">IFERROR(IF(INDEX(Historicals!$T46:$BO46,,U$6+$D90*-1)&lt;&gt;"",INDEX(Historicals!$T46:$BO46,,U$6+$D90*-1),$F90*U$46*Historicals!$S46*INDEX($T$44:$BO$44,,U$6-$D90+1)),0)</f>
        <v>32.083880204969056</v>
      </c>
      <c r="V90" s="46">
        <f t="array" aca="1" ref="V90" ca="1">IFERROR(IF(INDEX(Historicals!$T46:$BO46,,V$6+$D90*-1)&lt;&gt;"",INDEX(Historicals!$T46:$BO46,,V$6+$D90*-1),$F90*V$46*Historicals!$S46*INDEX($T$44:$BO$44,,V$6-$D90+1)),0)</f>
        <v>0</v>
      </c>
      <c r="W90" s="46">
        <f t="array" aca="1" ref="W90" ca="1">IFERROR(IF(INDEX(Historicals!$T46:$BO46,,W$6+$D90*-1)&lt;&gt;"",INDEX(Historicals!$T46:$BO46,,W$6+$D90*-1),$F90*W$46*Historicals!$S46*INDEX($T$44:$BO$44,,W$6-$D90+1)),0)</f>
        <v>0</v>
      </c>
      <c r="X90" s="46">
        <f t="array" aca="1" ref="X90" ca="1">IFERROR(IF(INDEX(Historicals!$T46:$BO46,,X$6+$D90*-1)&lt;&gt;"",INDEX(Historicals!$T46:$BO46,,X$6+$D90*-1),$F90*X$46*Historicals!$S46*INDEX($T$44:$BO$44,,X$6-$D90+1)),0)</f>
        <v>16.041940102484528</v>
      </c>
      <c r="Y90" s="46">
        <f t="array" aca="1" ref="Y90" ca="1">IFERROR(IF(INDEX(Historicals!$T46:$BO46,,Y$6+$D90*-1)&lt;&gt;"",INDEX(Historicals!$T46:$BO46,,Y$6+$D90*-1),$F90*Y$46*Historicals!$S46*INDEX($T$44:$BO$44,,Y$6-$D90+1)),0)</f>
        <v>0</v>
      </c>
      <c r="Z90" s="46">
        <f t="array" aca="1" ref="Z90" ca="1">IFERROR(IF(INDEX(Historicals!$T46:$BO46,,Z$6+$D90*-1)&lt;&gt;"",INDEX(Historicals!$T46:$BO46,,Z$6+$D90*-1),$F90*Z$46*Historicals!$S46*INDEX($T$44:$BO$44,,Z$6-$D90+1)),0)</f>
        <v>0</v>
      </c>
      <c r="AA90" s="46">
        <f t="array" aca="1" ref="AA90" ca="1">IFERROR(IF(INDEX(Historicals!$T46:$BO46,,AA$6+$D90*-1)&lt;&gt;"",INDEX(Historicals!$T46:$BO46,,AA$6+$D90*-1),$F90*AA$46*Historicals!$S46*INDEX($T$44:$BO$44,,AA$6-$D90+1)),0)</f>
        <v>8.0209700512422639</v>
      </c>
      <c r="AB90" s="46">
        <f t="array" aca="1" ref="AB90" ca="1">IFERROR(IF(INDEX(Historicals!$T46:$BO46,,AB$6+$D90*-1)&lt;&gt;"",INDEX(Historicals!$T46:$BO46,,AB$6+$D90*-1),$F90*AB$46*Historicals!$S46*INDEX($T$44:$BO$44,,AB$6-$D90+1)),0)</f>
        <v>0</v>
      </c>
      <c r="AC90" s="46">
        <f t="array" aca="1" ref="AC90" ca="1">IFERROR(IF(INDEX(Historicals!$T46:$BO46,,AC$6+$D90*-1)&lt;&gt;"",INDEX(Historicals!$T46:$BO46,,AC$6+$D90*-1),$F90*AC$46*Historicals!$S46*INDEX($T$44:$BO$44,,AC$6-$D90+1)),0)</f>
        <v>0</v>
      </c>
      <c r="AD90" s="46">
        <f t="array" aca="1" ref="AD90" ca="1">IFERROR(IF(INDEX(Historicals!$T46:$BO46,,AD$6+$D90*-1)&lt;&gt;"",INDEX(Historicals!$T46:$BO46,,AD$6+$D90*-1),$F90*AD$46*Historicals!$S46*INDEX($T$44:$BO$44,,AD$6-$D90+1)),0)</f>
        <v>4.010485025621132</v>
      </c>
      <c r="AE90" s="46">
        <f t="array" aca="1" ref="AE90" ca="1">IFERROR(IF(INDEX(Historicals!$T46:$BO46,,AE$6+$D90*-1)&lt;&gt;"",INDEX(Historicals!$T46:$BO46,,AE$6+$D90*-1),$F90*AE$46*Historicals!$S46*INDEX($T$44:$BO$44,,AE$6-$D90+1)),0)</f>
        <v>0</v>
      </c>
      <c r="AF90" s="46">
        <f t="array" aca="1" ref="AF90" ca="1">IFERROR(IF(INDEX(Historicals!$T46:$BO46,,AF$6+$D90*-1)&lt;&gt;"",INDEX(Historicals!$T46:$BO46,,AF$6+$D90*-1),$F90*AF$46*Historicals!$S46*INDEX($T$44:$BO$44,,AF$6-$D90+1)),0)</f>
        <v>0</v>
      </c>
      <c r="AG90" s="46">
        <f t="array" aca="1" ref="AG90" ca="1">IFERROR(IF(INDEX(Historicals!$T46:$BO46,,AG$6+$D90*-1)&lt;&gt;"",INDEX(Historicals!$T46:$BO46,,AG$6+$D90*-1),$F90*AG$46*Historicals!$S46*INDEX($T$44:$BO$44,,AG$6-$D90+1)),0)</f>
        <v>2.005242512810566</v>
      </c>
      <c r="AH90" s="46">
        <f t="array" aca="1" ref="AH90" ca="1">IFERROR(IF(INDEX(Historicals!$T46:$BO46,,AH$6+$D90*-1)&lt;&gt;"",INDEX(Historicals!$T46:$BO46,,AH$6+$D90*-1),$F90*AH$46*Historicals!$S46*INDEX($T$44:$BO$44,,AH$6-$D90+1)),0)</f>
        <v>0</v>
      </c>
      <c r="AI90" s="46">
        <f t="array" aca="1" ref="AI90" ca="1">IFERROR(IF(INDEX(Historicals!$T46:$BO46,,AI$6+$D90*-1)&lt;&gt;"",INDEX(Historicals!$T46:$BO46,,AI$6+$D90*-1),$F90*AI$46*Historicals!$S46*INDEX($T$44:$BO$44,,AI$6-$D90+1)),0)</f>
        <v>0</v>
      </c>
      <c r="AJ90" s="46">
        <f t="array" aca="1" ref="AJ90" ca="1">IFERROR(IF(INDEX(Historicals!$T46:$BO46,,AJ$6+$D90*-1)&lt;&gt;"",INDEX(Historicals!$T46:$BO46,,AJ$6+$D90*-1),$F90*AJ$46*Historicals!$S46*INDEX($T$44:$BO$44,,AJ$6-$D90+1)),0)</f>
        <v>1.002621256405283</v>
      </c>
      <c r="AK90" s="46">
        <f t="array" aca="1" ref="AK90" ca="1">IFERROR(IF(INDEX(Historicals!$T46:$BO46,,AK$6+$D90*-1)&lt;&gt;"",INDEX(Historicals!$T46:$BO46,,AK$6+$D90*-1),$F90*AK$46*Historicals!$S46*INDEX($T$44:$BO$44,,AK$6-$D90+1)),0)</f>
        <v>0</v>
      </c>
      <c r="AL90" s="46">
        <f t="array" aca="1" ref="AL90" ca="1">IFERROR(IF(INDEX(Historicals!$T46:$BO46,,AL$6+$D90*-1)&lt;&gt;"",INDEX(Historicals!$T46:$BO46,,AL$6+$D90*-1),$F90*AL$46*Historicals!$S46*INDEX($T$44:$BO$44,,AL$6-$D90+1)),0)</f>
        <v>0</v>
      </c>
      <c r="AM90" s="46">
        <f t="array" aca="1" ref="AM90" ca="1">IFERROR(IF(INDEX(Historicals!$T46:$BO46,,AM$6+$D90*-1)&lt;&gt;"",INDEX(Historicals!$T46:$BO46,,AM$6+$D90*-1),$F90*AM$46*Historicals!$S46*INDEX($T$44:$BO$44,,AM$6-$D90+1)),0)</f>
        <v>0.5013106282026415</v>
      </c>
      <c r="AN90" s="46">
        <f t="array" aca="1" ref="AN90" ca="1">IFERROR(IF(INDEX(Historicals!$T46:$BO46,,AN$6+$D90*-1)&lt;&gt;"",INDEX(Historicals!$T46:$BO46,,AN$6+$D90*-1),$F90*AN$46*Historicals!$S46*INDEX($T$44:$BO$44,,AN$6-$D90+1)),0)</f>
        <v>0</v>
      </c>
      <c r="AO90" s="46">
        <f t="array" aca="1" ref="AO90" ca="1">IFERROR(IF(INDEX(Historicals!$T46:$BO46,,AO$6+$D90*-1)&lt;&gt;"",INDEX(Historicals!$T46:$BO46,,AO$6+$D90*-1),$F90*AO$46*Historicals!$S46*INDEX($T$44:$BO$44,,AO$6-$D90+1)),0)</f>
        <v>0</v>
      </c>
      <c r="AP90" s="46">
        <f t="array" ref="AP90">IFERROR(IF(INDEX(Historicals!$T46:$BO46,,AP$6+$D90*-1)&lt;&gt;"",INDEX(Historicals!$T46:$BO46,,AP$6+$D90*-1),$F90*AP$46*Historicals!$S46*INDEX($T$44:$BO$44,,AP$6-$D90+1)),0)</f>
        <v>0</v>
      </c>
      <c r="AQ90" s="46">
        <f t="array" ref="AQ90">IFERROR(IF(INDEX(Historicals!$T46:$BO46,,AQ$6+$D90*-1)&lt;&gt;"",INDEX(Historicals!$T46:$BO46,,AQ$6+$D90*-1),$F90*AQ$46*Historicals!$S46*INDEX($T$44:$BO$44,,AQ$6-$D90+1)),0)</f>
        <v>0</v>
      </c>
      <c r="AR90" s="46">
        <f t="array" ref="AR90">IFERROR(IF(INDEX(Historicals!$T46:$BO46,,AR$6+$D90*-1)&lt;&gt;"",INDEX(Historicals!$T46:$BO46,,AR$6+$D90*-1),$F90*AR$46*Historicals!$S46*INDEX($T$44:$BO$44,,AR$6-$D90+1)),0)</f>
        <v>0</v>
      </c>
      <c r="AS90" s="46">
        <f t="array" ref="AS90">IFERROR(IF(INDEX(Historicals!$T46:$BO46,,AS$6+$D90*-1)&lt;&gt;"",INDEX(Historicals!$T46:$BO46,,AS$6+$D90*-1),$F90*AS$46*Historicals!$S46*INDEX($T$44:$BO$44,,AS$6-$D90+1)),0)</f>
        <v>0</v>
      </c>
      <c r="AT90" s="46">
        <f t="array" ref="AT90">IFERROR(IF(INDEX(Historicals!$T46:$BO46,,AT$6+$D90*-1)&lt;&gt;"",INDEX(Historicals!$T46:$BO46,,AT$6+$D90*-1),$F90*AT$46*Historicals!$S46*INDEX($T$44:$BO$44,,AT$6-$D90+1)),0)</f>
        <v>0</v>
      </c>
      <c r="AU90" s="46">
        <f t="array" ref="AU90">IFERROR(IF(INDEX(Historicals!$T46:$BO46,,AU$6+$D90*-1)&lt;&gt;"",INDEX(Historicals!$T46:$BO46,,AU$6+$D90*-1),$F90*AU$46*Historicals!$S46*INDEX($T$44:$BO$44,,AU$6-$D90+1)),0)</f>
        <v>0</v>
      </c>
      <c r="AV90" s="46">
        <f t="array" ref="AV90">IFERROR(IF(INDEX(Historicals!$T46:$BO46,,AV$6+$D90*-1)&lt;&gt;"",INDEX(Historicals!$T46:$BO46,,AV$6+$D90*-1),$F90*AV$46*Historicals!$S46*INDEX($T$44:$BO$44,,AV$6-$D90+1)),0)</f>
        <v>0</v>
      </c>
      <c r="AW90" s="46">
        <f t="array" ref="AW90">IFERROR(IF(INDEX(Historicals!$T46:$BO46,,AW$6+$D90*-1)&lt;&gt;"",INDEX(Historicals!$T46:$BO46,,AW$6+$D90*-1),$F90*AW$46*Historicals!$S46*INDEX($T$44:$BO$44,,AW$6-$D90+1)),0)</f>
        <v>0</v>
      </c>
      <c r="AX90" s="46">
        <f t="array" ref="AX90">IFERROR(IF(INDEX(Historicals!$T46:$BO46,,AX$6+$D90*-1)&lt;&gt;"",INDEX(Historicals!$T46:$BO46,,AX$6+$D90*-1),$F90*AX$46*Historicals!$S46*INDEX($T$44:$BO$44,,AX$6-$D90+1)),0)</f>
        <v>0</v>
      </c>
      <c r="AY90" s="46">
        <f t="array" ref="AY90">IFERROR(IF(INDEX(Historicals!$T46:$BO46,,AY$6+$D90*-1)&lt;&gt;"",INDEX(Historicals!$T46:$BO46,,AY$6+$D90*-1),$F90*AY$46*Historicals!$S46*INDEX($T$44:$BO$44,,AY$6-$D90+1)),0)</f>
        <v>0</v>
      </c>
      <c r="AZ90" s="46">
        <f t="array" ref="AZ90">IFERROR(IF(INDEX(Historicals!$T46:$BO46,,AZ$6+$D90*-1)&lt;&gt;"",INDEX(Historicals!$T46:$BO46,,AZ$6+$D90*-1),$F90*AZ$46*Historicals!$S46*INDEX($T$44:$BO$44,,AZ$6-$D90+1)),0)</f>
        <v>0</v>
      </c>
      <c r="BA90" s="46">
        <f t="array" ref="BA90">IFERROR(IF(INDEX(Historicals!$T46:$BO46,,BA$6+$D90*-1)&lt;&gt;"",INDEX(Historicals!$T46:$BO46,,BA$6+$D90*-1),$F90*BA$46*Historicals!$S46*INDEX($T$44:$BO$44,,BA$6-$D90+1)),0)</f>
        <v>0</v>
      </c>
      <c r="BB90" s="46">
        <f t="array" ref="BB90">IFERROR(IF(INDEX(Historicals!$T46:$BO46,,BB$6+$D90*-1)&lt;&gt;"",INDEX(Historicals!$T46:$BO46,,BB$6+$D90*-1),$F90*BB$46*Historicals!$S46*INDEX($T$44:$BO$44,,BB$6-$D90+1)),0)</f>
        <v>0</v>
      </c>
      <c r="BC90" s="46">
        <f t="array" ref="BC90">IFERROR(IF(INDEX(Historicals!$T46:$BO46,,BC$6+$D90*-1)&lt;&gt;"",INDEX(Historicals!$T46:$BO46,,BC$6+$D90*-1),$F90*BC$46*Historicals!$S46*INDEX($T$44:$BO$44,,BC$6-$D90+1)),0)</f>
        <v>0</v>
      </c>
      <c r="BD90" s="46">
        <f t="array" ref="BD90">IFERROR(IF(INDEX(Historicals!$T46:$BO46,,BD$6+$D90*-1)&lt;&gt;"",INDEX(Historicals!$T46:$BO46,,BD$6+$D90*-1),$F90*BD$46*Historicals!$S46*INDEX($T$44:$BO$44,,BD$6-$D90+1)),0)</f>
        <v>0</v>
      </c>
      <c r="BE90" s="46">
        <f t="array" ref="BE90">IFERROR(IF(INDEX(Historicals!$T46:$BO46,,BE$6+$D90*-1)&lt;&gt;"",INDEX(Historicals!$T46:$BO46,,BE$6+$D90*-1),$F90*BE$46*Historicals!$S46*INDEX($T$44:$BO$44,,BE$6-$D90+1)),0)</f>
        <v>0</v>
      </c>
      <c r="BF90" s="46">
        <f t="array" ref="BF90">IFERROR(IF(INDEX(Historicals!$T46:$BO46,,BF$6+$D90*-1)&lt;&gt;"",INDEX(Historicals!$T46:$BO46,,BF$6+$D90*-1),$F90*BF$46*Historicals!$S46*INDEX($T$44:$BO$44,,BF$6-$D90+1)),0)</f>
        <v>0</v>
      </c>
      <c r="BG90" s="46">
        <f t="array" ref="BG90">IFERROR(IF(INDEX(Historicals!$T46:$BO46,,BG$6+$D90*-1)&lt;&gt;"",INDEX(Historicals!$T46:$BO46,,BG$6+$D90*-1),$F90*BG$46*Historicals!$S46*INDEX($T$44:$BO$44,,BG$6-$D90+1)),0)</f>
        <v>0</v>
      </c>
      <c r="BH90" s="46">
        <f t="array" ref="BH90">IFERROR(IF(INDEX(Historicals!$T46:$BO46,,BH$6+$D90*-1)&lt;&gt;"",INDEX(Historicals!$T46:$BO46,,BH$6+$D90*-1),$F90*BH$46*Historicals!$S46*INDEX($T$44:$BO$44,,BH$6-$D90+1)),0)</f>
        <v>0</v>
      </c>
      <c r="BI90" s="46">
        <f t="array" ref="BI90">IFERROR(IF(INDEX(Historicals!$T46:$BO46,,BI$6+$D90*-1)&lt;&gt;"",INDEX(Historicals!$T46:$BO46,,BI$6+$D90*-1),$F90*BI$46*Historicals!$S46*INDEX($T$44:$BO$44,,BI$6-$D90+1)),0)</f>
        <v>0</v>
      </c>
      <c r="BJ90" s="46">
        <f t="array" ref="BJ90">IFERROR(IF(INDEX(Historicals!$T46:$BO46,,BJ$6+$D90*-1)&lt;&gt;"",INDEX(Historicals!$T46:$BO46,,BJ$6+$D90*-1),$F90*BJ$46*Historicals!$S46*INDEX($T$44:$BO$44,,BJ$6-$D90+1)),0)</f>
        <v>0</v>
      </c>
      <c r="BK90" s="46">
        <f t="array" ref="BK90">IFERROR(IF(INDEX(Historicals!$T46:$BO46,,BK$6+$D90*-1)&lt;&gt;"",INDEX(Historicals!$T46:$BO46,,BK$6+$D90*-1),$F90*BK$46*Historicals!$S46*INDEX($T$44:$BO$44,,BK$6-$D90+1)),0)</f>
        <v>0</v>
      </c>
      <c r="BL90" s="46">
        <f t="array" ref="BL90">IFERROR(IF(INDEX(Historicals!$T46:$BO46,,BL$6+$D90*-1)&lt;&gt;"",INDEX(Historicals!$T46:$BO46,,BL$6+$D90*-1),$F90*BL$46*Historicals!$S46*INDEX($T$44:$BO$44,,BL$6-$D90+1)),0)</f>
        <v>0</v>
      </c>
      <c r="BM90" s="46">
        <f t="array" ref="BM90">IFERROR(IF(INDEX(Historicals!$T46:$BO46,,BM$6+$D90*-1)&lt;&gt;"",INDEX(Historicals!$T46:$BO46,,BM$6+$D90*-1),$F90*BM$46*Historicals!$S46*INDEX($T$44:$BO$44,,BM$6-$D90+1)),0)</f>
        <v>0</v>
      </c>
      <c r="BN90" s="46">
        <f t="array" ref="BN90">IFERROR(IF(INDEX(Historicals!$T46:$BO46,,BN$6+$D90*-1)&lt;&gt;"",INDEX(Historicals!$T46:$BO46,,BN$6+$D90*-1),$F90*BN$46*Historicals!$S46*INDEX($T$44:$BO$44,,BN$6-$D90+1)),0)</f>
        <v>0</v>
      </c>
      <c r="BO90" s="46">
        <f t="array" ref="BO90">IFERROR(IF(INDEX(Historicals!$T46:$BO46,,BO$6+$D90*-1)&lt;&gt;"",INDEX(Historicals!$T46:$BO46,,BO$6+$D90*-1),$F90*BO$46*Historicals!$S46*INDEX($T$44:$BO$44,,BO$6-$D90+1)),0)</f>
        <v>0</v>
      </c>
    </row>
    <row r="91" spans="1:67" ht="16.5" hidden="1" customHeight="1" outlineLevel="1">
      <c r="A91" s="1"/>
      <c r="B91" s="55">
        <f t="shared" si="19"/>
        <v>45289</v>
      </c>
      <c r="C91" s="17" t="s">
        <v>104</v>
      </c>
      <c r="D91" s="46">
        <f t="shared" si="20"/>
        <v>-12</v>
      </c>
      <c r="E91" s="16"/>
      <c r="F91" s="51">
        <v>1</v>
      </c>
      <c r="G91" s="16" t="s">
        <v>159</v>
      </c>
      <c r="H91" s="16" t="s">
        <v>155</v>
      </c>
      <c r="I91" s="46">
        <f ca="1">IF(H91=Forecast!$H$195,T91,IF(H91=Forecast!$H$196,BO91,IF(H91=Forecast!$H$197,SUM(T91:BO91),IF(H91=Forecast!$H$198,AVERAGE(T91:BO91),0))))</f>
        <v>141.28384050611254</v>
      </c>
      <c r="J91" s="16"/>
      <c r="K91" s="16"/>
      <c r="L91" s="16"/>
      <c r="M91" s="16"/>
      <c r="N91" s="16"/>
      <c r="O91" s="16"/>
      <c r="P91" s="16"/>
      <c r="Q91" s="16"/>
      <c r="R91" s="16"/>
      <c r="S91" s="16"/>
      <c r="T91" s="46">
        <f t="array" ref="T91">IFERROR(IF(INDEX(Historicals!$T47:$BO47,,T$6+$D91*-1)&lt;&gt;"",INDEX(Historicals!$T47:$BO47,,T$6+$D91*-1),$F91*T$46*Historicals!$S47*INDEX($T$44:$BO$44,,T$6-$D91+1)),0)</f>
        <v>74.266524946391002</v>
      </c>
      <c r="U91" s="46">
        <f t="array" aca="1" ref="U91" ca="1">IFERROR(IF(INDEX(Historicals!$T47:$BO47,,U$6+$D91*-1)&lt;&gt;"",INDEX(Historicals!$T47:$BO47,,U$6+$D91*-1),$F91*U$46*Historicals!$S47*INDEX($T$44:$BO$44,,U$6-$D91+1)),0)</f>
        <v>0</v>
      </c>
      <c r="V91" s="46">
        <f t="array" aca="1" ref="V91" ca="1">IFERROR(IF(INDEX(Historicals!$T47:$BO47,,V$6+$D91*-1)&lt;&gt;"",INDEX(Historicals!$T47:$BO47,,V$6+$D91*-1),$F91*V$46*Historicals!$S47*INDEX($T$44:$BO$44,,V$6-$D91+1)),0)</f>
        <v>33.772505478914795</v>
      </c>
      <c r="W91" s="46">
        <f t="array" aca="1" ref="W91" ca="1">IFERROR(IF(INDEX(Historicals!$T47:$BO47,,W$6+$D91*-1)&lt;&gt;"",INDEX(Historicals!$T47:$BO47,,W$6+$D91*-1),$F91*W$46*Historicals!$S47*INDEX($T$44:$BO$44,,W$6-$D91+1)),0)</f>
        <v>0</v>
      </c>
      <c r="X91" s="46">
        <f t="array" aca="1" ref="X91" ca="1">IFERROR(IF(INDEX(Historicals!$T47:$BO47,,X$6+$D91*-1)&lt;&gt;"",INDEX(Historicals!$T47:$BO47,,X$6+$D91*-1),$F91*X$46*Historicals!$S47*INDEX($T$44:$BO$44,,X$6-$D91+1)),0)</f>
        <v>0</v>
      </c>
      <c r="Y91" s="46">
        <f t="array" aca="1" ref="Y91" ca="1">IFERROR(IF(INDEX(Historicals!$T47:$BO47,,Y$6+$D91*-1)&lt;&gt;"",INDEX(Historicals!$T47:$BO47,,Y$6+$D91*-1),$F91*Y$46*Historicals!$S47*INDEX($T$44:$BO$44,,Y$6-$D91+1)),0)</f>
        <v>16.886252739457397</v>
      </c>
      <c r="Z91" s="46">
        <f t="array" aca="1" ref="Z91" ca="1">IFERROR(IF(INDEX(Historicals!$T47:$BO47,,Z$6+$D91*-1)&lt;&gt;"",INDEX(Historicals!$T47:$BO47,,Z$6+$D91*-1),$F91*Z$46*Historicals!$S47*INDEX($T$44:$BO$44,,Z$6-$D91+1)),0)</f>
        <v>0</v>
      </c>
      <c r="AA91" s="46">
        <f t="array" aca="1" ref="AA91" ca="1">IFERROR(IF(INDEX(Historicals!$T47:$BO47,,AA$6+$D91*-1)&lt;&gt;"",INDEX(Historicals!$T47:$BO47,,AA$6+$D91*-1),$F91*AA$46*Historicals!$S47*INDEX($T$44:$BO$44,,AA$6-$D91+1)),0)</f>
        <v>0</v>
      </c>
      <c r="AB91" s="46">
        <f t="array" aca="1" ref="AB91" ca="1">IFERROR(IF(INDEX(Historicals!$T47:$BO47,,AB$6+$D91*-1)&lt;&gt;"",INDEX(Historicals!$T47:$BO47,,AB$6+$D91*-1),$F91*AB$46*Historicals!$S47*INDEX($T$44:$BO$44,,AB$6-$D91+1)),0)</f>
        <v>8.4431263697286987</v>
      </c>
      <c r="AC91" s="46">
        <f t="array" aca="1" ref="AC91" ca="1">IFERROR(IF(INDEX(Historicals!$T47:$BO47,,AC$6+$D91*-1)&lt;&gt;"",INDEX(Historicals!$T47:$BO47,,AC$6+$D91*-1),$F91*AC$46*Historicals!$S47*INDEX($T$44:$BO$44,,AC$6-$D91+1)),0)</f>
        <v>0</v>
      </c>
      <c r="AD91" s="46">
        <f t="array" aca="1" ref="AD91" ca="1">IFERROR(IF(INDEX(Historicals!$T47:$BO47,,AD$6+$D91*-1)&lt;&gt;"",INDEX(Historicals!$T47:$BO47,,AD$6+$D91*-1),$F91*AD$46*Historicals!$S47*INDEX($T$44:$BO$44,,AD$6-$D91+1)),0)</f>
        <v>0</v>
      </c>
      <c r="AE91" s="46">
        <f t="array" aca="1" ref="AE91" ca="1">IFERROR(IF(INDEX(Historicals!$T47:$BO47,,AE$6+$D91*-1)&lt;&gt;"",INDEX(Historicals!$T47:$BO47,,AE$6+$D91*-1),$F91*AE$46*Historicals!$S47*INDEX($T$44:$BO$44,,AE$6-$D91+1)),0)</f>
        <v>4.2215631848643493</v>
      </c>
      <c r="AF91" s="46">
        <f t="array" aca="1" ref="AF91" ca="1">IFERROR(IF(INDEX(Historicals!$T47:$BO47,,AF$6+$D91*-1)&lt;&gt;"",INDEX(Historicals!$T47:$BO47,,AF$6+$D91*-1),$F91*AF$46*Historicals!$S47*INDEX($T$44:$BO$44,,AF$6-$D91+1)),0)</f>
        <v>0</v>
      </c>
      <c r="AG91" s="46">
        <f t="array" aca="1" ref="AG91" ca="1">IFERROR(IF(INDEX(Historicals!$T47:$BO47,,AG$6+$D91*-1)&lt;&gt;"",INDEX(Historicals!$T47:$BO47,,AG$6+$D91*-1),$F91*AG$46*Historicals!$S47*INDEX($T$44:$BO$44,,AG$6-$D91+1)),0)</f>
        <v>0</v>
      </c>
      <c r="AH91" s="46">
        <f t="array" aca="1" ref="AH91" ca="1">IFERROR(IF(INDEX(Historicals!$T47:$BO47,,AH$6+$D91*-1)&lt;&gt;"",INDEX(Historicals!$T47:$BO47,,AH$6+$D91*-1),$F91*AH$46*Historicals!$S47*INDEX($T$44:$BO$44,,AH$6-$D91+1)),0)</f>
        <v>2.1107815924321747</v>
      </c>
      <c r="AI91" s="46">
        <f t="array" aca="1" ref="AI91" ca="1">IFERROR(IF(INDEX(Historicals!$T47:$BO47,,AI$6+$D91*-1)&lt;&gt;"",INDEX(Historicals!$T47:$BO47,,AI$6+$D91*-1),$F91*AI$46*Historicals!$S47*INDEX($T$44:$BO$44,,AI$6-$D91+1)),0)</f>
        <v>0</v>
      </c>
      <c r="AJ91" s="46">
        <f t="array" aca="1" ref="AJ91" ca="1">IFERROR(IF(INDEX(Historicals!$T47:$BO47,,AJ$6+$D91*-1)&lt;&gt;"",INDEX(Historicals!$T47:$BO47,,AJ$6+$D91*-1),$F91*AJ$46*Historicals!$S47*INDEX($T$44:$BO$44,,AJ$6-$D91+1)),0)</f>
        <v>0</v>
      </c>
      <c r="AK91" s="46">
        <f t="array" aca="1" ref="AK91" ca="1">IFERROR(IF(INDEX(Historicals!$T47:$BO47,,AK$6+$D91*-1)&lt;&gt;"",INDEX(Historicals!$T47:$BO47,,AK$6+$D91*-1),$F91*AK$46*Historicals!$S47*INDEX($T$44:$BO$44,,AK$6-$D91+1)),0)</f>
        <v>1.0553907962160873</v>
      </c>
      <c r="AL91" s="46">
        <f t="array" aca="1" ref="AL91" ca="1">IFERROR(IF(INDEX(Historicals!$T47:$BO47,,AL$6+$D91*-1)&lt;&gt;"",INDEX(Historicals!$T47:$BO47,,AL$6+$D91*-1),$F91*AL$46*Historicals!$S47*INDEX($T$44:$BO$44,,AL$6-$D91+1)),0)</f>
        <v>0</v>
      </c>
      <c r="AM91" s="46">
        <f t="array" aca="1" ref="AM91" ca="1">IFERROR(IF(INDEX(Historicals!$T47:$BO47,,AM$6+$D91*-1)&lt;&gt;"",INDEX(Historicals!$T47:$BO47,,AM$6+$D91*-1),$F91*AM$46*Historicals!$S47*INDEX($T$44:$BO$44,,AM$6-$D91+1)),0)</f>
        <v>0</v>
      </c>
      <c r="AN91" s="46">
        <f t="array" aca="1" ref="AN91" ca="1">IFERROR(IF(INDEX(Historicals!$T47:$BO47,,AN$6+$D91*-1)&lt;&gt;"",INDEX(Historicals!$T47:$BO47,,AN$6+$D91*-1),$F91*AN$46*Historicals!$S47*INDEX($T$44:$BO$44,,AN$6-$D91+1)),0)</f>
        <v>0.52769539810804367</v>
      </c>
      <c r="AO91" s="46">
        <f t="array" aca="1" ref="AO91" ca="1">IFERROR(IF(INDEX(Historicals!$T47:$BO47,,AO$6+$D91*-1)&lt;&gt;"",INDEX(Historicals!$T47:$BO47,,AO$6+$D91*-1),$F91*AO$46*Historicals!$S47*INDEX($T$44:$BO$44,,AO$6-$D91+1)),0)</f>
        <v>0</v>
      </c>
      <c r="AP91" s="46">
        <f t="array" aca="1" ref="AP91" ca="1">IFERROR(IF(INDEX(Historicals!$T47:$BO47,,AP$6+$D91*-1)&lt;&gt;"",INDEX(Historicals!$T47:$BO47,,AP$6+$D91*-1),$F91*AP$46*Historicals!$S47*INDEX($T$44:$BO$44,,AP$6-$D91+1)),0)</f>
        <v>0</v>
      </c>
      <c r="AQ91" s="46">
        <f t="array" ref="AQ91">IFERROR(IF(INDEX(Historicals!$T47:$BO47,,AQ$6+$D91*-1)&lt;&gt;"",INDEX(Historicals!$T47:$BO47,,AQ$6+$D91*-1),$F91*AQ$46*Historicals!$S47*INDEX($T$44:$BO$44,,AQ$6-$D91+1)),0)</f>
        <v>0</v>
      </c>
      <c r="AR91" s="46">
        <f t="array" ref="AR91">IFERROR(IF(INDEX(Historicals!$T47:$BO47,,AR$6+$D91*-1)&lt;&gt;"",INDEX(Historicals!$T47:$BO47,,AR$6+$D91*-1),$F91*AR$46*Historicals!$S47*INDEX($T$44:$BO$44,,AR$6-$D91+1)),0)</f>
        <v>0</v>
      </c>
      <c r="AS91" s="46">
        <f t="array" ref="AS91">IFERROR(IF(INDEX(Historicals!$T47:$BO47,,AS$6+$D91*-1)&lt;&gt;"",INDEX(Historicals!$T47:$BO47,,AS$6+$D91*-1),$F91*AS$46*Historicals!$S47*INDEX($T$44:$BO$44,,AS$6-$D91+1)),0)</f>
        <v>0</v>
      </c>
      <c r="AT91" s="46">
        <f t="array" ref="AT91">IFERROR(IF(INDEX(Historicals!$T47:$BO47,,AT$6+$D91*-1)&lt;&gt;"",INDEX(Historicals!$T47:$BO47,,AT$6+$D91*-1),$F91*AT$46*Historicals!$S47*INDEX($T$44:$BO$44,,AT$6-$D91+1)),0)</f>
        <v>0</v>
      </c>
      <c r="AU91" s="46">
        <f t="array" ref="AU91">IFERROR(IF(INDEX(Historicals!$T47:$BO47,,AU$6+$D91*-1)&lt;&gt;"",INDEX(Historicals!$T47:$BO47,,AU$6+$D91*-1),$F91*AU$46*Historicals!$S47*INDEX($T$44:$BO$44,,AU$6-$D91+1)),0)</f>
        <v>0</v>
      </c>
      <c r="AV91" s="46">
        <f t="array" ref="AV91">IFERROR(IF(INDEX(Historicals!$T47:$BO47,,AV$6+$D91*-1)&lt;&gt;"",INDEX(Historicals!$T47:$BO47,,AV$6+$D91*-1),$F91*AV$46*Historicals!$S47*INDEX($T$44:$BO$44,,AV$6-$D91+1)),0)</f>
        <v>0</v>
      </c>
      <c r="AW91" s="46">
        <f t="array" ref="AW91">IFERROR(IF(INDEX(Historicals!$T47:$BO47,,AW$6+$D91*-1)&lt;&gt;"",INDEX(Historicals!$T47:$BO47,,AW$6+$D91*-1),$F91*AW$46*Historicals!$S47*INDEX($T$44:$BO$44,,AW$6-$D91+1)),0)</f>
        <v>0</v>
      </c>
      <c r="AX91" s="46">
        <f t="array" ref="AX91">IFERROR(IF(INDEX(Historicals!$T47:$BO47,,AX$6+$D91*-1)&lt;&gt;"",INDEX(Historicals!$T47:$BO47,,AX$6+$D91*-1),$F91*AX$46*Historicals!$S47*INDEX($T$44:$BO$44,,AX$6-$D91+1)),0)</f>
        <v>0</v>
      </c>
      <c r="AY91" s="46">
        <f t="array" ref="AY91">IFERROR(IF(INDEX(Historicals!$T47:$BO47,,AY$6+$D91*-1)&lt;&gt;"",INDEX(Historicals!$T47:$BO47,,AY$6+$D91*-1),$F91*AY$46*Historicals!$S47*INDEX($T$44:$BO$44,,AY$6-$D91+1)),0)</f>
        <v>0</v>
      </c>
      <c r="AZ91" s="46">
        <f t="array" ref="AZ91">IFERROR(IF(INDEX(Historicals!$T47:$BO47,,AZ$6+$D91*-1)&lt;&gt;"",INDEX(Historicals!$T47:$BO47,,AZ$6+$D91*-1),$F91*AZ$46*Historicals!$S47*INDEX($T$44:$BO$44,,AZ$6-$D91+1)),0)</f>
        <v>0</v>
      </c>
      <c r="BA91" s="46">
        <f t="array" ref="BA91">IFERROR(IF(INDEX(Historicals!$T47:$BO47,,BA$6+$D91*-1)&lt;&gt;"",INDEX(Historicals!$T47:$BO47,,BA$6+$D91*-1),$F91*BA$46*Historicals!$S47*INDEX($T$44:$BO$44,,BA$6-$D91+1)),0)</f>
        <v>0</v>
      </c>
      <c r="BB91" s="46">
        <f t="array" ref="BB91">IFERROR(IF(INDEX(Historicals!$T47:$BO47,,BB$6+$D91*-1)&lt;&gt;"",INDEX(Historicals!$T47:$BO47,,BB$6+$D91*-1),$F91*BB$46*Historicals!$S47*INDEX($T$44:$BO$44,,BB$6-$D91+1)),0)</f>
        <v>0</v>
      </c>
      <c r="BC91" s="46">
        <f t="array" ref="BC91">IFERROR(IF(INDEX(Historicals!$T47:$BO47,,BC$6+$D91*-1)&lt;&gt;"",INDEX(Historicals!$T47:$BO47,,BC$6+$D91*-1),$F91*BC$46*Historicals!$S47*INDEX($T$44:$BO$44,,BC$6-$D91+1)),0)</f>
        <v>0</v>
      </c>
      <c r="BD91" s="46">
        <f t="array" ref="BD91">IFERROR(IF(INDEX(Historicals!$T47:$BO47,,BD$6+$D91*-1)&lt;&gt;"",INDEX(Historicals!$T47:$BO47,,BD$6+$D91*-1),$F91*BD$46*Historicals!$S47*INDEX($T$44:$BO$44,,BD$6-$D91+1)),0)</f>
        <v>0</v>
      </c>
      <c r="BE91" s="46">
        <f t="array" ref="BE91">IFERROR(IF(INDEX(Historicals!$T47:$BO47,,BE$6+$D91*-1)&lt;&gt;"",INDEX(Historicals!$T47:$BO47,,BE$6+$D91*-1),$F91*BE$46*Historicals!$S47*INDEX($T$44:$BO$44,,BE$6-$D91+1)),0)</f>
        <v>0</v>
      </c>
      <c r="BF91" s="46">
        <f t="array" ref="BF91">IFERROR(IF(INDEX(Historicals!$T47:$BO47,,BF$6+$D91*-1)&lt;&gt;"",INDEX(Historicals!$T47:$BO47,,BF$6+$D91*-1),$F91*BF$46*Historicals!$S47*INDEX($T$44:$BO$44,,BF$6-$D91+1)),0)</f>
        <v>0</v>
      </c>
      <c r="BG91" s="46">
        <f t="array" ref="BG91">IFERROR(IF(INDEX(Historicals!$T47:$BO47,,BG$6+$D91*-1)&lt;&gt;"",INDEX(Historicals!$T47:$BO47,,BG$6+$D91*-1),$F91*BG$46*Historicals!$S47*INDEX($T$44:$BO$44,,BG$6-$D91+1)),0)</f>
        <v>0</v>
      </c>
      <c r="BH91" s="46">
        <f t="array" ref="BH91">IFERROR(IF(INDEX(Historicals!$T47:$BO47,,BH$6+$D91*-1)&lt;&gt;"",INDEX(Historicals!$T47:$BO47,,BH$6+$D91*-1),$F91*BH$46*Historicals!$S47*INDEX($T$44:$BO$44,,BH$6-$D91+1)),0)</f>
        <v>0</v>
      </c>
      <c r="BI91" s="46">
        <f t="array" ref="BI91">IFERROR(IF(INDEX(Historicals!$T47:$BO47,,BI$6+$D91*-1)&lt;&gt;"",INDEX(Historicals!$T47:$BO47,,BI$6+$D91*-1),$F91*BI$46*Historicals!$S47*INDEX($T$44:$BO$44,,BI$6-$D91+1)),0)</f>
        <v>0</v>
      </c>
      <c r="BJ91" s="46">
        <f t="array" ref="BJ91">IFERROR(IF(INDEX(Historicals!$T47:$BO47,,BJ$6+$D91*-1)&lt;&gt;"",INDEX(Historicals!$T47:$BO47,,BJ$6+$D91*-1),$F91*BJ$46*Historicals!$S47*INDEX($T$44:$BO$44,,BJ$6-$D91+1)),0)</f>
        <v>0</v>
      </c>
      <c r="BK91" s="46">
        <f t="array" ref="BK91">IFERROR(IF(INDEX(Historicals!$T47:$BO47,,BK$6+$D91*-1)&lt;&gt;"",INDEX(Historicals!$T47:$BO47,,BK$6+$D91*-1),$F91*BK$46*Historicals!$S47*INDEX($T$44:$BO$44,,BK$6-$D91+1)),0)</f>
        <v>0</v>
      </c>
      <c r="BL91" s="46">
        <f t="array" ref="BL91">IFERROR(IF(INDEX(Historicals!$T47:$BO47,,BL$6+$D91*-1)&lt;&gt;"",INDEX(Historicals!$T47:$BO47,,BL$6+$D91*-1),$F91*BL$46*Historicals!$S47*INDEX($T$44:$BO$44,,BL$6-$D91+1)),0)</f>
        <v>0</v>
      </c>
      <c r="BM91" s="46">
        <f t="array" ref="BM91">IFERROR(IF(INDEX(Historicals!$T47:$BO47,,BM$6+$D91*-1)&lt;&gt;"",INDEX(Historicals!$T47:$BO47,,BM$6+$D91*-1),$F91*BM$46*Historicals!$S47*INDEX($T$44:$BO$44,,BM$6-$D91+1)),0)</f>
        <v>0</v>
      </c>
      <c r="BN91" s="46">
        <f t="array" ref="BN91">IFERROR(IF(INDEX(Historicals!$T47:$BO47,,BN$6+$D91*-1)&lt;&gt;"",INDEX(Historicals!$T47:$BO47,,BN$6+$D91*-1),$F91*BN$46*Historicals!$S47*INDEX($T$44:$BO$44,,BN$6-$D91+1)),0)</f>
        <v>0</v>
      </c>
      <c r="BO91" s="46">
        <f t="array" ref="BO91">IFERROR(IF(INDEX(Historicals!$T47:$BO47,,BO$6+$D91*-1)&lt;&gt;"",INDEX(Historicals!$T47:$BO47,,BO$6+$D91*-1),$F91*BO$46*Historicals!$S47*INDEX($T$44:$BO$44,,BO$6-$D91+1)),0)</f>
        <v>0</v>
      </c>
    </row>
    <row r="92" spans="1:67" ht="16.5" hidden="1" customHeight="1" outlineLevel="1">
      <c r="A92" s="1"/>
      <c r="B92" s="55">
        <f t="shared" si="19"/>
        <v>45320</v>
      </c>
      <c r="C92" s="17" t="s">
        <v>104</v>
      </c>
      <c r="D92" s="46">
        <f t="shared" si="20"/>
        <v>-11</v>
      </c>
      <c r="E92" s="16"/>
      <c r="F92" s="51">
        <v>1</v>
      </c>
      <c r="G92" s="16" t="s">
        <v>159</v>
      </c>
      <c r="H92" s="16" t="s">
        <v>155</v>
      </c>
      <c r="I92" s="46">
        <f ca="1">IF(H92=Forecast!$H$195,T92,IF(H92=Forecast!$H$196,BO92,IF(H92=Forecast!$H$197,SUM(T92:BO92),IF(H92=Forecast!$H$198,AVERAGE(T92:BO92),0))))</f>
        <v>168.26365446601082</v>
      </c>
      <c r="J92" s="16"/>
      <c r="K92" s="16"/>
      <c r="L92" s="16"/>
      <c r="M92" s="16"/>
      <c r="N92" s="16"/>
      <c r="O92" s="16"/>
      <c r="P92" s="16"/>
      <c r="Q92" s="16"/>
      <c r="R92" s="16"/>
      <c r="S92" s="16"/>
      <c r="T92" s="46">
        <f t="array" ref="T92">IFERROR(IF(INDEX(Historicals!$T48:$BO48,,T$6+$D92*-1)&lt;&gt;"",INDEX(Historicals!$T48:$BO48,,T$6+$D92*-1),$F92*T$46*Historicals!$S48*INDEX($T$44:$BO$44,,T$6-$D92+1)),0)</f>
        <v>97.7191117715671</v>
      </c>
      <c r="U92" s="46">
        <f t="array" aca="1" ref="U92" ca="1">IFERROR(IF(INDEX(Historicals!$T48:$BO48,,U$6+$D92*-1)&lt;&gt;"",INDEX(Historicals!$T48:$BO48,,U$6+$D92*-1),$F92*U$46*Historicals!$S48*INDEX($T$44:$BO$44,,U$6-$D92+1)),0)</f>
        <v>0</v>
      </c>
      <c r="V92" s="46">
        <f t="array" aca="1" ref="V92" ca="1">IFERROR(IF(INDEX(Historicals!$T48:$BO48,,V$6+$D92*-1)&lt;&gt;"",INDEX(Historicals!$T48:$BO48,,V$6+$D92*-1),$F92*V$46*Historicals!$S48*INDEX($T$44:$BO$44,,V$6-$D92+1)),0)</f>
        <v>0</v>
      </c>
      <c r="W92" s="46">
        <f t="array" aca="1" ref="W92" ca="1">IFERROR(IF(INDEX(Historicals!$T48:$BO48,,W$6+$D92*-1)&lt;&gt;"",INDEX(Historicals!$T48:$BO48,,W$6+$D92*-1),$F92*W$46*Historicals!$S48*INDEX($T$44:$BO$44,,W$6-$D92+1)),0)</f>
        <v>35.550005767278734</v>
      </c>
      <c r="X92" s="46">
        <f t="array" aca="1" ref="X92" ca="1">IFERROR(IF(INDEX(Historicals!$T48:$BO48,,X$6+$D92*-1)&lt;&gt;"",INDEX(Historicals!$T48:$BO48,,X$6+$D92*-1),$F92*X$46*Historicals!$S48*INDEX($T$44:$BO$44,,X$6-$D92+1)),0)</f>
        <v>0</v>
      </c>
      <c r="Y92" s="46">
        <f t="array" aca="1" ref="Y92" ca="1">IFERROR(IF(INDEX(Historicals!$T48:$BO48,,Y$6+$D92*-1)&lt;&gt;"",INDEX(Historicals!$T48:$BO48,,Y$6+$D92*-1),$F92*Y$46*Historicals!$S48*INDEX($T$44:$BO$44,,Y$6-$D92+1)),0)</f>
        <v>0</v>
      </c>
      <c r="Z92" s="46">
        <f t="array" aca="1" ref="Z92" ca="1">IFERROR(IF(INDEX(Historicals!$T48:$BO48,,Z$6+$D92*-1)&lt;&gt;"",INDEX(Historicals!$T48:$BO48,,Z$6+$D92*-1),$F92*Z$46*Historicals!$S48*INDEX($T$44:$BO$44,,Z$6-$D92+1)),0)</f>
        <v>17.775002883639367</v>
      </c>
      <c r="AA92" s="46">
        <f t="array" aca="1" ref="AA92" ca="1">IFERROR(IF(INDEX(Historicals!$T48:$BO48,,AA$6+$D92*-1)&lt;&gt;"",INDEX(Historicals!$T48:$BO48,,AA$6+$D92*-1),$F92*AA$46*Historicals!$S48*INDEX($T$44:$BO$44,,AA$6-$D92+1)),0)</f>
        <v>0</v>
      </c>
      <c r="AB92" s="46">
        <f t="array" aca="1" ref="AB92" ca="1">IFERROR(IF(INDEX(Historicals!$T48:$BO48,,AB$6+$D92*-1)&lt;&gt;"",INDEX(Historicals!$T48:$BO48,,AB$6+$D92*-1),$F92*AB$46*Historicals!$S48*INDEX($T$44:$BO$44,,AB$6-$D92+1)),0)</f>
        <v>0</v>
      </c>
      <c r="AC92" s="46">
        <f t="array" aca="1" ref="AC92" ca="1">IFERROR(IF(INDEX(Historicals!$T48:$BO48,,AC$6+$D92*-1)&lt;&gt;"",INDEX(Historicals!$T48:$BO48,,AC$6+$D92*-1),$F92*AC$46*Historicals!$S48*INDEX($T$44:$BO$44,,AC$6-$D92+1)),0)</f>
        <v>8.8875014418196834</v>
      </c>
      <c r="AD92" s="46">
        <f t="array" aca="1" ref="AD92" ca="1">IFERROR(IF(INDEX(Historicals!$T48:$BO48,,AD$6+$D92*-1)&lt;&gt;"",INDEX(Historicals!$T48:$BO48,,AD$6+$D92*-1),$F92*AD$46*Historicals!$S48*INDEX($T$44:$BO$44,,AD$6-$D92+1)),0)</f>
        <v>0</v>
      </c>
      <c r="AE92" s="46">
        <f t="array" aca="1" ref="AE92" ca="1">IFERROR(IF(INDEX(Historicals!$T48:$BO48,,AE$6+$D92*-1)&lt;&gt;"",INDEX(Historicals!$T48:$BO48,,AE$6+$D92*-1),$F92*AE$46*Historicals!$S48*INDEX($T$44:$BO$44,,AE$6-$D92+1)),0)</f>
        <v>0</v>
      </c>
      <c r="AF92" s="46">
        <f t="array" aca="1" ref="AF92" ca="1">IFERROR(IF(INDEX(Historicals!$T48:$BO48,,AF$6+$D92*-1)&lt;&gt;"",INDEX(Historicals!$T48:$BO48,,AF$6+$D92*-1),$F92*AF$46*Historicals!$S48*INDEX($T$44:$BO$44,,AF$6-$D92+1)),0)</f>
        <v>4.4437507209098417</v>
      </c>
      <c r="AG92" s="46">
        <f t="array" aca="1" ref="AG92" ca="1">IFERROR(IF(INDEX(Historicals!$T48:$BO48,,AG$6+$D92*-1)&lt;&gt;"",INDEX(Historicals!$T48:$BO48,,AG$6+$D92*-1),$F92*AG$46*Historicals!$S48*INDEX($T$44:$BO$44,,AG$6-$D92+1)),0)</f>
        <v>0</v>
      </c>
      <c r="AH92" s="46">
        <f t="array" aca="1" ref="AH92" ca="1">IFERROR(IF(INDEX(Historicals!$T48:$BO48,,AH$6+$D92*-1)&lt;&gt;"",INDEX(Historicals!$T48:$BO48,,AH$6+$D92*-1),$F92*AH$46*Historicals!$S48*INDEX($T$44:$BO$44,,AH$6-$D92+1)),0)</f>
        <v>0</v>
      </c>
      <c r="AI92" s="46">
        <f t="array" aca="1" ref="AI92" ca="1">IFERROR(IF(INDEX(Historicals!$T48:$BO48,,AI$6+$D92*-1)&lt;&gt;"",INDEX(Historicals!$T48:$BO48,,AI$6+$D92*-1),$F92*AI$46*Historicals!$S48*INDEX($T$44:$BO$44,,AI$6-$D92+1)),0)</f>
        <v>2.2218753604549208</v>
      </c>
      <c r="AJ92" s="46">
        <f t="array" aca="1" ref="AJ92" ca="1">IFERROR(IF(INDEX(Historicals!$T48:$BO48,,AJ$6+$D92*-1)&lt;&gt;"",INDEX(Historicals!$T48:$BO48,,AJ$6+$D92*-1),$F92*AJ$46*Historicals!$S48*INDEX($T$44:$BO$44,,AJ$6-$D92+1)),0)</f>
        <v>0</v>
      </c>
      <c r="AK92" s="46">
        <f t="array" aca="1" ref="AK92" ca="1">IFERROR(IF(INDEX(Historicals!$T48:$BO48,,AK$6+$D92*-1)&lt;&gt;"",INDEX(Historicals!$T48:$BO48,,AK$6+$D92*-1),$F92*AK$46*Historicals!$S48*INDEX($T$44:$BO$44,,AK$6-$D92+1)),0)</f>
        <v>0</v>
      </c>
      <c r="AL92" s="46">
        <f t="array" aca="1" ref="AL92" ca="1">IFERROR(IF(INDEX(Historicals!$T48:$BO48,,AL$6+$D92*-1)&lt;&gt;"",INDEX(Historicals!$T48:$BO48,,AL$6+$D92*-1),$F92*AL$46*Historicals!$S48*INDEX($T$44:$BO$44,,AL$6-$D92+1)),0)</f>
        <v>1.1109376802274604</v>
      </c>
      <c r="AM92" s="46">
        <f t="array" aca="1" ref="AM92" ca="1">IFERROR(IF(INDEX(Historicals!$T48:$BO48,,AM$6+$D92*-1)&lt;&gt;"",INDEX(Historicals!$T48:$BO48,,AM$6+$D92*-1),$F92*AM$46*Historicals!$S48*INDEX($T$44:$BO$44,,AM$6-$D92+1)),0)</f>
        <v>0</v>
      </c>
      <c r="AN92" s="46">
        <f t="array" aca="1" ref="AN92" ca="1">IFERROR(IF(INDEX(Historicals!$T48:$BO48,,AN$6+$D92*-1)&lt;&gt;"",INDEX(Historicals!$T48:$BO48,,AN$6+$D92*-1),$F92*AN$46*Historicals!$S48*INDEX($T$44:$BO$44,,AN$6-$D92+1)),0)</f>
        <v>0</v>
      </c>
      <c r="AO92" s="46">
        <f t="array" aca="1" ref="AO92" ca="1">IFERROR(IF(INDEX(Historicals!$T48:$BO48,,AO$6+$D92*-1)&lt;&gt;"",INDEX(Historicals!$T48:$BO48,,AO$6+$D92*-1),$F92*AO$46*Historicals!$S48*INDEX($T$44:$BO$44,,AO$6-$D92+1)),0)</f>
        <v>0.55546884011373021</v>
      </c>
      <c r="AP92" s="46">
        <f t="array" aca="1" ref="AP92" ca="1">IFERROR(IF(INDEX(Historicals!$T48:$BO48,,AP$6+$D92*-1)&lt;&gt;"",INDEX(Historicals!$T48:$BO48,,AP$6+$D92*-1),$F92*AP$46*Historicals!$S48*INDEX($T$44:$BO$44,,AP$6-$D92+1)),0)</f>
        <v>0</v>
      </c>
      <c r="AQ92" s="46">
        <f t="array" aca="1" ref="AQ92" ca="1">IFERROR(IF(INDEX(Historicals!$T48:$BO48,,AQ$6+$D92*-1)&lt;&gt;"",INDEX(Historicals!$T48:$BO48,,AQ$6+$D92*-1),$F92*AQ$46*Historicals!$S48*INDEX($T$44:$BO$44,,AQ$6-$D92+1)),0)</f>
        <v>0</v>
      </c>
      <c r="AR92" s="46">
        <f t="array" ref="AR92">IFERROR(IF(INDEX(Historicals!$T48:$BO48,,AR$6+$D92*-1)&lt;&gt;"",INDEX(Historicals!$T48:$BO48,,AR$6+$D92*-1),$F92*AR$46*Historicals!$S48*INDEX($T$44:$BO$44,,AR$6-$D92+1)),0)</f>
        <v>0</v>
      </c>
      <c r="AS92" s="46">
        <f t="array" ref="AS92">IFERROR(IF(INDEX(Historicals!$T48:$BO48,,AS$6+$D92*-1)&lt;&gt;"",INDEX(Historicals!$T48:$BO48,,AS$6+$D92*-1),$F92*AS$46*Historicals!$S48*INDEX($T$44:$BO$44,,AS$6-$D92+1)),0)</f>
        <v>0</v>
      </c>
      <c r="AT92" s="46">
        <f t="array" ref="AT92">IFERROR(IF(INDEX(Historicals!$T48:$BO48,,AT$6+$D92*-1)&lt;&gt;"",INDEX(Historicals!$T48:$BO48,,AT$6+$D92*-1),$F92*AT$46*Historicals!$S48*INDEX($T$44:$BO$44,,AT$6-$D92+1)),0)</f>
        <v>0</v>
      </c>
      <c r="AU92" s="46">
        <f t="array" ref="AU92">IFERROR(IF(INDEX(Historicals!$T48:$BO48,,AU$6+$D92*-1)&lt;&gt;"",INDEX(Historicals!$T48:$BO48,,AU$6+$D92*-1),$F92*AU$46*Historicals!$S48*INDEX($T$44:$BO$44,,AU$6-$D92+1)),0)</f>
        <v>0</v>
      </c>
      <c r="AV92" s="46">
        <f t="array" ref="AV92">IFERROR(IF(INDEX(Historicals!$T48:$BO48,,AV$6+$D92*-1)&lt;&gt;"",INDEX(Historicals!$T48:$BO48,,AV$6+$D92*-1),$F92*AV$46*Historicals!$S48*INDEX($T$44:$BO$44,,AV$6-$D92+1)),0)</f>
        <v>0</v>
      </c>
      <c r="AW92" s="46">
        <f t="array" ref="AW92">IFERROR(IF(INDEX(Historicals!$T48:$BO48,,AW$6+$D92*-1)&lt;&gt;"",INDEX(Historicals!$T48:$BO48,,AW$6+$D92*-1),$F92*AW$46*Historicals!$S48*INDEX($T$44:$BO$44,,AW$6-$D92+1)),0)</f>
        <v>0</v>
      </c>
      <c r="AX92" s="46">
        <f t="array" ref="AX92">IFERROR(IF(INDEX(Historicals!$T48:$BO48,,AX$6+$D92*-1)&lt;&gt;"",INDEX(Historicals!$T48:$BO48,,AX$6+$D92*-1),$F92*AX$46*Historicals!$S48*INDEX($T$44:$BO$44,,AX$6-$D92+1)),0)</f>
        <v>0</v>
      </c>
      <c r="AY92" s="46">
        <f t="array" ref="AY92">IFERROR(IF(INDEX(Historicals!$T48:$BO48,,AY$6+$D92*-1)&lt;&gt;"",INDEX(Historicals!$T48:$BO48,,AY$6+$D92*-1),$F92*AY$46*Historicals!$S48*INDEX($T$44:$BO$44,,AY$6-$D92+1)),0)</f>
        <v>0</v>
      </c>
      <c r="AZ92" s="46">
        <f t="array" ref="AZ92">IFERROR(IF(INDEX(Historicals!$T48:$BO48,,AZ$6+$D92*-1)&lt;&gt;"",INDEX(Historicals!$T48:$BO48,,AZ$6+$D92*-1),$F92*AZ$46*Historicals!$S48*INDEX($T$44:$BO$44,,AZ$6-$D92+1)),0)</f>
        <v>0</v>
      </c>
      <c r="BA92" s="46">
        <f t="array" ref="BA92">IFERROR(IF(INDEX(Historicals!$T48:$BO48,,BA$6+$D92*-1)&lt;&gt;"",INDEX(Historicals!$T48:$BO48,,BA$6+$D92*-1),$F92*BA$46*Historicals!$S48*INDEX($T$44:$BO$44,,BA$6-$D92+1)),0)</f>
        <v>0</v>
      </c>
      <c r="BB92" s="46">
        <f t="array" ref="BB92">IFERROR(IF(INDEX(Historicals!$T48:$BO48,,BB$6+$D92*-1)&lt;&gt;"",INDEX(Historicals!$T48:$BO48,,BB$6+$D92*-1),$F92*BB$46*Historicals!$S48*INDEX($T$44:$BO$44,,BB$6-$D92+1)),0)</f>
        <v>0</v>
      </c>
      <c r="BC92" s="46">
        <f t="array" ref="BC92">IFERROR(IF(INDEX(Historicals!$T48:$BO48,,BC$6+$D92*-1)&lt;&gt;"",INDEX(Historicals!$T48:$BO48,,BC$6+$D92*-1),$F92*BC$46*Historicals!$S48*INDEX($T$44:$BO$44,,BC$6-$D92+1)),0)</f>
        <v>0</v>
      </c>
      <c r="BD92" s="46">
        <f t="array" ref="BD92">IFERROR(IF(INDEX(Historicals!$T48:$BO48,,BD$6+$D92*-1)&lt;&gt;"",INDEX(Historicals!$T48:$BO48,,BD$6+$D92*-1),$F92*BD$46*Historicals!$S48*INDEX($T$44:$BO$44,,BD$6-$D92+1)),0)</f>
        <v>0</v>
      </c>
      <c r="BE92" s="46">
        <f t="array" ref="BE92">IFERROR(IF(INDEX(Historicals!$T48:$BO48,,BE$6+$D92*-1)&lt;&gt;"",INDEX(Historicals!$T48:$BO48,,BE$6+$D92*-1),$F92*BE$46*Historicals!$S48*INDEX($T$44:$BO$44,,BE$6-$D92+1)),0)</f>
        <v>0</v>
      </c>
      <c r="BF92" s="46">
        <f t="array" ref="BF92">IFERROR(IF(INDEX(Historicals!$T48:$BO48,,BF$6+$D92*-1)&lt;&gt;"",INDEX(Historicals!$T48:$BO48,,BF$6+$D92*-1),$F92*BF$46*Historicals!$S48*INDEX($T$44:$BO$44,,BF$6-$D92+1)),0)</f>
        <v>0</v>
      </c>
      <c r="BG92" s="46">
        <f t="array" ref="BG92">IFERROR(IF(INDEX(Historicals!$T48:$BO48,,BG$6+$D92*-1)&lt;&gt;"",INDEX(Historicals!$T48:$BO48,,BG$6+$D92*-1),$F92*BG$46*Historicals!$S48*INDEX($T$44:$BO$44,,BG$6-$D92+1)),0)</f>
        <v>0</v>
      </c>
      <c r="BH92" s="46">
        <f t="array" ref="BH92">IFERROR(IF(INDEX(Historicals!$T48:$BO48,,BH$6+$D92*-1)&lt;&gt;"",INDEX(Historicals!$T48:$BO48,,BH$6+$D92*-1),$F92*BH$46*Historicals!$S48*INDEX($T$44:$BO$44,,BH$6-$D92+1)),0)</f>
        <v>0</v>
      </c>
      <c r="BI92" s="46">
        <f t="array" ref="BI92">IFERROR(IF(INDEX(Historicals!$T48:$BO48,,BI$6+$D92*-1)&lt;&gt;"",INDEX(Historicals!$T48:$BO48,,BI$6+$D92*-1),$F92*BI$46*Historicals!$S48*INDEX($T$44:$BO$44,,BI$6-$D92+1)),0)</f>
        <v>0</v>
      </c>
      <c r="BJ92" s="46">
        <f t="array" ref="BJ92">IFERROR(IF(INDEX(Historicals!$T48:$BO48,,BJ$6+$D92*-1)&lt;&gt;"",INDEX(Historicals!$T48:$BO48,,BJ$6+$D92*-1),$F92*BJ$46*Historicals!$S48*INDEX($T$44:$BO$44,,BJ$6-$D92+1)),0)</f>
        <v>0</v>
      </c>
      <c r="BK92" s="46">
        <f t="array" ref="BK92">IFERROR(IF(INDEX(Historicals!$T48:$BO48,,BK$6+$D92*-1)&lt;&gt;"",INDEX(Historicals!$T48:$BO48,,BK$6+$D92*-1),$F92*BK$46*Historicals!$S48*INDEX($T$44:$BO$44,,BK$6-$D92+1)),0)</f>
        <v>0</v>
      </c>
      <c r="BL92" s="46">
        <f t="array" ref="BL92">IFERROR(IF(INDEX(Historicals!$T48:$BO48,,BL$6+$D92*-1)&lt;&gt;"",INDEX(Historicals!$T48:$BO48,,BL$6+$D92*-1),$F92*BL$46*Historicals!$S48*INDEX($T$44:$BO$44,,BL$6-$D92+1)),0)</f>
        <v>0</v>
      </c>
      <c r="BM92" s="46">
        <f t="array" ref="BM92">IFERROR(IF(INDEX(Historicals!$T48:$BO48,,BM$6+$D92*-1)&lt;&gt;"",INDEX(Historicals!$T48:$BO48,,BM$6+$D92*-1),$F92*BM$46*Historicals!$S48*INDEX($T$44:$BO$44,,BM$6-$D92+1)),0)</f>
        <v>0</v>
      </c>
      <c r="BN92" s="46">
        <f t="array" ref="BN92">IFERROR(IF(INDEX(Historicals!$T48:$BO48,,BN$6+$D92*-1)&lt;&gt;"",INDEX(Historicals!$T48:$BO48,,BN$6+$D92*-1),$F92*BN$46*Historicals!$S48*INDEX($T$44:$BO$44,,BN$6-$D92+1)),0)</f>
        <v>0</v>
      </c>
      <c r="BO92" s="46">
        <f t="array" ref="BO92">IFERROR(IF(INDEX(Historicals!$T48:$BO48,,BO$6+$D92*-1)&lt;&gt;"",INDEX(Historicals!$T48:$BO48,,BO$6+$D92*-1),$F92*BO$46*Historicals!$S48*INDEX($T$44:$BO$44,,BO$6-$D92+1)),0)</f>
        <v>0</v>
      </c>
    </row>
    <row r="93" spans="1:67" ht="16.5" hidden="1" customHeight="1" outlineLevel="1">
      <c r="A93" s="1"/>
      <c r="B93" s="55">
        <f t="shared" si="19"/>
        <v>45351</v>
      </c>
      <c r="C93" s="17" t="s">
        <v>104</v>
      </c>
      <c r="D93" s="46">
        <f t="shared" si="20"/>
        <v>-10</v>
      </c>
      <c r="E93" s="16"/>
      <c r="F93" s="51">
        <v>1</v>
      </c>
      <c r="G93" s="16" t="s">
        <v>159</v>
      </c>
      <c r="H93" s="16" t="s">
        <v>155</v>
      </c>
      <c r="I93" s="46">
        <f ca="1">IF(H93=Forecast!$H$195,T93,IF(H93=Forecast!$H$196,BO93,IF(H93=Forecast!$H$197,SUM(T93:BO93),IF(H93=Forecast!$H$198,AVERAGE(T93:BO93),0))))</f>
        <v>277.67730941416852</v>
      </c>
      <c r="J93" s="16"/>
      <c r="K93" s="16"/>
      <c r="L93" s="16"/>
      <c r="M93" s="16"/>
      <c r="N93" s="16"/>
      <c r="O93" s="16"/>
      <c r="P93" s="16"/>
      <c r="Q93" s="16"/>
      <c r="R93" s="16"/>
      <c r="S93" s="16"/>
      <c r="T93" s="46">
        <f t="array" ref="T93">IFERROR(IF(INDEX(Historicals!$T49:$BO49,,T$6+$D93*-1)&lt;&gt;"",INDEX(Historicals!$T49:$BO49,,T$6+$D93*-1),$F93*T$46*Historicals!$S49*INDEX($T$44:$BO$44,,T$6-$D93+1)),0)</f>
        <v>128.57777864679883</v>
      </c>
      <c r="U93" s="46">
        <f t="array" aca="1" ref="U93" ca="1">IFERROR(IF(INDEX(Historicals!$T49:$BO49,,U$6+$D93*-1)&lt;&gt;"",INDEX(Historicals!$T49:$BO49,,U$6+$D93*-1),$F93*U$46*Historicals!$S49*INDEX($T$44:$BO$44,,U$6-$D93+1)),0)</f>
        <v>74.842117404797335</v>
      </c>
      <c r="V93" s="46">
        <f t="array" aca="1" ref="V93" ca="1">IFERROR(IF(INDEX(Historicals!$T49:$BO49,,V$6+$D93*-1)&lt;&gt;"",INDEX(Historicals!$T49:$BO49,,V$6+$D93*-1),$F93*V$46*Historicals!$S49*INDEX($T$44:$BO$44,,V$6-$D93+1)),0)</f>
        <v>0</v>
      </c>
      <c r="W93" s="46">
        <f t="array" aca="1" ref="W93" ca="1">IFERROR(IF(INDEX(Historicals!$T49:$BO49,,W$6+$D93*-1)&lt;&gt;"",INDEX(Historicals!$T49:$BO49,,W$6+$D93*-1),$F93*W$46*Historicals!$S49*INDEX($T$44:$BO$44,,W$6-$D93+1)),0)</f>
        <v>0</v>
      </c>
      <c r="X93" s="46">
        <f t="array" aca="1" ref="X93" ca="1">IFERROR(IF(INDEX(Historicals!$T49:$BO49,,X$6+$D93*-1)&lt;&gt;"",INDEX(Historicals!$T49:$BO49,,X$6+$D93*-1),$F93*X$46*Historicals!$S49*INDEX($T$44:$BO$44,,X$6-$D93+1)),0)</f>
        <v>37.421058702398668</v>
      </c>
      <c r="Y93" s="46">
        <f t="array" aca="1" ref="Y93" ca="1">IFERROR(IF(INDEX(Historicals!$T49:$BO49,,Y$6+$D93*-1)&lt;&gt;"",INDEX(Historicals!$T49:$BO49,,Y$6+$D93*-1),$F93*Y$46*Historicals!$S49*INDEX($T$44:$BO$44,,Y$6-$D93+1)),0)</f>
        <v>0</v>
      </c>
      <c r="Z93" s="46">
        <f t="array" aca="1" ref="Z93" ca="1">IFERROR(IF(INDEX(Historicals!$T49:$BO49,,Z$6+$D93*-1)&lt;&gt;"",INDEX(Historicals!$T49:$BO49,,Z$6+$D93*-1),$F93*Z$46*Historicals!$S49*INDEX($T$44:$BO$44,,Z$6-$D93+1)),0)</f>
        <v>0</v>
      </c>
      <c r="AA93" s="46">
        <f t="array" aca="1" ref="AA93" ca="1">IFERROR(IF(INDEX(Historicals!$T49:$BO49,,AA$6+$D93*-1)&lt;&gt;"",INDEX(Historicals!$T49:$BO49,,AA$6+$D93*-1),$F93*AA$46*Historicals!$S49*INDEX($T$44:$BO$44,,AA$6-$D93+1)),0)</f>
        <v>18.710529351199334</v>
      </c>
      <c r="AB93" s="46">
        <f t="array" aca="1" ref="AB93" ca="1">IFERROR(IF(INDEX(Historicals!$T49:$BO49,,AB$6+$D93*-1)&lt;&gt;"",INDEX(Historicals!$T49:$BO49,,AB$6+$D93*-1),$F93*AB$46*Historicals!$S49*INDEX($T$44:$BO$44,,AB$6-$D93+1)),0)</f>
        <v>0</v>
      </c>
      <c r="AC93" s="46">
        <f t="array" aca="1" ref="AC93" ca="1">IFERROR(IF(INDEX(Historicals!$T49:$BO49,,AC$6+$D93*-1)&lt;&gt;"",INDEX(Historicals!$T49:$BO49,,AC$6+$D93*-1),$F93*AC$46*Historicals!$S49*INDEX($T$44:$BO$44,,AC$6-$D93+1)),0)</f>
        <v>0</v>
      </c>
      <c r="AD93" s="46">
        <f t="array" aca="1" ref="AD93" ca="1">IFERROR(IF(INDEX(Historicals!$T49:$BO49,,AD$6+$D93*-1)&lt;&gt;"",INDEX(Historicals!$T49:$BO49,,AD$6+$D93*-1),$F93*AD$46*Historicals!$S49*INDEX($T$44:$BO$44,,AD$6-$D93+1)),0)</f>
        <v>9.3552646755996669</v>
      </c>
      <c r="AE93" s="46">
        <f t="array" aca="1" ref="AE93" ca="1">IFERROR(IF(INDEX(Historicals!$T49:$BO49,,AE$6+$D93*-1)&lt;&gt;"",INDEX(Historicals!$T49:$BO49,,AE$6+$D93*-1),$F93*AE$46*Historicals!$S49*INDEX($T$44:$BO$44,,AE$6-$D93+1)),0)</f>
        <v>0</v>
      </c>
      <c r="AF93" s="46">
        <f t="array" aca="1" ref="AF93" ca="1">IFERROR(IF(INDEX(Historicals!$T49:$BO49,,AF$6+$D93*-1)&lt;&gt;"",INDEX(Historicals!$T49:$BO49,,AF$6+$D93*-1),$F93*AF$46*Historicals!$S49*INDEX($T$44:$BO$44,,AF$6-$D93+1)),0)</f>
        <v>0</v>
      </c>
      <c r="AG93" s="46">
        <f t="array" aca="1" ref="AG93" ca="1">IFERROR(IF(INDEX(Historicals!$T49:$BO49,,AG$6+$D93*-1)&lt;&gt;"",INDEX(Historicals!$T49:$BO49,,AG$6+$D93*-1),$F93*AG$46*Historicals!$S49*INDEX($T$44:$BO$44,,AG$6-$D93+1)),0)</f>
        <v>4.6776323377998335</v>
      </c>
      <c r="AH93" s="46">
        <f t="array" aca="1" ref="AH93" ca="1">IFERROR(IF(INDEX(Historicals!$T49:$BO49,,AH$6+$D93*-1)&lt;&gt;"",INDEX(Historicals!$T49:$BO49,,AH$6+$D93*-1),$F93*AH$46*Historicals!$S49*INDEX($T$44:$BO$44,,AH$6-$D93+1)),0)</f>
        <v>0</v>
      </c>
      <c r="AI93" s="46">
        <f t="array" aca="1" ref="AI93" ca="1">IFERROR(IF(INDEX(Historicals!$T49:$BO49,,AI$6+$D93*-1)&lt;&gt;"",INDEX(Historicals!$T49:$BO49,,AI$6+$D93*-1),$F93*AI$46*Historicals!$S49*INDEX($T$44:$BO$44,,AI$6-$D93+1)),0)</f>
        <v>0</v>
      </c>
      <c r="AJ93" s="46">
        <f t="array" aca="1" ref="AJ93" ca="1">IFERROR(IF(INDEX(Historicals!$T49:$BO49,,AJ$6+$D93*-1)&lt;&gt;"",INDEX(Historicals!$T49:$BO49,,AJ$6+$D93*-1),$F93*AJ$46*Historicals!$S49*INDEX($T$44:$BO$44,,AJ$6-$D93+1)),0)</f>
        <v>2.3388161688999167</v>
      </c>
      <c r="AK93" s="46">
        <f t="array" aca="1" ref="AK93" ca="1">IFERROR(IF(INDEX(Historicals!$T49:$BO49,,AK$6+$D93*-1)&lt;&gt;"",INDEX(Historicals!$T49:$BO49,,AK$6+$D93*-1),$F93*AK$46*Historicals!$S49*INDEX($T$44:$BO$44,,AK$6-$D93+1)),0)</f>
        <v>0</v>
      </c>
      <c r="AL93" s="46">
        <f t="array" aca="1" ref="AL93" ca="1">IFERROR(IF(INDEX(Historicals!$T49:$BO49,,AL$6+$D93*-1)&lt;&gt;"",INDEX(Historicals!$T49:$BO49,,AL$6+$D93*-1),$F93*AL$46*Historicals!$S49*INDEX($T$44:$BO$44,,AL$6-$D93+1)),0)</f>
        <v>0</v>
      </c>
      <c r="AM93" s="46">
        <f t="array" aca="1" ref="AM93" ca="1">IFERROR(IF(INDEX(Historicals!$T49:$BO49,,AM$6+$D93*-1)&lt;&gt;"",INDEX(Historicals!$T49:$BO49,,AM$6+$D93*-1),$F93*AM$46*Historicals!$S49*INDEX($T$44:$BO$44,,AM$6-$D93+1)),0)</f>
        <v>1.1694080844499584</v>
      </c>
      <c r="AN93" s="46">
        <f t="array" aca="1" ref="AN93" ca="1">IFERROR(IF(INDEX(Historicals!$T49:$BO49,,AN$6+$D93*-1)&lt;&gt;"",INDEX(Historicals!$T49:$BO49,,AN$6+$D93*-1),$F93*AN$46*Historicals!$S49*INDEX($T$44:$BO$44,,AN$6-$D93+1)),0)</f>
        <v>0</v>
      </c>
      <c r="AO93" s="46">
        <f t="array" aca="1" ref="AO93" ca="1">IFERROR(IF(INDEX(Historicals!$T49:$BO49,,AO$6+$D93*-1)&lt;&gt;"",INDEX(Historicals!$T49:$BO49,,AO$6+$D93*-1),$F93*AO$46*Historicals!$S49*INDEX($T$44:$BO$44,,AO$6-$D93+1)),0)</f>
        <v>0</v>
      </c>
      <c r="AP93" s="46">
        <f t="array" aca="1" ref="AP93" ca="1">IFERROR(IF(INDEX(Historicals!$T49:$BO49,,AP$6+$D93*-1)&lt;&gt;"",INDEX(Historicals!$T49:$BO49,,AP$6+$D93*-1),$F93*AP$46*Historicals!$S49*INDEX($T$44:$BO$44,,AP$6-$D93+1)),0)</f>
        <v>0.58470404222497918</v>
      </c>
      <c r="AQ93" s="46">
        <f t="array" aca="1" ref="AQ93" ca="1">IFERROR(IF(INDEX(Historicals!$T49:$BO49,,AQ$6+$D93*-1)&lt;&gt;"",INDEX(Historicals!$T49:$BO49,,AQ$6+$D93*-1),$F93*AQ$46*Historicals!$S49*INDEX($T$44:$BO$44,,AQ$6-$D93+1)),0)</f>
        <v>0</v>
      </c>
      <c r="AR93" s="46">
        <f t="array" aca="1" ref="AR93" ca="1">IFERROR(IF(INDEX(Historicals!$T49:$BO49,,AR$6+$D93*-1)&lt;&gt;"",INDEX(Historicals!$T49:$BO49,,AR$6+$D93*-1),$F93*AR$46*Historicals!$S49*INDEX($T$44:$BO$44,,AR$6-$D93+1)),0)</f>
        <v>0</v>
      </c>
      <c r="AS93" s="46">
        <f t="array" ref="AS93">IFERROR(IF(INDEX(Historicals!$T49:$BO49,,AS$6+$D93*-1)&lt;&gt;"",INDEX(Historicals!$T49:$BO49,,AS$6+$D93*-1),$F93*AS$46*Historicals!$S49*INDEX($T$44:$BO$44,,AS$6-$D93+1)),0)</f>
        <v>0</v>
      </c>
      <c r="AT93" s="46">
        <f t="array" ref="AT93">IFERROR(IF(INDEX(Historicals!$T49:$BO49,,AT$6+$D93*-1)&lt;&gt;"",INDEX(Historicals!$T49:$BO49,,AT$6+$D93*-1),$F93*AT$46*Historicals!$S49*INDEX($T$44:$BO$44,,AT$6-$D93+1)),0)</f>
        <v>0</v>
      </c>
      <c r="AU93" s="46">
        <f t="array" ref="AU93">IFERROR(IF(INDEX(Historicals!$T49:$BO49,,AU$6+$D93*-1)&lt;&gt;"",INDEX(Historicals!$T49:$BO49,,AU$6+$D93*-1),$F93*AU$46*Historicals!$S49*INDEX($T$44:$BO$44,,AU$6-$D93+1)),0)</f>
        <v>0</v>
      </c>
      <c r="AV93" s="46">
        <f t="array" ref="AV93">IFERROR(IF(INDEX(Historicals!$T49:$BO49,,AV$6+$D93*-1)&lt;&gt;"",INDEX(Historicals!$T49:$BO49,,AV$6+$D93*-1),$F93*AV$46*Historicals!$S49*INDEX($T$44:$BO$44,,AV$6-$D93+1)),0)</f>
        <v>0</v>
      </c>
      <c r="AW93" s="46">
        <f t="array" ref="AW93">IFERROR(IF(INDEX(Historicals!$T49:$BO49,,AW$6+$D93*-1)&lt;&gt;"",INDEX(Historicals!$T49:$BO49,,AW$6+$D93*-1),$F93*AW$46*Historicals!$S49*INDEX($T$44:$BO$44,,AW$6-$D93+1)),0)</f>
        <v>0</v>
      </c>
      <c r="AX93" s="46">
        <f t="array" ref="AX93">IFERROR(IF(INDEX(Historicals!$T49:$BO49,,AX$6+$D93*-1)&lt;&gt;"",INDEX(Historicals!$T49:$BO49,,AX$6+$D93*-1),$F93*AX$46*Historicals!$S49*INDEX($T$44:$BO$44,,AX$6-$D93+1)),0)</f>
        <v>0</v>
      </c>
      <c r="AY93" s="46">
        <f t="array" ref="AY93">IFERROR(IF(INDEX(Historicals!$T49:$BO49,,AY$6+$D93*-1)&lt;&gt;"",INDEX(Historicals!$T49:$BO49,,AY$6+$D93*-1),$F93*AY$46*Historicals!$S49*INDEX($T$44:$BO$44,,AY$6-$D93+1)),0)</f>
        <v>0</v>
      </c>
      <c r="AZ93" s="46">
        <f t="array" ref="AZ93">IFERROR(IF(INDEX(Historicals!$T49:$BO49,,AZ$6+$D93*-1)&lt;&gt;"",INDEX(Historicals!$T49:$BO49,,AZ$6+$D93*-1),$F93*AZ$46*Historicals!$S49*INDEX($T$44:$BO$44,,AZ$6-$D93+1)),0)</f>
        <v>0</v>
      </c>
      <c r="BA93" s="46">
        <f t="array" ref="BA93">IFERROR(IF(INDEX(Historicals!$T49:$BO49,,BA$6+$D93*-1)&lt;&gt;"",INDEX(Historicals!$T49:$BO49,,BA$6+$D93*-1),$F93*BA$46*Historicals!$S49*INDEX($T$44:$BO$44,,BA$6-$D93+1)),0)</f>
        <v>0</v>
      </c>
      <c r="BB93" s="46">
        <f t="array" ref="BB93">IFERROR(IF(INDEX(Historicals!$T49:$BO49,,BB$6+$D93*-1)&lt;&gt;"",INDEX(Historicals!$T49:$BO49,,BB$6+$D93*-1),$F93*BB$46*Historicals!$S49*INDEX($T$44:$BO$44,,BB$6-$D93+1)),0)</f>
        <v>0</v>
      </c>
      <c r="BC93" s="46">
        <f t="array" ref="BC93">IFERROR(IF(INDEX(Historicals!$T49:$BO49,,BC$6+$D93*-1)&lt;&gt;"",INDEX(Historicals!$T49:$BO49,,BC$6+$D93*-1),$F93*BC$46*Historicals!$S49*INDEX($T$44:$BO$44,,BC$6-$D93+1)),0)</f>
        <v>0</v>
      </c>
      <c r="BD93" s="46">
        <f t="array" ref="BD93">IFERROR(IF(INDEX(Historicals!$T49:$BO49,,BD$6+$D93*-1)&lt;&gt;"",INDEX(Historicals!$T49:$BO49,,BD$6+$D93*-1),$F93*BD$46*Historicals!$S49*INDEX($T$44:$BO$44,,BD$6-$D93+1)),0)</f>
        <v>0</v>
      </c>
      <c r="BE93" s="46">
        <f t="array" ref="BE93">IFERROR(IF(INDEX(Historicals!$T49:$BO49,,BE$6+$D93*-1)&lt;&gt;"",INDEX(Historicals!$T49:$BO49,,BE$6+$D93*-1),$F93*BE$46*Historicals!$S49*INDEX($T$44:$BO$44,,BE$6-$D93+1)),0)</f>
        <v>0</v>
      </c>
      <c r="BF93" s="46">
        <f t="array" ref="BF93">IFERROR(IF(INDEX(Historicals!$T49:$BO49,,BF$6+$D93*-1)&lt;&gt;"",INDEX(Historicals!$T49:$BO49,,BF$6+$D93*-1),$F93*BF$46*Historicals!$S49*INDEX($T$44:$BO$44,,BF$6-$D93+1)),0)</f>
        <v>0</v>
      </c>
      <c r="BG93" s="46">
        <f t="array" ref="BG93">IFERROR(IF(INDEX(Historicals!$T49:$BO49,,BG$6+$D93*-1)&lt;&gt;"",INDEX(Historicals!$T49:$BO49,,BG$6+$D93*-1),$F93*BG$46*Historicals!$S49*INDEX($T$44:$BO$44,,BG$6-$D93+1)),0)</f>
        <v>0</v>
      </c>
      <c r="BH93" s="46">
        <f t="array" ref="BH93">IFERROR(IF(INDEX(Historicals!$T49:$BO49,,BH$6+$D93*-1)&lt;&gt;"",INDEX(Historicals!$T49:$BO49,,BH$6+$D93*-1),$F93*BH$46*Historicals!$S49*INDEX($T$44:$BO$44,,BH$6-$D93+1)),0)</f>
        <v>0</v>
      </c>
      <c r="BI93" s="46">
        <f t="array" ref="BI93">IFERROR(IF(INDEX(Historicals!$T49:$BO49,,BI$6+$D93*-1)&lt;&gt;"",INDEX(Historicals!$T49:$BO49,,BI$6+$D93*-1),$F93*BI$46*Historicals!$S49*INDEX($T$44:$BO$44,,BI$6-$D93+1)),0)</f>
        <v>0</v>
      </c>
      <c r="BJ93" s="46">
        <f t="array" ref="BJ93">IFERROR(IF(INDEX(Historicals!$T49:$BO49,,BJ$6+$D93*-1)&lt;&gt;"",INDEX(Historicals!$T49:$BO49,,BJ$6+$D93*-1),$F93*BJ$46*Historicals!$S49*INDEX($T$44:$BO$44,,BJ$6-$D93+1)),0)</f>
        <v>0</v>
      </c>
      <c r="BK93" s="46">
        <f t="array" ref="BK93">IFERROR(IF(INDEX(Historicals!$T49:$BO49,,BK$6+$D93*-1)&lt;&gt;"",INDEX(Historicals!$T49:$BO49,,BK$6+$D93*-1),$F93*BK$46*Historicals!$S49*INDEX($T$44:$BO$44,,BK$6-$D93+1)),0)</f>
        <v>0</v>
      </c>
      <c r="BL93" s="46">
        <f t="array" ref="BL93">IFERROR(IF(INDEX(Historicals!$T49:$BO49,,BL$6+$D93*-1)&lt;&gt;"",INDEX(Historicals!$T49:$BO49,,BL$6+$D93*-1),$F93*BL$46*Historicals!$S49*INDEX($T$44:$BO$44,,BL$6-$D93+1)),0)</f>
        <v>0</v>
      </c>
      <c r="BM93" s="46">
        <f t="array" ref="BM93">IFERROR(IF(INDEX(Historicals!$T49:$BO49,,BM$6+$D93*-1)&lt;&gt;"",INDEX(Historicals!$T49:$BO49,,BM$6+$D93*-1),$F93*BM$46*Historicals!$S49*INDEX($T$44:$BO$44,,BM$6-$D93+1)),0)</f>
        <v>0</v>
      </c>
      <c r="BN93" s="46">
        <f t="array" ref="BN93">IFERROR(IF(INDEX(Historicals!$T49:$BO49,,BN$6+$D93*-1)&lt;&gt;"",INDEX(Historicals!$T49:$BO49,,BN$6+$D93*-1),$F93*BN$46*Historicals!$S49*INDEX($T$44:$BO$44,,BN$6-$D93+1)),0)</f>
        <v>0</v>
      </c>
      <c r="BO93" s="46">
        <f t="array" ref="BO93">IFERROR(IF(INDEX(Historicals!$T49:$BO49,,BO$6+$D93*-1)&lt;&gt;"",INDEX(Historicals!$T49:$BO49,,BO$6+$D93*-1),$F93*BO$46*Historicals!$S49*INDEX($T$44:$BO$44,,BO$6-$D93+1)),0)</f>
        <v>0</v>
      </c>
    </row>
    <row r="94" spans="1:67" ht="16.5" hidden="1" customHeight="1" outlineLevel="1">
      <c r="A94" s="1"/>
      <c r="B94" s="55">
        <f t="shared" si="19"/>
        <v>45381</v>
      </c>
      <c r="C94" s="17" t="s">
        <v>104</v>
      </c>
      <c r="D94" s="46">
        <f t="shared" si="20"/>
        <v>-9</v>
      </c>
      <c r="E94" s="16"/>
      <c r="F94" s="51">
        <v>1</v>
      </c>
      <c r="G94" s="16" t="s">
        <v>159</v>
      </c>
      <c r="H94" s="16" t="s">
        <v>155</v>
      </c>
      <c r="I94" s="46">
        <f ca="1">IF(H94=Forecast!$H$195,T94,IF(H94=Forecast!$H$196,BO94,IF(H94=Forecast!$H$197,SUM(T94:BO94),IF(H94=Forecast!$H$198,AVERAGE(T94:BO94),0))))</f>
        <v>326.12816218512438</v>
      </c>
      <c r="J94" s="16"/>
      <c r="K94" s="16"/>
      <c r="L94" s="16"/>
      <c r="M94" s="16"/>
      <c r="N94" s="16"/>
      <c r="O94" s="16"/>
      <c r="P94" s="16"/>
      <c r="Q94" s="16"/>
      <c r="R94" s="16"/>
      <c r="S94" s="16"/>
      <c r="T94" s="46">
        <f t="array" ref="T94">IFERROR(IF(INDEX(Historicals!$T50:$BO50,,T$6+$D94*-1)&lt;&gt;"",INDEX(Historicals!$T50:$BO50,,T$6+$D94*-1),$F94*T$46*Historicals!$S50*INDEX($T$44:$BO$44,,T$6-$D94+1)),0)</f>
        <v>169.18128769315632</v>
      </c>
      <c r="U94" s="46">
        <f t="array" aca="1" ref="U94" ca="1">IFERROR(IF(INDEX(Historicals!$T50:$BO50,,U$6+$D94*-1)&lt;&gt;"",INDEX(Historicals!$T50:$BO50,,U$6+$D94*-1),$F94*U$46*Historicals!$S50*INDEX($T$44:$BO$44,,U$6-$D94+1)),0)</f>
        <v>0</v>
      </c>
      <c r="V94" s="46">
        <f t="array" aca="1" ref="V94" ca="1">IFERROR(IF(INDEX(Historicals!$T50:$BO50,,V$6+$D94*-1)&lt;&gt;"",INDEX(Historicals!$T50:$BO50,,V$6+$D94*-1),$F94*V$46*Historicals!$S50*INDEX($T$44:$BO$44,,V$6-$D94+1)),0)</f>
        <v>78.781176215576139</v>
      </c>
      <c r="W94" s="46">
        <f t="array" aca="1" ref="W94" ca="1">IFERROR(IF(INDEX(Historicals!$T50:$BO50,,W$6+$D94*-1)&lt;&gt;"",INDEX(Historicals!$T50:$BO50,,W$6+$D94*-1),$F94*W$46*Historicals!$S50*INDEX($T$44:$BO$44,,W$6-$D94+1)),0)</f>
        <v>0</v>
      </c>
      <c r="X94" s="46">
        <f t="array" aca="1" ref="X94" ca="1">IFERROR(IF(INDEX(Historicals!$T50:$BO50,,X$6+$D94*-1)&lt;&gt;"",INDEX(Historicals!$T50:$BO50,,X$6+$D94*-1),$F94*X$46*Historicals!$S50*INDEX($T$44:$BO$44,,X$6-$D94+1)),0)</f>
        <v>0</v>
      </c>
      <c r="Y94" s="46">
        <f t="array" aca="1" ref="Y94" ca="1">IFERROR(IF(INDEX(Historicals!$T50:$BO50,,Y$6+$D94*-1)&lt;&gt;"",INDEX(Historicals!$T50:$BO50,,Y$6+$D94*-1),$F94*Y$46*Historicals!$S50*INDEX($T$44:$BO$44,,Y$6-$D94+1)),0)</f>
        <v>39.390588107788069</v>
      </c>
      <c r="Z94" s="46">
        <f t="array" aca="1" ref="Z94" ca="1">IFERROR(IF(INDEX(Historicals!$T50:$BO50,,Z$6+$D94*-1)&lt;&gt;"",INDEX(Historicals!$T50:$BO50,,Z$6+$D94*-1),$F94*Z$46*Historicals!$S50*INDEX($T$44:$BO$44,,Z$6-$D94+1)),0)</f>
        <v>0</v>
      </c>
      <c r="AA94" s="46">
        <f t="array" aca="1" ref="AA94" ca="1">IFERROR(IF(INDEX(Historicals!$T50:$BO50,,AA$6+$D94*-1)&lt;&gt;"",INDEX(Historicals!$T50:$BO50,,AA$6+$D94*-1),$F94*AA$46*Historicals!$S50*INDEX($T$44:$BO$44,,AA$6-$D94+1)),0)</f>
        <v>0</v>
      </c>
      <c r="AB94" s="46">
        <f t="array" aca="1" ref="AB94" ca="1">IFERROR(IF(INDEX(Historicals!$T50:$BO50,,AB$6+$D94*-1)&lt;&gt;"",INDEX(Historicals!$T50:$BO50,,AB$6+$D94*-1),$F94*AB$46*Historicals!$S50*INDEX($T$44:$BO$44,,AB$6-$D94+1)),0)</f>
        <v>19.695294053894035</v>
      </c>
      <c r="AC94" s="46">
        <f t="array" aca="1" ref="AC94" ca="1">IFERROR(IF(INDEX(Historicals!$T50:$BO50,,AC$6+$D94*-1)&lt;&gt;"",INDEX(Historicals!$T50:$BO50,,AC$6+$D94*-1),$F94*AC$46*Historicals!$S50*INDEX($T$44:$BO$44,,AC$6-$D94+1)),0)</f>
        <v>0</v>
      </c>
      <c r="AD94" s="46">
        <f t="array" aca="1" ref="AD94" ca="1">IFERROR(IF(INDEX(Historicals!$T50:$BO50,,AD$6+$D94*-1)&lt;&gt;"",INDEX(Historicals!$T50:$BO50,,AD$6+$D94*-1),$F94*AD$46*Historicals!$S50*INDEX($T$44:$BO$44,,AD$6-$D94+1)),0)</f>
        <v>0</v>
      </c>
      <c r="AE94" s="46">
        <f t="array" aca="1" ref="AE94" ca="1">IFERROR(IF(INDEX(Historicals!$T50:$BO50,,AE$6+$D94*-1)&lt;&gt;"",INDEX(Historicals!$T50:$BO50,,AE$6+$D94*-1),$F94*AE$46*Historicals!$S50*INDEX($T$44:$BO$44,,AE$6-$D94+1)),0)</f>
        <v>9.8476470269470173</v>
      </c>
      <c r="AF94" s="46">
        <f t="array" aca="1" ref="AF94" ca="1">IFERROR(IF(INDEX(Historicals!$T50:$BO50,,AF$6+$D94*-1)&lt;&gt;"",INDEX(Historicals!$T50:$BO50,,AF$6+$D94*-1),$F94*AF$46*Historicals!$S50*INDEX($T$44:$BO$44,,AF$6-$D94+1)),0)</f>
        <v>0</v>
      </c>
      <c r="AG94" s="46">
        <f t="array" aca="1" ref="AG94" ca="1">IFERROR(IF(INDEX(Historicals!$T50:$BO50,,AG$6+$D94*-1)&lt;&gt;"",INDEX(Historicals!$T50:$BO50,,AG$6+$D94*-1),$F94*AG$46*Historicals!$S50*INDEX($T$44:$BO$44,,AG$6-$D94+1)),0)</f>
        <v>0</v>
      </c>
      <c r="AH94" s="46">
        <f t="array" aca="1" ref="AH94" ca="1">IFERROR(IF(INDEX(Historicals!$T50:$BO50,,AH$6+$D94*-1)&lt;&gt;"",INDEX(Historicals!$T50:$BO50,,AH$6+$D94*-1),$F94*AH$46*Historicals!$S50*INDEX($T$44:$BO$44,,AH$6-$D94+1)),0)</f>
        <v>4.9238235134735087</v>
      </c>
      <c r="AI94" s="46">
        <f t="array" aca="1" ref="AI94" ca="1">IFERROR(IF(INDEX(Historicals!$T50:$BO50,,AI$6+$D94*-1)&lt;&gt;"",INDEX(Historicals!$T50:$BO50,,AI$6+$D94*-1),$F94*AI$46*Historicals!$S50*INDEX($T$44:$BO$44,,AI$6-$D94+1)),0)</f>
        <v>0</v>
      </c>
      <c r="AJ94" s="46">
        <f t="array" aca="1" ref="AJ94" ca="1">IFERROR(IF(INDEX(Historicals!$T50:$BO50,,AJ$6+$D94*-1)&lt;&gt;"",INDEX(Historicals!$T50:$BO50,,AJ$6+$D94*-1),$F94*AJ$46*Historicals!$S50*INDEX($T$44:$BO$44,,AJ$6-$D94+1)),0)</f>
        <v>0</v>
      </c>
      <c r="AK94" s="46">
        <f t="array" aca="1" ref="AK94" ca="1">IFERROR(IF(INDEX(Historicals!$T50:$BO50,,AK$6+$D94*-1)&lt;&gt;"",INDEX(Historicals!$T50:$BO50,,AK$6+$D94*-1),$F94*AK$46*Historicals!$S50*INDEX($T$44:$BO$44,,AK$6-$D94+1)),0)</f>
        <v>2.4619117567367543</v>
      </c>
      <c r="AL94" s="46">
        <f t="array" aca="1" ref="AL94" ca="1">IFERROR(IF(INDEX(Historicals!$T50:$BO50,,AL$6+$D94*-1)&lt;&gt;"",INDEX(Historicals!$T50:$BO50,,AL$6+$D94*-1),$F94*AL$46*Historicals!$S50*INDEX($T$44:$BO$44,,AL$6-$D94+1)),0)</f>
        <v>0</v>
      </c>
      <c r="AM94" s="46">
        <f t="array" aca="1" ref="AM94" ca="1">IFERROR(IF(INDEX(Historicals!$T50:$BO50,,AM$6+$D94*-1)&lt;&gt;"",INDEX(Historicals!$T50:$BO50,,AM$6+$D94*-1),$F94*AM$46*Historicals!$S50*INDEX($T$44:$BO$44,,AM$6-$D94+1)),0)</f>
        <v>0</v>
      </c>
      <c r="AN94" s="46">
        <f t="array" aca="1" ref="AN94" ca="1">IFERROR(IF(INDEX(Historicals!$T50:$BO50,,AN$6+$D94*-1)&lt;&gt;"",INDEX(Historicals!$T50:$BO50,,AN$6+$D94*-1),$F94*AN$46*Historicals!$S50*INDEX($T$44:$BO$44,,AN$6-$D94+1)),0)</f>
        <v>1.2309558783683772</v>
      </c>
      <c r="AO94" s="46">
        <f t="array" aca="1" ref="AO94" ca="1">IFERROR(IF(INDEX(Historicals!$T50:$BO50,,AO$6+$D94*-1)&lt;&gt;"",INDEX(Historicals!$T50:$BO50,,AO$6+$D94*-1),$F94*AO$46*Historicals!$S50*INDEX($T$44:$BO$44,,AO$6-$D94+1)),0)</f>
        <v>0</v>
      </c>
      <c r="AP94" s="46">
        <f t="array" aca="1" ref="AP94" ca="1">IFERROR(IF(INDEX(Historicals!$T50:$BO50,,AP$6+$D94*-1)&lt;&gt;"",INDEX(Historicals!$T50:$BO50,,AP$6+$D94*-1),$F94*AP$46*Historicals!$S50*INDEX($T$44:$BO$44,,AP$6-$D94+1)),0)</f>
        <v>0</v>
      </c>
      <c r="AQ94" s="46">
        <f t="array" aca="1" ref="AQ94" ca="1">IFERROR(IF(INDEX(Historicals!$T50:$BO50,,AQ$6+$D94*-1)&lt;&gt;"",INDEX(Historicals!$T50:$BO50,,AQ$6+$D94*-1),$F94*AQ$46*Historicals!$S50*INDEX($T$44:$BO$44,,AQ$6-$D94+1)),0)</f>
        <v>0.61547793918418858</v>
      </c>
      <c r="AR94" s="46">
        <f t="array" aca="1" ref="AR94" ca="1">IFERROR(IF(INDEX(Historicals!$T50:$BO50,,AR$6+$D94*-1)&lt;&gt;"",INDEX(Historicals!$T50:$BO50,,AR$6+$D94*-1),$F94*AR$46*Historicals!$S50*INDEX($T$44:$BO$44,,AR$6-$D94+1)),0)</f>
        <v>0</v>
      </c>
      <c r="AS94" s="46">
        <f t="array" aca="1" ref="AS94" ca="1">IFERROR(IF(INDEX(Historicals!$T50:$BO50,,AS$6+$D94*-1)&lt;&gt;"",INDEX(Historicals!$T50:$BO50,,AS$6+$D94*-1),$F94*AS$46*Historicals!$S50*INDEX($T$44:$BO$44,,AS$6-$D94+1)),0)</f>
        <v>0</v>
      </c>
      <c r="AT94" s="46">
        <f t="array" ref="AT94">IFERROR(IF(INDEX(Historicals!$T50:$BO50,,AT$6+$D94*-1)&lt;&gt;"",INDEX(Historicals!$T50:$BO50,,AT$6+$D94*-1),$F94*AT$46*Historicals!$S50*INDEX($T$44:$BO$44,,AT$6-$D94+1)),0)</f>
        <v>0</v>
      </c>
      <c r="AU94" s="46">
        <f t="array" ref="AU94">IFERROR(IF(INDEX(Historicals!$T50:$BO50,,AU$6+$D94*-1)&lt;&gt;"",INDEX(Historicals!$T50:$BO50,,AU$6+$D94*-1),$F94*AU$46*Historicals!$S50*INDEX($T$44:$BO$44,,AU$6-$D94+1)),0)</f>
        <v>0</v>
      </c>
      <c r="AV94" s="46">
        <f t="array" ref="AV94">IFERROR(IF(INDEX(Historicals!$T50:$BO50,,AV$6+$D94*-1)&lt;&gt;"",INDEX(Historicals!$T50:$BO50,,AV$6+$D94*-1),$F94*AV$46*Historicals!$S50*INDEX($T$44:$BO$44,,AV$6-$D94+1)),0)</f>
        <v>0</v>
      </c>
      <c r="AW94" s="46">
        <f t="array" ref="AW94">IFERROR(IF(INDEX(Historicals!$T50:$BO50,,AW$6+$D94*-1)&lt;&gt;"",INDEX(Historicals!$T50:$BO50,,AW$6+$D94*-1),$F94*AW$46*Historicals!$S50*INDEX($T$44:$BO$44,,AW$6-$D94+1)),0)</f>
        <v>0</v>
      </c>
      <c r="AX94" s="46">
        <f t="array" ref="AX94">IFERROR(IF(INDEX(Historicals!$T50:$BO50,,AX$6+$D94*-1)&lt;&gt;"",INDEX(Historicals!$T50:$BO50,,AX$6+$D94*-1),$F94*AX$46*Historicals!$S50*INDEX($T$44:$BO$44,,AX$6-$D94+1)),0)</f>
        <v>0</v>
      </c>
      <c r="AY94" s="46">
        <f t="array" ref="AY94">IFERROR(IF(INDEX(Historicals!$T50:$BO50,,AY$6+$D94*-1)&lt;&gt;"",INDEX(Historicals!$T50:$BO50,,AY$6+$D94*-1),$F94*AY$46*Historicals!$S50*INDEX($T$44:$BO$44,,AY$6-$D94+1)),0)</f>
        <v>0</v>
      </c>
      <c r="AZ94" s="46">
        <f t="array" ref="AZ94">IFERROR(IF(INDEX(Historicals!$T50:$BO50,,AZ$6+$D94*-1)&lt;&gt;"",INDEX(Historicals!$T50:$BO50,,AZ$6+$D94*-1),$F94*AZ$46*Historicals!$S50*INDEX($T$44:$BO$44,,AZ$6-$D94+1)),0)</f>
        <v>0</v>
      </c>
      <c r="BA94" s="46">
        <f t="array" ref="BA94">IFERROR(IF(INDEX(Historicals!$T50:$BO50,,BA$6+$D94*-1)&lt;&gt;"",INDEX(Historicals!$T50:$BO50,,BA$6+$D94*-1),$F94*BA$46*Historicals!$S50*INDEX($T$44:$BO$44,,BA$6-$D94+1)),0)</f>
        <v>0</v>
      </c>
      <c r="BB94" s="46">
        <f t="array" ref="BB94">IFERROR(IF(INDEX(Historicals!$T50:$BO50,,BB$6+$D94*-1)&lt;&gt;"",INDEX(Historicals!$T50:$BO50,,BB$6+$D94*-1),$F94*BB$46*Historicals!$S50*INDEX($T$44:$BO$44,,BB$6-$D94+1)),0)</f>
        <v>0</v>
      </c>
      <c r="BC94" s="46">
        <f t="array" ref="BC94">IFERROR(IF(INDEX(Historicals!$T50:$BO50,,BC$6+$D94*-1)&lt;&gt;"",INDEX(Historicals!$T50:$BO50,,BC$6+$D94*-1),$F94*BC$46*Historicals!$S50*INDEX($T$44:$BO$44,,BC$6-$D94+1)),0)</f>
        <v>0</v>
      </c>
      <c r="BD94" s="46">
        <f t="array" ref="BD94">IFERROR(IF(INDEX(Historicals!$T50:$BO50,,BD$6+$D94*-1)&lt;&gt;"",INDEX(Historicals!$T50:$BO50,,BD$6+$D94*-1),$F94*BD$46*Historicals!$S50*INDEX($T$44:$BO$44,,BD$6-$D94+1)),0)</f>
        <v>0</v>
      </c>
      <c r="BE94" s="46">
        <f t="array" ref="BE94">IFERROR(IF(INDEX(Historicals!$T50:$BO50,,BE$6+$D94*-1)&lt;&gt;"",INDEX(Historicals!$T50:$BO50,,BE$6+$D94*-1),$F94*BE$46*Historicals!$S50*INDEX($T$44:$BO$44,,BE$6-$D94+1)),0)</f>
        <v>0</v>
      </c>
      <c r="BF94" s="46">
        <f t="array" ref="BF94">IFERROR(IF(INDEX(Historicals!$T50:$BO50,,BF$6+$D94*-1)&lt;&gt;"",INDEX(Historicals!$T50:$BO50,,BF$6+$D94*-1),$F94*BF$46*Historicals!$S50*INDEX($T$44:$BO$44,,BF$6-$D94+1)),0)</f>
        <v>0</v>
      </c>
      <c r="BG94" s="46">
        <f t="array" ref="BG94">IFERROR(IF(INDEX(Historicals!$T50:$BO50,,BG$6+$D94*-1)&lt;&gt;"",INDEX(Historicals!$T50:$BO50,,BG$6+$D94*-1),$F94*BG$46*Historicals!$S50*INDEX($T$44:$BO$44,,BG$6-$D94+1)),0)</f>
        <v>0</v>
      </c>
      <c r="BH94" s="46">
        <f t="array" ref="BH94">IFERROR(IF(INDEX(Historicals!$T50:$BO50,,BH$6+$D94*-1)&lt;&gt;"",INDEX(Historicals!$T50:$BO50,,BH$6+$D94*-1),$F94*BH$46*Historicals!$S50*INDEX($T$44:$BO$44,,BH$6-$D94+1)),0)</f>
        <v>0</v>
      </c>
      <c r="BI94" s="46">
        <f t="array" ref="BI94">IFERROR(IF(INDEX(Historicals!$T50:$BO50,,BI$6+$D94*-1)&lt;&gt;"",INDEX(Historicals!$T50:$BO50,,BI$6+$D94*-1),$F94*BI$46*Historicals!$S50*INDEX($T$44:$BO$44,,BI$6-$D94+1)),0)</f>
        <v>0</v>
      </c>
      <c r="BJ94" s="46">
        <f t="array" ref="BJ94">IFERROR(IF(INDEX(Historicals!$T50:$BO50,,BJ$6+$D94*-1)&lt;&gt;"",INDEX(Historicals!$T50:$BO50,,BJ$6+$D94*-1),$F94*BJ$46*Historicals!$S50*INDEX($T$44:$BO$44,,BJ$6-$D94+1)),0)</f>
        <v>0</v>
      </c>
      <c r="BK94" s="46">
        <f t="array" ref="BK94">IFERROR(IF(INDEX(Historicals!$T50:$BO50,,BK$6+$D94*-1)&lt;&gt;"",INDEX(Historicals!$T50:$BO50,,BK$6+$D94*-1),$F94*BK$46*Historicals!$S50*INDEX($T$44:$BO$44,,BK$6-$D94+1)),0)</f>
        <v>0</v>
      </c>
      <c r="BL94" s="46">
        <f t="array" ref="BL94">IFERROR(IF(INDEX(Historicals!$T50:$BO50,,BL$6+$D94*-1)&lt;&gt;"",INDEX(Historicals!$T50:$BO50,,BL$6+$D94*-1),$F94*BL$46*Historicals!$S50*INDEX($T$44:$BO$44,,BL$6-$D94+1)),0)</f>
        <v>0</v>
      </c>
      <c r="BM94" s="46">
        <f t="array" ref="BM94">IFERROR(IF(INDEX(Historicals!$T50:$BO50,,BM$6+$D94*-1)&lt;&gt;"",INDEX(Historicals!$T50:$BO50,,BM$6+$D94*-1),$F94*BM$46*Historicals!$S50*INDEX($T$44:$BO$44,,BM$6-$D94+1)),0)</f>
        <v>0</v>
      </c>
      <c r="BN94" s="46">
        <f t="array" ref="BN94">IFERROR(IF(INDEX(Historicals!$T50:$BO50,,BN$6+$D94*-1)&lt;&gt;"",INDEX(Historicals!$T50:$BO50,,BN$6+$D94*-1),$F94*BN$46*Historicals!$S50*INDEX($T$44:$BO$44,,BN$6-$D94+1)),0)</f>
        <v>0</v>
      </c>
      <c r="BO94" s="46">
        <f t="array" ref="BO94">IFERROR(IF(INDEX(Historicals!$T50:$BO50,,BO$6+$D94*-1)&lt;&gt;"",INDEX(Historicals!$T50:$BO50,,BO$6+$D94*-1),$F94*BO$46*Historicals!$S50*INDEX($T$44:$BO$44,,BO$6-$D94+1)),0)</f>
        <v>0</v>
      </c>
    </row>
    <row r="95" spans="1:67" ht="16.5" hidden="1" customHeight="1" outlineLevel="1">
      <c r="A95" s="1"/>
      <c r="B95" s="55">
        <f t="shared" si="19"/>
        <v>45412</v>
      </c>
      <c r="C95" s="17" t="s">
        <v>104</v>
      </c>
      <c r="D95" s="46">
        <f t="shared" si="20"/>
        <v>-8</v>
      </c>
      <c r="E95" s="16"/>
      <c r="F95" s="51">
        <v>1</v>
      </c>
      <c r="G95" s="16" t="s">
        <v>159</v>
      </c>
      <c r="H95" s="16" t="s">
        <v>155</v>
      </c>
      <c r="I95" s="46">
        <f ca="1">IF(H95=Forecast!$H$195,T95,IF(H95=Forecast!$H$196,BO95,IF(H95=Forecast!$H$197,SUM(T95:BO95),IF(H95=Forecast!$H$198,AVERAGE(T95:BO95),0))))</f>
        <v>387.81419379833005</v>
      </c>
      <c r="J95" s="16"/>
      <c r="K95" s="16"/>
      <c r="L95" s="16"/>
      <c r="M95" s="16"/>
      <c r="N95" s="16"/>
      <c r="O95" s="16"/>
      <c r="P95" s="16"/>
      <c r="Q95" s="16"/>
      <c r="R95" s="16"/>
      <c r="S95" s="16"/>
      <c r="T95" s="46">
        <f t="array" ref="T95">IFERROR(IF(INDEX(Historicals!$T51:$BO51,,T$6+$D95*-1)&lt;&gt;"",INDEX(Historicals!$T51:$BO51,,T$6+$D95*-1),$F95*T$46*Historicals!$S51*INDEX($T$44:$BO$44,,T$6-$D95+1)),0)</f>
        <v>222.6069574909952</v>
      </c>
      <c r="U95" s="46">
        <f t="array" aca="1" ref="U95" ca="1">IFERROR(IF(INDEX(Historicals!$T51:$BO51,,U$6+$D95*-1)&lt;&gt;"",INDEX(Historicals!$T51:$BO51,,U$6+$D95*-1),$F95*U$46*Historicals!$S51*INDEX($T$44:$BO$44,,U$6-$D95+1)),0)</f>
        <v>0</v>
      </c>
      <c r="V95" s="46">
        <f t="array" aca="1" ref="V95" ca="1">IFERROR(IF(INDEX(Historicals!$T51:$BO51,,V$6+$D95*-1)&lt;&gt;"",INDEX(Historicals!$T51:$BO51,,V$6+$D95*-1),$F95*V$46*Historicals!$S51*INDEX($T$44:$BO$44,,V$6-$D95+1)),0)</f>
        <v>0</v>
      </c>
      <c r="W95" s="46">
        <f t="array" aca="1" ref="W95" ca="1">IFERROR(IF(INDEX(Historicals!$T51:$BO51,,W$6+$D95*-1)&lt;&gt;"",INDEX(Historicals!$T51:$BO51,,W$6+$D95*-1),$F95*W$46*Historicals!$S51*INDEX($T$44:$BO$44,,W$6-$D95+1)),0)</f>
        <v>82.927553911132776</v>
      </c>
      <c r="X95" s="46">
        <f t="array" aca="1" ref="X95" ca="1">IFERROR(IF(INDEX(Historicals!$T51:$BO51,,X$6+$D95*-1)&lt;&gt;"",INDEX(Historicals!$T51:$BO51,,X$6+$D95*-1),$F95*X$46*Historicals!$S51*INDEX($T$44:$BO$44,,X$6-$D95+1)),0)</f>
        <v>0</v>
      </c>
      <c r="Y95" s="46">
        <f t="array" aca="1" ref="Y95" ca="1">IFERROR(IF(INDEX(Historicals!$T51:$BO51,,Y$6+$D95*-1)&lt;&gt;"",INDEX(Historicals!$T51:$BO51,,Y$6+$D95*-1),$F95*Y$46*Historicals!$S51*INDEX($T$44:$BO$44,,Y$6-$D95+1)),0)</f>
        <v>0</v>
      </c>
      <c r="Z95" s="46">
        <f t="array" aca="1" ref="Z95" ca="1">IFERROR(IF(INDEX(Historicals!$T51:$BO51,,Z$6+$D95*-1)&lt;&gt;"",INDEX(Historicals!$T51:$BO51,,Z$6+$D95*-1),$F95*Z$46*Historicals!$S51*INDEX($T$44:$BO$44,,Z$6-$D95+1)),0)</f>
        <v>41.463776955566388</v>
      </c>
      <c r="AA95" s="46">
        <f t="array" aca="1" ref="AA95" ca="1">IFERROR(IF(INDEX(Historicals!$T51:$BO51,,AA$6+$D95*-1)&lt;&gt;"",INDEX(Historicals!$T51:$BO51,,AA$6+$D95*-1),$F95*AA$46*Historicals!$S51*INDEX($T$44:$BO$44,,AA$6-$D95+1)),0)</f>
        <v>0</v>
      </c>
      <c r="AB95" s="46">
        <f t="array" aca="1" ref="AB95" ca="1">IFERROR(IF(INDEX(Historicals!$T51:$BO51,,AB$6+$D95*-1)&lt;&gt;"",INDEX(Historicals!$T51:$BO51,,AB$6+$D95*-1),$F95*AB$46*Historicals!$S51*INDEX($T$44:$BO$44,,AB$6-$D95+1)),0)</f>
        <v>0</v>
      </c>
      <c r="AC95" s="46">
        <f t="array" aca="1" ref="AC95" ca="1">IFERROR(IF(INDEX(Historicals!$T51:$BO51,,AC$6+$D95*-1)&lt;&gt;"",INDEX(Historicals!$T51:$BO51,,AC$6+$D95*-1),$F95*AC$46*Historicals!$S51*INDEX($T$44:$BO$44,,AC$6-$D95+1)),0)</f>
        <v>20.731888477783194</v>
      </c>
      <c r="AD95" s="46">
        <f t="array" aca="1" ref="AD95" ca="1">IFERROR(IF(INDEX(Historicals!$T51:$BO51,,AD$6+$D95*-1)&lt;&gt;"",INDEX(Historicals!$T51:$BO51,,AD$6+$D95*-1),$F95*AD$46*Historicals!$S51*INDEX($T$44:$BO$44,,AD$6-$D95+1)),0)</f>
        <v>0</v>
      </c>
      <c r="AE95" s="46">
        <f t="array" aca="1" ref="AE95" ca="1">IFERROR(IF(INDEX(Historicals!$T51:$BO51,,AE$6+$D95*-1)&lt;&gt;"",INDEX(Historicals!$T51:$BO51,,AE$6+$D95*-1),$F95*AE$46*Historicals!$S51*INDEX($T$44:$BO$44,,AE$6-$D95+1)),0)</f>
        <v>0</v>
      </c>
      <c r="AF95" s="46">
        <f t="array" aca="1" ref="AF95" ca="1">IFERROR(IF(INDEX(Historicals!$T51:$BO51,,AF$6+$D95*-1)&lt;&gt;"",INDEX(Historicals!$T51:$BO51,,AF$6+$D95*-1),$F95*AF$46*Historicals!$S51*INDEX($T$44:$BO$44,,AF$6-$D95+1)),0)</f>
        <v>10.365944238891597</v>
      </c>
      <c r="AG95" s="46">
        <f t="array" aca="1" ref="AG95" ca="1">IFERROR(IF(INDEX(Historicals!$T51:$BO51,,AG$6+$D95*-1)&lt;&gt;"",INDEX(Historicals!$T51:$BO51,,AG$6+$D95*-1),$F95*AG$46*Historicals!$S51*INDEX($T$44:$BO$44,,AG$6-$D95+1)),0)</f>
        <v>0</v>
      </c>
      <c r="AH95" s="46">
        <f t="array" aca="1" ref="AH95" ca="1">IFERROR(IF(INDEX(Historicals!$T51:$BO51,,AH$6+$D95*-1)&lt;&gt;"",INDEX(Historicals!$T51:$BO51,,AH$6+$D95*-1),$F95*AH$46*Historicals!$S51*INDEX($T$44:$BO$44,,AH$6-$D95+1)),0)</f>
        <v>0</v>
      </c>
      <c r="AI95" s="46">
        <f t="array" aca="1" ref="AI95" ca="1">IFERROR(IF(INDEX(Historicals!$T51:$BO51,,AI$6+$D95*-1)&lt;&gt;"",INDEX(Historicals!$T51:$BO51,,AI$6+$D95*-1),$F95*AI$46*Historicals!$S51*INDEX($T$44:$BO$44,,AI$6-$D95+1)),0)</f>
        <v>5.1829721194457985</v>
      </c>
      <c r="AJ95" s="46">
        <f t="array" aca="1" ref="AJ95" ca="1">IFERROR(IF(INDEX(Historicals!$T51:$BO51,,AJ$6+$D95*-1)&lt;&gt;"",INDEX(Historicals!$T51:$BO51,,AJ$6+$D95*-1),$F95*AJ$46*Historicals!$S51*INDEX($T$44:$BO$44,,AJ$6-$D95+1)),0)</f>
        <v>0</v>
      </c>
      <c r="AK95" s="46">
        <f t="array" aca="1" ref="AK95" ca="1">IFERROR(IF(INDEX(Historicals!$T51:$BO51,,AK$6+$D95*-1)&lt;&gt;"",INDEX(Historicals!$T51:$BO51,,AK$6+$D95*-1),$F95*AK$46*Historicals!$S51*INDEX($T$44:$BO$44,,AK$6-$D95+1)),0)</f>
        <v>0</v>
      </c>
      <c r="AL95" s="46">
        <f t="array" aca="1" ref="AL95" ca="1">IFERROR(IF(INDEX(Historicals!$T51:$BO51,,AL$6+$D95*-1)&lt;&gt;"",INDEX(Historicals!$T51:$BO51,,AL$6+$D95*-1),$F95*AL$46*Historicals!$S51*INDEX($T$44:$BO$44,,AL$6-$D95+1)),0)</f>
        <v>2.5914860597228992</v>
      </c>
      <c r="AM95" s="46">
        <f t="array" aca="1" ref="AM95" ca="1">IFERROR(IF(INDEX(Historicals!$T51:$BO51,,AM$6+$D95*-1)&lt;&gt;"",INDEX(Historicals!$T51:$BO51,,AM$6+$D95*-1),$F95*AM$46*Historicals!$S51*INDEX($T$44:$BO$44,,AM$6-$D95+1)),0)</f>
        <v>0</v>
      </c>
      <c r="AN95" s="46">
        <f t="array" aca="1" ref="AN95" ca="1">IFERROR(IF(INDEX(Historicals!$T51:$BO51,,AN$6+$D95*-1)&lt;&gt;"",INDEX(Historicals!$T51:$BO51,,AN$6+$D95*-1),$F95*AN$46*Historicals!$S51*INDEX($T$44:$BO$44,,AN$6-$D95+1)),0)</f>
        <v>0</v>
      </c>
      <c r="AO95" s="46">
        <f t="array" aca="1" ref="AO95" ca="1">IFERROR(IF(INDEX(Historicals!$T51:$BO51,,AO$6+$D95*-1)&lt;&gt;"",INDEX(Historicals!$T51:$BO51,,AO$6+$D95*-1),$F95*AO$46*Historicals!$S51*INDEX($T$44:$BO$44,,AO$6-$D95+1)),0)</f>
        <v>1.2957430298614496</v>
      </c>
      <c r="AP95" s="46">
        <f t="array" aca="1" ref="AP95" ca="1">IFERROR(IF(INDEX(Historicals!$T51:$BO51,,AP$6+$D95*-1)&lt;&gt;"",INDEX(Historicals!$T51:$BO51,,AP$6+$D95*-1),$F95*AP$46*Historicals!$S51*INDEX($T$44:$BO$44,,AP$6-$D95+1)),0)</f>
        <v>0</v>
      </c>
      <c r="AQ95" s="46">
        <f t="array" aca="1" ref="AQ95" ca="1">IFERROR(IF(INDEX(Historicals!$T51:$BO51,,AQ$6+$D95*-1)&lt;&gt;"",INDEX(Historicals!$T51:$BO51,,AQ$6+$D95*-1),$F95*AQ$46*Historicals!$S51*INDEX($T$44:$BO$44,,AQ$6-$D95+1)),0)</f>
        <v>0</v>
      </c>
      <c r="AR95" s="46">
        <f t="array" aca="1" ref="AR95" ca="1">IFERROR(IF(INDEX(Historicals!$T51:$BO51,,AR$6+$D95*-1)&lt;&gt;"",INDEX(Historicals!$T51:$BO51,,AR$6+$D95*-1),$F95*AR$46*Historicals!$S51*INDEX($T$44:$BO$44,,AR$6-$D95+1)),0)</f>
        <v>0.64787151493072481</v>
      </c>
      <c r="AS95" s="46">
        <f t="array" aca="1" ref="AS95" ca="1">IFERROR(IF(INDEX(Historicals!$T51:$BO51,,AS$6+$D95*-1)&lt;&gt;"",INDEX(Historicals!$T51:$BO51,,AS$6+$D95*-1),$F95*AS$46*Historicals!$S51*INDEX($T$44:$BO$44,,AS$6-$D95+1)),0)</f>
        <v>0</v>
      </c>
      <c r="AT95" s="46">
        <f t="array" aca="1" ref="AT95" ca="1">IFERROR(IF(INDEX(Historicals!$T51:$BO51,,AT$6+$D95*-1)&lt;&gt;"",INDEX(Historicals!$T51:$BO51,,AT$6+$D95*-1),$F95*AT$46*Historicals!$S51*INDEX($T$44:$BO$44,,AT$6-$D95+1)),0)</f>
        <v>0</v>
      </c>
      <c r="AU95" s="46">
        <f t="array" ref="AU95">IFERROR(IF(INDEX(Historicals!$T51:$BO51,,AU$6+$D95*-1)&lt;&gt;"",INDEX(Historicals!$T51:$BO51,,AU$6+$D95*-1),$F95*AU$46*Historicals!$S51*INDEX($T$44:$BO$44,,AU$6-$D95+1)),0)</f>
        <v>0</v>
      </c>
      <c r="AV95" s="46">
        <f t="array" ref="AV95">IFERROR(IF(INDEX(Historicals!$T51:$BO51,,AV$6+$D95*-1)&lt;&gt;"",INDEX(Historicals!$T51:$BO51,,AV$6+$D95*-1),$F95*AV$46*Historicals!$S51*INDEX($T$44:$BO$44,,AV$6-$D95+1)),0)</f>
        <v>0</v>
      </c>
      <c r="AW95" s="46">
        <f t="array" ref="AW95">IFERROR(IF(INDEX(Historicals!$T51:$BO51,,AW$6+$D95*-1)&lt;&gt;"",INDEX(Historicals!$T51:$BO51,,AW$6+$D95*-1),$F95*AW$46*Historicals!$S51*INDEX($T$44:$BO$44,,AW$6-$D95+1)),0)</f>
        <v>0</v>
      </c>
      <c r="AX95" s="46">
        <f t="array" ref="AX95">IFERROR(IF(INDEX(Historicals!$T51:$BO51,,AX$6+$D95*-1)&lt;&gt;"",INDEX(Historicals!$T51:$BO51,,AX$6+$D95*-1),$F95*AX$46*Historicals!$S51*INDEX($T$44:$BO$44,,AX$6-$D95+1)),0)</f>
        <v>0</v>
      </c>
      <c r="AY95" s="46">
        <f t="array" ref="AY95">IFERROR(IF(INDEX(Historicals!$T51:$BO51,,AY$6+$D95*-1)&lt;&gt;"",INDEX(Historicals!$T51:$BO51,,AY$6+$D95*-1),$F95*AY$46*Historicals!$S51*INDEX($T$44:$BO$44,,AY$6-$D95+1)),0)</f>
        <v>0</v>
      </c>
      <c r="AZ95" s="46">
        <f t="array" ref="AZ95">IFERROR(IF(INDEX(Historicals!$T51:$BO51,,AZ$6+$D95*-1)&lt;&gt;"",INDEX(Historicals!$T51:$BO51,,AZ$6+$D95*-1),$F95*AZ$46*Historicals!$S51*INDEX($T$44:$BO$44,,AZ$6-$D95+1)),0)</f>
        <v>0</v>
      </c>
      <c r="BA95" s="46">
        <f t="array" ref="BA95">IFERROR(IF(INDEX(Historicals!$T51:$BO51,,BA$6+$D95*-1)&lt;&gt;"",INDEX(Historicals!$T51:$BO51,,BA$6+$D95*-1),$F95*BA$46*Historicals!$S51*INDEX($T$44:$BO$44,,BA$6-$D95+1)),0)</f>
        <v>0</v>
      </c>
      <c r="BB95" s="46">
        <f t="array" ref="BB95">IFERROR(IF(INDEX(Historicals!$T51:$BO51,,BB$6+$D95*-1)&lt;&gt;"",INDEX(Historicals!$T51:$BO51,,BB$6+$D95*-1),$F95*BB$46*Historicals!$S51*INDEX($T$44:$BO$44,,BB$6-$D95+1)),0)</f>
        <v>0</v>
      </c>
      <c r="BC95" s="46">
        <f t="array" ref="BC95">IFERROR(IF(INDEX(Historicals!$T51:$BO51,,BC$6+$D95*-1)&lt;&gt;"",INDEX(Historicals!$T51:$BO51,,BC$6+$D95*-1),$F95*BC$46*Historicals!$S51*INDEX($T$44:$BO$44,,BC$6-$D95+1)),0)</f>
        <v>0</v>
      </c>
      <c r="BD95" s="46">
        <f t="array" ref="BD95">IFERROR(IF(INDEX(Historicals!$T51:$BO51,,BD$6+$D95*-1)&lt;&gt;"",INDEX(Historicals!$T51:$BO51,,BD$6+$D95*-1),$F95*BD$46*Historicals!$S51*INDEX($T$44:$BO$44,,BD$6-$D95+1)),0)</f>
        <v>0</v>
      </c>
      <c r="BE95" s="46">
        <f t="array" ref="BE95">IFERROR(IF(INDEX(Historicals!$T51:$BO51,,BE$6+$D95*-1)&lt;&gt;"",INDEX(Historicals!$T51:$BO51,,BE$6+$D95*-1),$F95*BE$46*Historicals!$S51*INDEX($T$44:$BO$44,,BE$6-$D95+1)),0)</f>
        <v>0</v>
      </c>
      <c r="BF95" s="46">
        <f t="array" ref="BF95">IFERROR(IF(INDEX(Historicals!$T51:$BO51,,BF$6+$D95*-1)&lt;&gt;"",INDEX(Historicals!$T51:$BO51,,BF$6+$D95*-1),$F95*BF$46*Historicals!$S51*INDEX($T$44:$BO$44,,BF$6-$D95+1)),0)</f>
        <v>0</v>
      </c>
      <c r="BG95" s="46">
        <f t="array" ref="BG95">IFERROR(IF(INDEX(Historicals!$T51:$BO51,,BG$6+$D95*-1)&lt;&gt;"",INDEX(Historicals!$T51:$BO51,,BG$6+$D95*-1),$F95*BG$46*Historicals!$S51*INDEX($T$44:$BO$44,,BG$6-$D95+1)),0)</f>
        <v>0</v>
      </c>
      <c r="BH95" s="46">
        <f t="array" ref="BH95">IFERROR(IF(INDEX(Historicals!$T51:$BO51,,BH$6+$D95*-1)&lt;&gt;"",INDEX(Historicals!$T51:$BO51,,BH$6+$D95*-1),$F95*BH$46*Historicals!$S51*INDEX($T$44:$BO$44,,BH$6-$D95+1)),0)</f>
        <v>0</v>
      </c>
      <c r="BI95" s="46">
        <f t="array" ref="BI95">IFERROR(IF(INDEX(Historicals!$T51:$BO51,,BI$6+$D95*-1)&lt;&gt;"",INDEX(Historicals!$T51:$BO51,,BI$6+$D95*-1),$F95*BI$46*Historicals!$S51*INDEX($T$44:$BO$44,,BI$6-$D95+1)),0)</f>
        <v>0</v>
      </c>
      <c r="BJ95" s="46">
        <f t="array" ref="BJ95">IFERROR(IF(INDEX(Historicals!$T51:$BO51,,BJ$6+$D95*-1)&lt;&gt;"",INDEX(Historicals!$T51:$BO51,,BJ$6+$D95*-1),$F95*BJ$46*Historicals!$S51*INDEX($T$44:$BO$44,,BJ$6-$D95+1)),0)</f>
        <v>0</v>
      </c>
      <c r="BK95" s="46">
        <f t="array" ref="BK95">IFERROR(IF(INDEX(Historicals!$T51:$BO51,,BK$6+$D95*-1)&lt;&gt;"",INDEX(Historicals!$T51:$BO51,,BK$6+$D95*-1),$F95*BK$46*Historicals!$S51*INDEX($T$44:$BO$44,,BK$6-$D95+1)),0)</f>
        <v>0</v>
      </c>
      <c r="BL95" s="46">
        <f t="array" ref="BL95">IFERROR(IF(INDEX(Historicals!$T51:$BO51,,BL$6+$D95*-1)&lt;&gt;"",INDEX(Historicals!$T51:$BO51,,BL$6+$D95*-1),$F95*BL$46*Historicals!$S51*INDEX($T$44:$BO$44,,BL$6-$D95+1)),0)</f>
        <v>0</v>
      </c>
      <c r="BM95" s="46">
        <f t="array" ref="BM95">IFERROR(IF(INDEX(Historicals!$T51:$BO51,,BM$6+$D95*-1)&lt;&gt;"",INDEX(Historicals!$T51:$BO51,,BM$6+$D95*-1),$F95*BM$46*Historicals!$S51*INDEX($T$44:$BO$44,,BM$6-$D95+1)),0)</f>
        <v>0</v>
      </c>
      <c r="BN95" s="46">
        <f t="array" ref="BN95">IFERROR(IF(INDEX(Historicals!$T51:$BO51,,BN$6+$D95*-1)&lt;&gt;"",INDEX(Historicals!$T51:$BO51,,BN$6+$D95*-1),$F95*BN$46*Historicals!$S51*INDEX($T$44:$BO$44,,BN$6-$D95+1)),0)</f>
        <v>0</v>
      </c>
      <c r="BO95" s="46">
        <f t="array" ref="BO95">IFERROR(IF(INDEX(Historicals!$T51:$BO51,,BO$6+$D95*-1)&lt;&gt;"",INDEX(Historicals!$T51:$BO51,,BO$6+$D95*-1),$F95*BO$46*Historicals!$S51*INDEX($T$44:$BO$44,,BO$6-$D95+1)),0)</f>
        <v>0</v>
      </c>
    </row>
    <row r="96" spans="1:67" ht="16.5" hidden="1" customHeight="1" outlineLevel="1">
      <c r="A96" s="1"/>
      <c r="B96" s="55">
        <f t="shared" si="19"/>
        <v>45442</v>
      </c>
      <c r="C96" s="17" t="s">
        <v>104</v>
      </c>
      <c r="D96" s="46">
        <f t="shared" si="20"/>
        <v>-7</v>
      </c>
      <c r="E96" s="16"/>
      <c r="F96" s="51">
        <v>1</v>
      </c>
      <c r="G96" s="16" t="s">
        <v>159</v>
      </c>
      <c r="H96" s="16" t="s">
        <v>155</v>
      </c>
      <c r="I96" s="46">
        <f ca="1">IF(H96=Forecast!$H$195,T96,IF(H96=Forecast!$H$196,BO96,IF(H96=Forecast!$H$197,SUM(T96:BO96),IF(H96=Forecast!$H$198,AVERAGE(T96:BO96),0))))</f>
        <v>641.39056946667836</v>
      </c>
      <c r="J96" s="16"/>
      <c r="K96" s="16"/>
      <c r="L96" s="16"/>
      <c r="M96" s="16"/>
      <c r="N96" s="16"/>
      <c r="O96" s="16"/>
      <c r="P96" s="16"/>
      <c r="Q96" s="16"/>
      <c r="R96" s="16"/>
      <c r="S96" s="16"/>
      <c r="T96" s="46">
        <f t="array" ref="T96">IFERROR(IF(INDEX(Historicals!$T52:$BO52,,T$6+$D96*-1)&lt;&gt;"",INDEX(Historicals!$T52:$BO52,,T$6+$D96*-1),$F96*T$46*Historicals!$S52*INDEX($T$44:$BO$44,,T$6-$D96+1)),0)</f>
        <v>292.90389143552005</v>
      </c>
      <c r="U96" s="46">
        <f t="array" aca="1" ref="U96" ca="1">IFERROR(IF(INDEX(Historicals!$T52:$BO52,,U$6+$D96*-1)&lt;&gt;"",INDEX(Historicals!$T52:$BO52,,U$6+$D96*-1),$F96*U$46*Historicals!$S52*INDEX($T$44:$BO$44,,U$6-$D96+1)),0)</f>
        <v>174.58432402343743</v>
      </c>
      <c r="V96" s="46">
        <f t="array" aca="1" ref="V96" ca="1">IFERROR(IF(INDEX(Historicals!$T52:$BO52,,V$6+$D96*-1)&lt;&gt;"",INDEX(Historicals!$T52:$BO52,,V$6+$D96*-1),$F96*V$46*Historicals!$S52*INDEX($T$44:$BO$44,,V$6-$D96+1)),0)</f>
        <v>0</v>
      </c>
      <c r="W96" s="46">
        <f t="array" aca="1" ref="W96" ca="1">IFERROR(IF(INDEX(Historicals!$T52:$BO52,,W$6+$D96*-1)&lt;&gt;"",INDEX(Historicals!$T52:$BO52,,W$6+$D96*-1),$F96*W$46*Historicals!$S52*INDEX($T$44:$BO$44,,W$6-$D96+1)),0)</f>
        <v>0</v>
      </c>
      <c r="X96" s="46">
        <f t="array" aca="1" ref="X96" ca="1">IFERROR(IF(INDEX(Historicals!$T52:$BO52,,X$6+$D96*-1)&lt;&gt;"",INDEX(Historicals!$T52:$BO52,,X$6+$D96*-1),$F96*X$46*Historicals!$S52*INDEX($T$44:$BO$44,,X$6-$D96+1)),0)</f>
        <v>87.292162011718716</v>
      </c>
      <c r="Y96" s="46">
        <f t="array" aca="1" ref="Y96" ca="1">IFERROR(IF(INDEX(Historicals!$T52:$BO52,,Y$6+$D96*-1)&lt;&gt;"",INDEX(Historicals!$T52:$BO52,,Y$6+$D96*-1),$F96*Y$46*Historicals!$S52*INDEX($T$44:$BO$44,,Y$6-$D96+1)),0)</f>
        <v>0</v>
      </c>
      <c r="Z96" s="46">
        <f t="array" aca="1" ref="Z96" ca="1">IFERROR(IF(INDEX(Historicals!$T52:$BO52,,Z$6+$D96*-1)&lt;&gt;"",INDEX(Historicals!$T52:$BO52,,Z$6+$D96*-1),$F96*Z$46*Historicals!$S52*INDEX($T$44:$BO$44,,Z$6-$D96+1)),0)</f>
        <v>0</v>
      </c>
      <c r="AA96" s="46">
        <f t="array" aca="1" ref="AA96" ca="1">IFERROR(IF(INDEX(Historicals!$T52:$BO52,,AA$6+$D96*-1)&lt;&gt;"",INDEX(Historicals!$T52:$BO52,,AA$6+$D96*-1),$F96*AA$46*Historicals!$S52*INDEX($T$44:$BO$44,,AA$6-$D96+1)),0)</f>
        <v>43.646081005859358</v>
      </c>
      <c r="AB96" s="46">
        <f t="array" aca="1" ref="AB96" ca="1">IFERROR(IF(INDEX(Historicals!$T52:$BO52,,AB$6+$D96*-1)&lt;&gt;"",INDEX(Historicals!$T52:$BO52,,AB$6+$D96*-1),$F96*AB$46*Historicals!$S52*INDEX($T$44:$BO$44,,AB$6-$D96+1)),0)</f>
        <v>0</v>
      </c>
      <c r="AC96" s="46">
        <f t="array" aca="1" ref="AC96" ca="1">IFERROR(IF(INDEX(Historicals!$T52:$BO52,,AC$6+$D96*-1)&lt;&gt;"",INDEX(Historicals!$T52:$BO52,,AC$6+$D96*-1),$F96*AC$46*Historicals!$S52*INDEX($T$44:$BO$44,,AC$6-$D96+1)),0)</f>
        <v>0</v>
      </c>
      <c r="AD96" s="46">
        <f t="array" aca="1" ref="AD96" ca="1">IFERROR(IF(INDEX(Historicals!$T52:$BO52,,AD$6+$D96*-1)&lt;&gt;"",INDEX(Historicals!$T52:$BO52,,AD$6+$D96*-1),$F96*AD$46*Historicals!$S52*INDEX($T$44:$BO$44,,AD$6-$D96+1)),0)</f>
        <v>21.823040502929679</v>
      </c>
      <c r="AE96" s="46">
        <f t="array" aca="1" ref="AE96" ca="1">IFERROR(IF(INDEX(Historicals!$T52:$BO52,,AE$6+$D96*-1)&lt;&gt;"",INDEX(Historicals!$T52:$BO52,,AE$6+$D96*-1),$F96*AE$46*Historicals!$S52*INDEX($T$44:$BO$44,,AE$6-$D96+1)),0)</f>
        <v>0</v>
      </c>
      <c r="AF96" s="46">
        <f t="array" aca="1" ref="AF96" ca="1">IFERROR(IF(INDEX(Historicals!$T52:$BO52,,AF$6+$D96*-1)&lt;&gt;"",INDEX(Historicals!$T52:$BO52,,AF$6+$D96*-1),$F96*AF$46*Historicals!$S52*INDEX($T$44:$BO$44,,AF$6-$D96+1)),0)</f>
        <v>0</v>
      </c>
      <c r="AG96" s="46">
        <f t="array" aca="1" ref="AG96" ca="1">IFERROR(IF(INDEX(Historicals!$T52:$BO52,,AG$6+$D96*-1)&lt;&gt;"",INDEX(Historicals!$T52:$BO52,,AG$6+$D96*-1),$F96*AG$46*Historicals!$S52*INDEX($T$44:$BO$44,,AG$6-$D96+1)),0)</f>
        <v>10.91152025146484</v>
      </c>
      <c r="AH96" s="46">
        <f t="array" aca="1" ref="AH96" ca="1">IFERROR(IF(INDEX(Historicals!$T52:$BO52,,AH$6+$D96*-1)&lt;&gt;"",INDEX(Historicals!$T52:$BO52,,AH$6+$D96*-1),$F96*AH$46*Historicals!$S52*INDEX($T$44:$BO$44,,AH$6-$D96+1)),0)</f>
        <v>0</v>
      </c>
      <c r="AI96" s="46">
        <f t="array" aca="1" ref="AI96" ca="1">IFERROR(IF(INDEX(Historicals!$T52:$BO52,,AI$6+$D96*-1)&lt;&gt;"",INDEX(Historicals!$T52:$BO52,,AI$6+$D96*-1),$F96*AI$46*Historicals!$S52*INDEX($T$44:$BO$44,,AI$6-$D96+1)),0)</f>
        <v>0</v>
      </c>
      <c r="AJ96" s="46">
        <f t="array" aca="1" ref="AJ96" ca="1">IFERROR(IF(INDEX(Historicals!$T52:$BO52,,AJ$6+$D96*-1)&lt;&gt;"",INDEX(Historicals!$T52:$BO52,,AJ$6+$D96*-1),$F96*AJ$46*Historicals!$S52*INDEX($T$44:$BO$44,,AJ$6-$D96+1)),0)</f>
        <v>5.4557601257324198</v>
      </c>
      <c r="AK96" s="46">
        <f t="array" aca="1" ref="AK96" ca="1">IFERROR(IF(INDEX(Historicals!$T52:$BO52,,AK$6+$D96*-1)&lt;&gt;"",INDEX(Historicals!$T52:$BO52,,AK$6+$D96*-1),$F96*AK$46*Historicals!$S52*INDEX($T$44:$BO$44,,AK$6-$D96+1)),0)</f>
        <v>0</v>
      </c>
      <c r="AL96" s="46">
        <f t="array" aca="1" ref="AL96" ca="1">IFERROR(IF(INDEX(Historicals!$T52:$BO52,,AL$6+$D96*-1)&lt;&gt;"",INDEX(Historicals!$T52:$BO52,,AL$6+$D96*-1),$F96*AL$46*Historicals!$S52*INDEX($T$44:$BO$44,,AL$6-$D96+1)),0)</f>
        <v>0</v>
      </c>
      <c r="AM96" s="46">
        <f t="array" aca="1" ref="AM96" ca="1">IFERROR(IF(INDEX(Historicals!$T52:$BO52,,AM$6+$D96*-1)&lt;&gt;"",INDEX(Historicals!$T52:$BO52,,AM$6+$D96*-1),$F96*AM$46*Historicals!$S52*INDEX($T$44:$BO$44,,AM$6-$D96+1)),0)</f>
        <v>2.7278800628662099</v>
      </c>
      <c r="AN96" s="46">
        <f t="array" aca="1" ref="AN96" ca="1">IFERROR(IF(INDEX(Historicals!$T52:$BO52,,AN$6+$D96*-1)&lt;&gt;"",INDEX(Historicals!$T52:$BO52,,AN$6+$D96*-1),$F96*AN$46*Historicals!$S52*INDEX($T$44:$BO$44,,AN$6-$D96+1)),0)</f>
        <v>0</v>
      </c>
      <c r="AO96" s="46">
        <f t="array" aca="1" ref="AO96" ca="1">IFERROR(IF(INDEX(Historicals!$T52:$BO52,,AO$6+$D96*-1)&lt;&gt;"",INDEX(Historicals!$T52:$BO52,,AO$6+$D96*-1),$F96*AO$46*Historicals!$S52*INDEX($T$44:$BO$44,,AO$6-$D96+1)),0)</f>
        <v>0</v>
      </c>
      <c r="AP96" s="46">
        <f t="array" aca="1" ref="AP96" ca="1">IFERROR(IF(INDEX(Historicals!$T52:$BO52,,AP$6+$D96*-1)&lt;&gt;"",INDEX(Historicals!$T52:$BO52,,AP$6+$D96*-1),$F96*AP$46*Historicals!$S52*INDEX($T$44:$BO$44,,AP$6-$D96+1)),0)</f>
        <v>1.3639400314331049</v>
      </c>
      <c r="AQ96" s="46">
        <f t="array" aca="1" ref="AQ96" ca="1">IFERROR(IF(INDEX(Historicals!$T52:$BO52,,AQ$6+$D96*-1)&lt;&gt;"",INDEX(Historicals!$T52:$BO52,,AQ$6+$D96*-1),$F96*AQ$46*Historicals!$S52*INDEX($T$44:$BO$44,,AQ$6-$D96+1)),0)</f>
        <v>0</v>
      </c>
      <c r="AR96" s="46">
        <f t="array" aca="1" ref="AR96" ca="1">IFERROR(IF(INDEX(Historicals!$T52:$BO52,,AR$6+$D96*-1)&lt;&gt;"",INDEX(Historicals!$T52:$BO52,,AR$6+$D96*-1),$F96*AR$46*Historicals!$S52*INDEX($T$44:$BO$44,,AR$6-$D96+1)),0)</f>
        <v>0</v>
      </c>
      <c r="AS96" s="46">
        <f t="array" aca="1" ref="AS96" ca="1">IFERROR(IF(INDEX(Historicals!$T52:$BO52,,AS$6+$D96*-1)&lt;&gt;"",INDEX(Historicals!$T52:$BO52,,AS$6+$D96*-1),$F96*AS$46*Historicals!$S52*INDEX($T$44:$BO$44,,AS$6-$D96+1)),0)</f>
        <v>0.68197001571655247</v>
      </c>
      <c r="AT96" s="46">
        <f t="array" aca="1" ref="AT96" ca="1">IFERROR(IF(INDEX(Historicals!$T52:$BO52,,AT$6+$D96*-1)&lt;&gt;"",INDEX(Historicals!$T52:$BO52,,AT$6+$D96*-1),$F96*AT$46*Historicals!$S52*INDEX($T$44:$BO$44,,AT$6-$D96+1)),0)</f>
        <v>0</v>
      </c>
      <c r="AU96" s="46">
        <f t="array" aca="1" ref="AU96" ca="1">IFERROR(IF(INDEX(Historicals!$T52:$BO52,,AU$6+$D96*-1)&lt;&gt;"",INDEX(Historicals!$T52:$BO52,,AU$6+$D96*-1),$F96*AU$46*Historicals!$S52*INDEX($T$44:$BO$44,,AU$6-$D96+1)),0)</f>
        <v>0</v>
      </c>
      <c r="AV96" s="46">
        <f t="array" ref="AV96">IFERROR(IF(INDEX(Historicals!$T52:$BO52,,AV$6+$D96*-1)&lt;&gt;"",INDEX(Historicals!$T52:$BO52,,AV$6+$D96*-1),$F96*AV$46*Historicals!$S52*INDEX($T$44:$BO$44,,AV$6-$D96+1)),0)</f>
        <v>0</v>
      </c>
      <c r="AW96" s="46">
        <f t="array" ref="AW96">IFERROR(IF(INDEX(Historicals!$T52:$BO52,,AW$6+$D96*-1)&lt;&gt;"",INDEX(Historicals!$T52:$BO52,,AW$6+$D96*-1),$F96*AW$46*Historicals!$S52*INDEX($T$44:$BO$44,,AW$6-$D96+1)),0)</f>
        <v>0</v>
      </c>
      <c r="AX96" s="46">
        <f t="array" ref="AX96">IFERROR(IF(INDEX(Historicals!$T52:$BO52,,AX$6+$D96*-1)&lt;&gt;"",INDEX(Historicals!$T52:$BO52,,AX$6+$D96*-1),$F96*AX$46*Historicals!$S52*INDEX($T$44:$BO$44,,AX$6-$D96+1)),0)</f>
        <v>0</v>
      </c>
      <c r="AY96" s="46">
        <f t="array" ref="AY96">IFERROR(IF(INDEX(Historicals!$T52:$BO52,,AY$6+$D96*-1)&lt;&gt;"",INDEX(Historicals!$T52:$BO52,,AY$6+$D96*-1),$F96*AY$46*Historicals!$S52*INDEX($T$44:$BO$44,,AY$6-$D96+1)),0)</f>
        <v>0</v>
      </c>
      <c r="AZ96" s="46">
        <f t="array" ref="AZ96">IFERROR(IF(INDEX(Historicals!$T52:$BO52,,AZ$6+$D96*-1)&lt;&gt;"",INDEX(Historicals!$T52:$BO52,,AZ$6+$D96*-1),$F96*AZ$46*Historicals!$S52*INDEX($T$44:$BO$44,,AZ$6-$D96+1)),0)</f>
        <v>0</v>
      </c>
      <c r="BA96" s="46">
        <f t="array" ref="BA96">IFERROR(IF(INDEX(Historicals!$T52:$BO52,,BA$6+$D96*-1)&lt;&gt;"",INDEX(Historicals!$T52:$BO52,,BA$6+$D96*-1),$F96*BA$46*Historicals!$S52*INDEX($T$44:$BO$44,,BA$6-$D96+1)),0)</f>
        <v>0</v>
      </c>
      <c r="BB96" s="46">
        <f t="array" ref="BB96">IFERROR(IF(INDEX(Historicals!$T52:$BO52,,BB$6+$D96*-1)&lt;&gt;"",INDEX(Historicals!$T52:$BO52,,BB$6+$D96*-1),$F96*BB$46*Historicals!$S52*INDEX($T$44:$BO$44,,BB$6-$D96+1)),0)</f>
        <v>0</v>
      </c>
      <c r="BC96" s="46">
        <f t="array" ref="BC96">IFERROR(IF(INDEX(Historicals!$T52:$BO52,,BC$6+$D96*-1)&lt;&gt;"",INDEX(Historicals!$T52:$BO52,,BC$6+$D96*-1),$F96*BC$46*Historicals!$S52*INDEX($T$44:$BO$44,,BC$6-$D96+1)),0)</f>
        <v>0</v>
      </c>
      <c r="BD96" s="46">
        <f t="array" ref="BD96">IFERROR(IF(INDEX(Historicals!$T52:$BO52,,BD$6+$D96*-1)&lt;&gt;"",INDEX(Historicals!$T52:$BO52,,BD$6+$D96*-1),$F96*BD$46*Historicals!$S52*INDEX($T$44:$BO$44,,BD$6-$D96+1)),0)</f>
        <v>0</v>
      </c>
      <c r="BE96" s="46">
        <f t="array" ref="BE96">IFERROR(IF(INDEX(Historicals!$T52:$BO52,,BE$6+$D96*-1)&lt;&gt;"",INDEX(Historicals!$T52:$BO52,,BE$6+$D96*-1),$F96*BE$46*Historicals!$S52*INDEX($T$44:$BO$44,,BE$6-$D96+1)),0)</f>
        <v>0</v>
      </c>
      <c r="BF96" s="46">
        <f t="array" ref="BF96">IFERROR(IF(INDEX(Historicals!$T52:$BO52,,BF$6+$D96*-1)&lt;&gt;"",INDEX(Historicals!$T52:$BO52,,BF$6+$D96*-1),$F96*BF$46*Historicals!$S52*INDEX($T$44:$BO$44,,BF$6-$D96+1)),0)</f>
        <v>0</v>
      </c>
      <c r="BG96" s="46">
        <f t="array" ref="BG96">IFERROR(IF(INDEX(Historicals!$T52:$BO52,,BG$6+$D96*-1)&lt;&gt;"",INDEX(Historicals!$T52:$BO52,,BG$6+$D96*-1),$F96*BG$46*Historicals!$S52*INDEX($T$44:$BO$44,,BG$6-$D96+1)),0)</f>
        <v>0</v>
      </c>
      <c r="BH96" s="46">
        <f t="array" ref="BH96">IFERROR(IF(INDEX(Historicals!$T52:$BO52,,BH$6+$D96*-1)&lt;&gt;"",INDEX(Historicals!$T52:$BO52,,BH$6+$D96*-1),$F96*BH$46*Historicals!$S52*INDEX($T$44:$BO$44,,BH$6-$D96+1)),0)</f>
        <v>0</v>
      </c>
      <c r="BI96" s="46">
        <f t="array" ref="BI96">IFERROR(IF(INDEX(Historicals!$T52:$BO52,,BI$6+$D96*-1)&lt;&gt;"",INDEX(Historicals!$T52:$BO52,,BI$6+$D96*-1),$F96*BI$46*Historicals!$S52*INDEX($T$44:$BO$44,,BI$6-$D96+1)),0)</f>
        <v>0</v>
      </c>
      <c r="BJ96" s="46">
        <f t="array" ref="BJ96">IFERROR(IF(INDEX(Historicals!$T52:$BO52,,BJ$6+$D96*-1)&lt;&gt;"",INDEX(Historicals!$T52:$BO52,,BJ$6+$D96*-1),$F96*BJ$46*Historicals!$S52*INDEX($T$44:$BO$44,,BJ$6-$D96+1)),0)</f>
        <v>0</v>
      </c>
      <c r="BK96" s="46">
        <f t="array" ref="BK96">IFERROR(IF(INDEX(Historicals!$T52:$BO52,,BK$6+$D96*-1)&lt;&gt;"",INDEX(Historicals!$T52:$BO52,,BK$6+$D96*-1),$F96*BK$46*Historicals!$S52*INDEX($T$44:$BO$44,,BK$6-$D96+1)),0)</f>
        <v>0</v>
      </c>
      <c r="BL96" s="46">
        <f t="array" ref="BL96">IFERROR(IF(INDEX(Historicals!$T52:$BO52,,BL$6+$D96*-1)&lt;&gt;"",INDEX(Historicals!$T52:$BO52,,BL$6+$D96*-1),$F96*BL$46*Historicals!$S52*INDEX($T$44:$BO$44,,BL$6-$D96+1)),0)</f>
        <v>0</v>
      </c>
      <c r="BM96" s="46">
        <f t="array" ref="BM96">IFERROR(IF(INDEX(Historicals!$T52:$BO52,,BM$6+$D96*-1)&lt;&gt;"",INDEX(Historicals!$T52:$BO52,,BM$6+$D96*-1),$F96*BM$46*Historicals!$S52*INDEX($T$44:$BO$44,,BM$6-$D96+1)),0)</f>
        <v>0</v>
      </c>
      <c r="BN96" s="46">
        <f t="array" ref="BN96">IFERROR(IF(INDEX(Historicals!$T52:$BO52,,BN$6+$D96*-1)&lt;&gt;"",INDEX(Historicals!$T52:$BO52,,BN$6+$D96*-1),$F96*BN$46*Historicals!$S52*INDEX($T$44:$BO$44,,BN$6-$D96+1)),0)</f>
        <v>0</v>
      </c>
      <c r="BO96" s="46">
        <f t="array" ref="BO96">IFERROR(IF(INDEX(Historicals!$T52:$BO52,,BO$6+$D96*-1)&lt;&gt;"",INDEX(Historicals!$T52:$BO52,,BO$6+$D96*-1),$F96*BO$46*Historicals!$S52*INDEX($T$44:$BO$44,,BO$6-$D96+1)),0)</f>
        <v>0</v>
      </c>
    </row>
    <row r="97" spans="1:67" ht="16.5" hidden="1" customHeight="1" outlineLevel="1">
      <c r="A97" s="1"/>
      <c r="B97" s="55">
        <f t="shared" si="19"/>
        <v>45473</v>
      </c>
      <c r="C97" s="17" t="s">
        <v>104</v>
      </c>
      <c r="D97" s="46">
        <f t="shared" si="20"/>
        <v>-6</v>
      </c>
      <c r="E97" s="16"/>
      <c r="F97" s="51">
        <v>1</v>
      </c>
      <c r="G97" s="16" t="s">
        <v>159</v>
      </c>
      <c r="H97" s="16" t="s">
        <v>155</v>
      </c>
      <c r="I97" s="46">
        <f ca="1">IF(H97=Forecast!$H$195,T97,IF(H97=Forecast!$H$196,BO97,IF(H97=Forecast!$H$197,SUM(T97:BO97),IF(H97=Forecast!$H$198,AVERAGE(T97:BO97),0))))</f>
        <v>752.22793929006139</v>
      </c>
      <c r="J97" s="16"/>
      <c r="K97" s="16"/>
      <c r="L97" s="16"/>
      <c r="M97" s="16"/>
      <c r="N97" s="16"/>
      <c r="O97" s="16"/>
      <c r="P97" s="16"/>
      <c r="Q97" s="16"/>
      <c r="R97" s="16"/>
      <c r="S97" s="16"/>
      <c r="T97" s="46">
        <f t="array" ref="T97">IFERROR(IF(INDEX(Historicals!$T53:$BO53,,T$6+$D97*-1)&lt;&gt;"",INDEX(Historicals!$T53:$BO53,,T$6+$D97*-1),$F97*T$46*Historicals!$S53*INDEX($T$44:$BO$44,,T$6-$D97+1)),0)</f>
        <v>385.39985715200004</v>
      </c>
      <c r="U97" s="46">
        <f t="array" aca="1" ref="U97" ca="1">IFERROR(IF(INDEX(Historicals!$T53:$BO53,,U$6+$D97*-1)&lt;&gt;"",INDEX(Historicals!$T53:$BO53,,U$6+$D97*-1),$F97*U$46*Historicals!$S53*INDEX($T$44:$BO$44,,U$6-$D97+1)),0)</f>
        <v>0</v>
      </c>
      <c r="V97" s="46">
        <f t="array" aca="1" ref="V97" ca="1">IFERROR(IF(INDEX(Historicals!$T53:$BO53,,V$6+$D97*-1)&lt;&gt;"",INDEX(Historicals!$T53:$BO53,,V$6+$D97*-1),$F97*V$46*Historicals!$S53*INDEX($T$44:$BO$44,,V$6-$D97+1)),0)</f>
        <v>183.77297265624995</v>
      </c>
      <c r="W97" s="46">
        <f t="array" aca="1" ref="W97" ca="1">IFERROR(IF(INDEX(Historicals!$T53:$BO53,,W$6+$D97*-1)&lt;&gt;"",INDEX(Historicals!$T53:$BO53,,W$6+$D97*-1),$F97*W$46*Historicals!$S53*INDEX($T$44:$BO$44,,W$6-$D97+1)),0)</f>
        <v>0</v>
      </c>
      <c r="X97" s="46">
        <f t="array" aca="1" ref="X97" ca="1">IFERROR(IF(INDEX(Historicals!$T53:$BO53,,X$6+$D97*-1)&lt;&gt;"",INDEX(Historicals!$T53:$BO53,,X$6+$D97*-1),$F97*X$46*Historicals!$S53*INDEX($T$44:$BO$44,,X$6-$D97+1)),0)</f>
        <v>0</v>
      </c>
      <c r="Y97" s="46">
        <f t="array" aca="1" ref="Y97" ca="1">IFERROR(IF(INDEX(Historicals!$T53:$BO53,,Y$6+$D97*-1)&lt;&gt;"",INDEX(Historicals!$T53:$BO53,,Y$6+$D97*-1),$F97*Y$46*Historicals!$S53*INDEX($T$44:$BO$44,,Y$6-$D97+1)),0)</f>
        <v>91.886486328124974</v>
      </c>
      <c r="Z97" s="46">
        <f t="array" aca="1" ref="Z97" ca="1">IFERROR(IF(INDEX(Historicals!$T53:$BO53,,Z$6+$D97*-1)&lt;&gt;"",INDEX(Historicals!$T53:$BO53,,Z$6+$D97*-1),$F97*Z$46*Historicals!$S53*INDEX($T$44:$BO$44,,Z$6-$D97+1)),0)</f>
        <v>0</v>
      </c>
      <c r="AA97" s="46">
        <f t="array" aca="1" ref="AA97" ca="1">IFERROR(IF(INDEX(Historicals!$T53:$BO53,,AA$6+$D97*-1)&lt;&gt;"",INDEX(Historicals!$T53:$BO53,,AA$6+$D97*-1),$F97*AA$46*Historicals!$S53*INDEX($T$44:$BO$44,,AA$6-$D97+1)),0)</f>
        <v>0</v>
      </c>
      <c r="AB97" s="46">
        <f t="array" aca="1" ref="AB97" ca="1">IFERROR(IF(INDEX(Historicals!$T53:$BO53,,AB$6+$D97*-1)&lt;&gt;"",INDEX(Historicals!$T53:$BO53,,AB$6+$D97*-1),$F97*AB$46*Historicals!$S53*INDEX($T$44:$BO$44,,AB$6-$D97+1)),0)</f>
        <v>45.943243164062487</v>
      </c>
      <c r="AC97" s="46">
        <f t="array" aca="1" ref="AC97" ca="1">IFERROR(IF(INDEX(Historicals!$T53:$BO53,,AC$6+$D97*-1)&lt;&gt;"",INDEX(Historicals!$T53:$BO53,,AC$6+$D97*-1),$F97*AC$46*Historicals!$S53*INDEX($T$44:$BO$44,,AC$6-$D97+1)),0)</f>
        <v>0</v>
      </c>
      <c r="AD97" s="46">
        <f t="array" aca="1" ref="AD97" ca="1">IFERROR(IF(INDEX(Historicals!$T53:$BO53,,AD$6+$D97*-1)&lt;&gt;"",INDEX(Historicals!$T53:$BO53,,AD$6+$D97*-1),$F97*AD$46*Historicals!$S53*INDEX($T$44:$BO$44,,AD$6-$D97+1)),0)</f>
        <v>0</v>
      </c>
      <c r="AE97" s="46">
        <f t="array" aca="1" ref="AE97" ca="1">IFERROR(IF(INDEX(Historicals!$T53:$BO53,,AE$6+$D97*-1)&lt;&gt;"",INDEX(Historicals!$T53:$BO53,,AE$6+$D97*-1),$F97*AE$46*Historicals!$S53*INDEX($T$44:$BO$44,,AE$6-$D97+1)),0)</f>
        <v>22.971621582031243</v>
      </c>
      <c r="AF97" s="46">
        <f t="array" aca="1" ref="AF97" ca="1">IFERROR(IF(INDEX(Historicals!$T53:$BO53,,AF$6+$D97*-1)&lt;&gt;"",INDEX(Historicals!$T53:$BO53,,AF$6+$D97*-1),$F97*AF$46*Historicals!$S53*INDEX($T$44:$BO$44,,AF$6-$D97+1)),0)</f>
        <v>0</v>
      </c>
      <c r="AG97" s="46">
        <f t="array" aca="1" ref="AG97" ca="1">IFERROR(IF(INDEX(Historicals!$T53:$BO53,,AG$6+$D97*-1)&lt;&gt;"",INDEX(Historicals!$T53:$BO53,,AG$6+$D97*-1),$F97*AG$46*Historicals!$S53*INDEX($T$44:$BO$44,,AG$6-$D97+1)),0)</f>
        <v>0</v>
      </c>
      <c r="AH97" s="46">
        <f t="array" aca="1" ref="AH97" ca="1">IFERROR(IF(INDEX(Historicals!$T53:$BO53,,AH$6+$D97*-1)&lt;&gt;"",INDEX(Historicals!$T53:$BO53,,AH$6+$D97*-1),$F97*AH$46*Historicals!$S53*INDEX($T$44:$BO$44,,AH$6-$D97+1)),0)</f>
        <v>11.485810791015622</v>
      </c>
      <c r="AI97" s="46">
        <f t="array" aca="1" ref="AI97" ca="1">IFERROR(IF(INDEX(Historicals!$T53:$BO53,,AI$6+$D97*-1)&lt;&gt;"",INDEX(Historicals!$T53:$BO53,,AI$6+$D97*-1),$F97*AI$46*Historicals!$S53*INDEX($T$44:$BO$44,,AI$6-$D97+1)),0)</f>
        <v>0</v>
      </c>
      <c r="AJ97" s="46">
        <f t="array" aca="1" ref="AJ97" ca="1">IFERROR(IF(INDEX(Historicals!$T53:$BO53,,AJ$6+$D97*-1)&lt;&gt;"",INDEX(Historicals!$T53:$BO53,,AJ$6+$D97*-1),$F97*AJ$46*Historicals!$S53*INDEX($T$44:$BO$44,,AJ$6-$D97+1)),0)</f>
        <v>0</v>
      </c>
      <c r="AK97" s="46">
        <f t="array" aca="1" ref="AK97" ca="1">IFERROR(IF(INDEX(Historicals!$T53:$BO53,,AK$6+$D97*-1)&lt;&gt;"",INDEX(Historicals!$T53:$BO53,,AK$6+$D97*-1),$F97*AK$46*Historicals!$S53*INDEX($T$44:$BO$44,,AK$6-$D97+1)),0)</f>
        <v>5.7429053955078109</v>
      </c>
      <c r="AL97" s="46">
        <f t="array" aca="1" ref="AL97" ca="1">IFERROR(IF(INDEX(Historicals!$T53:$BO53,,AL$6+$D97*-1)&lt;&gt;"",INDEX(Historicals!$T53:$BO53,,AL$6+$D97*-1),$F97*AL$46*Historicals!$S53*INDEX($T$44:$BO$44,,AL$6-$D97+1)),0)</f>
        <v>0</v>
      </c>
      <c r="AM97" s="46">
        <f t="array" aca="1" ref="AM97" ca="1">IFERROR(IF(INDEX(Historicals!$T53:$BO53,,AM$6+$D97*-1)&lt;&gt;"",INDEX(Historicals!$T53:$BO53,,AM$6+$D97*-1),$F97*AM$46*Historicals!$S53*INDEX($T$44:$BO$44,,AM$6-$D97+1)),0)</f>
        <v>0</v>
      </c>
      <c r="AN97" s="46">
        <f t="array" aca="1" ref="AN97" ca="1">IFERROR(IF(INDEX(Historicals!$T53:$BO53,,AN$6+$D97*-1)&lt;&gt;"",INDEX(Historicals!$T53:$BO53,,AN$6+$D97*-1),$F97*AN$46*Historicals!$S53*INDEX($T$44:$BO$44,,AN$6-$D97+1)),0)</f>
        <v>2.8714526977539054</v>
      </c>
      <c r="AO97" s="46">
        <f t="array" aca="1" ref="AO97" ca="1">IFERROR(IF(INDEX(Historicals!$T53:$BO53,,AO$6+$D97*-1)&lt;&gt;"",INDEX(Historicals!$T53:$BO53,,AO$6+$D97*-1),$F97*AO$46*Historicals!$S53*INDEX($T$44:$BO$44,,AO$6-$D97+1)),0)</f>
        <v>0</v>
      </c>
      <c r="AP97" s="46">
        <f t="array" aca="1" ref="AP97" ca="1">IFERROR(IF(INDEX(Historicals!$T53:$BO53,,AP$6+$D97*-1)&lt;&gt;"",INDEX(Historicals!$T53:$BO53,,AP$6+$D97*-1),$F97*AP$46*Historicals!$S53*INDEX($T$44:$BO$44,,AP$6-$D97+1)),0)</f>
        <v>0</v>
      </c>
      <c r="AQ97" s="46">
        <f t="array" aca="1" ref="AQ97" ca="1">IFERROR(IF(INDEX(Historicals!$T53:$BO53,,AQ$6+$D97*-1)&lt;&gt;"",INDEX(Historicals!$T53:$BO53,,AQ$6+$D97*-1),$F97*AQ$46*Historicals!$S53*INDEX($T$44:$BO$44,,AQ$6-$D97+1)),0)</f>
        <v>1.4357263488769527</v>
      </c>
      <c r="AR97" s="46">
        <f t="array" aca="1" ref="AR97" ca="1">IFERROR(IF(INDEX(Historicals!$T53:$BO53,,AR$6+$D97*-1)&lt;&gt;"",INDEX(Historicals!$T53:$BO53,,AR$6+$D97*-1),$F97*AR$46*Historicals!$S53*INDEX($T$44:$BO$44,,AR$6-$D97+1)),0)</f>
        <v>0</v>
      </c>
      <c r="AS97" s="46">
        <f t="array" aca="1" ref="AS97" ca="1">IFERROR(IF(INDEX(Historicals!$T53:$BO53,,AS$6+$D97*-1)&lt;&gt;"",INDEX(Historicals!$T53:$BO53,,AS$6+$D97*-1),$F97*AS$46*Historicals!$S53*INDEX($T$44:$BO$44,,AS$6-$D97+1)),0)</f>
        <v>0</v>
      </c>
      <c r="AT97" s="46">
        <f t="array" aca="1" ref="AT97" ca="1">IFERROR(IF(INDEX(Historicals!$T53:$BO53,,AT$6+$D97*-1)&lt;&gt;"",INDEX(Historicals!$T53:$BO53,,AT$6+$D97*-1),$F97*AT$46*Historicals!$S53*INDEX($T$44:$BO$44,,AT$6-$D97+1)),0)</f>
        <v>0.71786317443847636</v>
      </c>
      <c r="AU97" s="46">
        <f t="array" aca="1" ref="AU97" ca="1">IFERROR(IF(INDEX(Historicals!$T53:$BO53,,AU$6+$D97*-1)&lt;&gt;"",INDEX(Historicals!$T53:$BO53,,AU$6+$D97*-1),$F97*AU$46*Historicals!$S53*INDEX($T$44:$BO$44,,AU$6-$D97+1)),0)</f>
        <v>0</v>
      </c>
      <c r="AV97" s="46">
        <f t="array" aca="1" ref="AV97" ca="1">IFERROR(IF(INDEX(Historicals!$T53:$BO53,,AV$6+$D97*-1)&lt;&gt;"",INDEX(Historicals!$T53:$BO53,,AV$6+$D97*-1),$F97*AV$46*Historicals!$S53*INDEX($T$44:$BO$44,,AV$6-$D97+1)),0)</f>
        <v>0</v>
      </c>
      <c r="AW97" s="46">
        <f t="array" ref="AW97">IFERROR(IF(INDEX(Historicals!$T53:$BO53,,AW$6+$D97*-1)&lt;&gt;"",INDEX(Historicals!$T53:$BO53,,AW$6+$D97*-1),$F97*AW$46*Historicals!$S53*INDEX($T$44:$BO$44,,AW$6-$D97+1)),0)</f>
        <v>0</v>
      </c>
      <c r="AX97" s="46">
        <f t="array" ref="AX97">IFERROR(IF(INDEX(Historicals!$T53:$BO53,,AX$6+$D97*-1)&lt;&gt;"",INDEX(Historicals!$T53:$BO53,,AX$6+$D97*-1),$F97*AX$46*Historicals!$S53*INDEX($T$44:$BO$44,,AX$6-$D97+1)),0)</f>
        <v>0</v>
      </c>
      <c r="AY97" s="46">
        <f t="array" ref="AY97">IFERROR(IF(INDEX(Historicals!$T53:$BO53,,AY$6+$D97*-1)&lt;&gt;"",INDEX(Historicals!$T53:$BO53,,AY$6+$D97*-1),$F97*AY$46*Historicals!$S53*INDEX($T$44:$BO$44,,AY$6-$D97+1)),0)</f>
        <v>0</v>
      </c>
      <c r="AZ97" s="46">
        <f t="array" ref="AZ97">IFERROR(IF(INDEX(Historicals!$T53:$BO53,,AZ$6+$D97*-1)&lt;&gt;"",INDEX(Historicals!$T53:$BO53,,AZ$6+$D97*-1),$F97*AZ$46*Historicals!$S53*INDEX($T$44:$BO$44,,AZ$6-$D97+1)),0)</f>
        <v>0</v>
      </c>
      <c r="BA97" s="46">
        <f t="array" ref="BA97">IFERROR(IF(INDEX(Historicals!$T53:$BO53,,BA$6+$D97*-1)&lt;&gt;"",INDEX(Historicals!$T53:$BO53,,BA$6+$D97*-1),$F97*BA$46*Historicals!$S53*INDEX($T$44:$BO$44,,BA$6-$D97+1)),0)</f>
        <v>0</v>
      </c>
      <c r="BB97" s="46">
        <f t="array" ref="BB97">IFERROR(IF(INDEX(Historicals!$T53:$BO53,,BB$6+$D97*-1)&lt;&gt;"",INDEX(Historicals!$T53:$BO53,,BB$6+$D97*-1),$F97*BB$46*Historicals!$S53*INDEX($T$44:$BO$44,,BB$6-$D97+1)),0)</f>
        <v>0</v>
      </c>
      <c r="BC97" s="46">
        <f t="array" ref="BC97">IFERROR(IF(INDEX(Historicals!$T53:$BO53,,BC$6+$D97*-1)&lt;&gt;"",INDEX(Historicals!$T53:$BO53,,BC$6+$D97*-1),$F97*BC$46*Historicals!$S53*INDEX($T$44:$BO$44,,BC$6-$D97+1)),0)</f>
        <v>0</v>
      </c>
      <c r="BD97" s="46">
        <f t="array" ref="BD97">IFERROR(IF(INDEX(Historicals!$T53:$BO53,,BD$6+$D97*-1)&lt;&gt;"",INDEX(Historicals!$T53:$BO53,,BD$6+$D97*-1),$F97*BD$46*Historicals!$S53*INDEX($T$44:$BO$44,,BD$6-$D97+1)),0)</f>
        <v>0</v>
      </c>
      <c r="BE97" s="46">
        <f t="array" ref="BE97">IFERROR(IF(INDEX(Historicals!$T53:$BO53,,BE$6+$D97*-1)&lt;&gt;"",INDEX(Historicals!$T53:$BO53,,BE$6+$D97*-1),$F97*BE$46*Historicals!$S53*INDEX($T$44:$BO$44,,BE$6-$D97+1)),0)</f>
        <v>0</v>
      </c>
      <c r="BF97" s="46">
        <f t="array" ref="BF97">IFERROR(IF(INDEX(Historicals!$T53:$BO53,,BF$6+$D97*-1)&lt;&gt;"",INDEX(Historicals!$T53:$BO53,,BF$6+$D97*-1),$F97*BF$46*Historicals!$S53*INDEX($T$44:$BO$44,,BF$6-$D97+1)),0)</f>
        <v>0</v>
      </c>
      <c r="BG97" s="46">
        <f t="array" ref="BG97">IFERROR(IF(INDEX(Historicals!$T53:$BO53,,BG$6+$D97*-1)&lt;&gt;"",INDEX(Historicals!$T53:$BO53,,BG$6+$D97*-1),$F97*BG$46*Historicals!$S53*INDEX($T$44:$BO$44,,BG$6-$D97+1)),0)</f>
        <v>0</v>
      </c>
      <c r="BH97" s="46">
        <f t="array" ref="BH97">IFERROR(IF(INDEX(Historicals!$T53:$BO53,,BH$6+$D97*-1)&lt;&gt;"",INDEX(Historicals!$T53:$BO53,,BH$6+$D97*-1),$F97*BH$46*Historicals!$S53*INDEX($T$44:$BO$44,,BH$6-$D97+1)),0)</f>
        <v>0</v>
      </c>
      <c r="BI97" s="46">
        <f t="array" ref="BI97">IFERROR(IF(INDEX(Historicals!$T53:$BO53,,BI$6+$D97*-1)&lt;&gt;"",INDEX(Historicals!$T53:$BO53,,BI$6+$D97*-1),$F97*BI$46*Historicals!$S53*INDEX($T$44:$BO$44,,BI$6-$D97+1)),0)</f>
        <v>0</v>
      </c>
      <c r="BJ97" s="46">
        <f t="array" ref="BJ97">IFERROR(IF(INDEX(Historicals!$T53:$BO53,,BJ$6+$D97*-1)&lt;&gt;"",INDEX(Historicals!$T53:$BO53,,BJ$6+$D97*-1),$F97*BJ$46*Historicals!$S53*INDEX($T$44:$BO$44,,BJ$6-$D97+1)),0)</f>
        <v>0</v>
      </c>
      <c r="BK97" s="46">
        <f t="array" ref="BK97">IFERROR(IF(INDEX(Historicals!$T53:$BO53,,BK$6+$D97*-1)&lt;&gt;"",INDEX(Historicals!$T53:$BO53,,BK$6+$D97*-1),$F97*BK$46*Historicals!$S53*INDEX($T$44:$BO$44,,BK$6-$D97+1)),0)</f>
        <v>0</v>
      </c>
      <c r="BL97" s="46">
        <f t="array" ref="BL97">IFERROR(IF(INDEX(Historicals!$T53:$BO53,,BL$6+$D97*-1)&lt;&gt;"",INDEX(Historicals!$T53:$BO53,,BL$6+$D97*-1),$F97*BL$46*Historicals!$S53*INDEX($T$44:$BO$44,,BL$6-$D97+1)),0)</f>
        <v>0</v>
      </c>
      <c r="BM97" s="46">
        <f t="array" ref="BM97">IFERROR(IF(INDEX(Historicals!$T53:$BO53,,BM$6+$D97*-1)&lt;&gt;"",INDEX(Historicals!$T53:$BO53,,BM$6+$D97*-1),$F97*BM$46*Historicals!$S53*INDEX($T$44:$BO$44,,BM$6-$D97+1)),0)</f>
        <v>0</v>
      </c>
      <c r="BN97" s="46">
        <f t="array" ref="BN97">IFERROR(IF(INDEX(Historicals!$T53:$BO53,,BN$6+$D97*-1)&lt;&gt;"",INDEX(Historicals!$T53:$BO53,,BN$6+$D97*-1),$F97*BN$46*Historicals!$S53*INDEX($T$44:$BO$44,,BN$6-$D97+1)),0)</f>
        <v>0</v>
      </c>
      <c r="BO97" s="46">
        <f t="array" ref="BO97">IFERROR(IF(INDEX(Historicals!$T53:$BO53,,BO$6+$D97*-1)&lt;&gt;"",INDEX(Historicals!$T53:$BO53,,BO$6+$D97*-1),$F97*BO$46*Historicals!$S53*INDEX($T$44:$BO$44,,BO$6-$D97+1)),0)</f>
        <v>0</v>
      </c>
    </row>
    <row r="98" spans="1:67" ht="16.5" hidden="1" customHeight="1" outlineLevel="1">
      <c r="A98" s="1"/>
      <c r="B98" s="55">
        <f t="shared" si="19"/>
        <v>45503</v>
      </c>
      <c r="C98" s="17" t="s">
        <v>104</v>
      </c>
      <c r="D98" s="46">
        <f t="shared" si="20"/>
        <v>-5</v>
      </c>
      <c r="E98" s="16"/>
      <c r="F98" s="51">
        <v>1</v>
      </c>
      <c r="G98" s="16" t="s">
        <v>159</v>
      </c>
      <c r="H98" s="16" t="s">
        <v>155</v>
      </c>
      <c r="I98" s="46">
        <f ca="1">IF(H98=Forecast!$H$195,T98,IF(H98=Forecast!$H$196,BO98,IF(H98=Forecast!$H$197,SUM(T98:BO98),IF(H98=Forecast!$H$198,AVERAGE(T98:BO98),0))))</f>
        <v>893.23989850322266</v>
      </c>
      <c r="J98" s="16"/>
      <c r="K98" s="16"/>
      <c r="L98" s="16"/>
      <c r="M98" s="16"/>
      <c r="N98" s="16"/>
      <c r="O98" s="16"/>
      <c r="P98" s="16"/>
      <c r="Q98" s="16"/>
      <c r="R98" s="16"/>
      <c r="S98" s="16"/>
      <c r="T98" s="46">
        <f t="array" ref="T98">IFERROR(IF(INDEX(Historicals!$T54:$BO54,,T$6+$D98*-1)&lt;&gt;"",INDEX(Historicals!$T54:$BO54,,T$6+$D98*-1),$F98*T$46*Historicals!$S54*INDEX($T$44:$BO$44,,T$6-$D98+1)),0)</f>
        <v>507.10507520000004</v>
      </c>
      <c r="U98" s="46">
        <f t="array" aca="1" ref="U98" ca="1">IFERROR(IF(INDEX(Historicals!$T54:$BO54,,U$6+$D98*-1)&lt;&gt;"",INDEX(Historicals!$T54:$BO54,,U$6+$D98*-1),$F98*U$46*Historicals!$S54*INDEX($T$44:$BO$44,,U$6-$D98+1)),0)</f>
        <v>0</v>
      </c>
      <c r="V98" s="46">
        <f t="array" aca="1" ref="V98" ca="1">IFERROR(IF(INDEX(Historicals!$T54:$BO54,,V$6+$D98*-1)&lt;&gt;"",INDEX(Historicals!$T54:$BO54,,V$6+$D98*-1),$F98*V$46*Historicals!$S54*INDEX($T$44:$BO$44,,V$6-$D98+1)),0)</f>
        <v>0</v>
      </c>
      <c r="W98" s="46">
        <f t="array" aca="1" ref="W98" ca="1">IFERROR(IF(INDEX(Historicals!$T54:$BO54,,W$6+$D98*-1)&lt;&gt;"",INDEX(Historicals!$T54:$BO54,,W$6+$D98*-1),$F98*W$46*Historicals!$S54*INDEX($T$44:$BO$44,,W$6-$D98+1)),0)</f>
        <v>193.44523437499996</v>
      </c>
      <c r="X98" s="46">
        <f t="array" aca="1" ref="X98" ca="1">IFERROR(IF(INDEX(Historicals!$T54:$BO54,,X$6+$D98*-1)&lt;&gt;"",INDEX(Historicals!$T54:$BO54,,X$6+$D98*-1),$F98*X$46*Historicals!$S54*INDEX($T$44:$BO$44,,X$6-$D98+1)),0)</f>
        <v>0</v>
      </c>
      <c r="Y98" s="46">
        <f t="array" aca="1" ref="Y98" ca="1">IFERROR(IF(INDEX(Historicals!$T54:$BO54,,Y$6+$D98*-1)&lt;&gt;"",INDEX(Historicals!$T54:$BO54,,Y$6+$D98*-1),$F98*Y$46*Historicals!$S54*INDEX($T$44:$BO$44,,Y$6-$D98+1)),0)</f>
        <v>0</v>
      </c>
      <c r="Z98" s="46">
        <f t="array" aca="1" ref="Z98" ca="1">IFERROR(IF(INDEX(Historicals!$T54:$BO54,,Z$6+$D98*-1)&lt;&gt;"",INDEX(Historicals!$T54:$BO54,,Z$6+$D98*-1),$F98*Z$46*Historicals!$S54*INDEX($T$44:$BO$44,,Z$6-$D98+1)),0)</f>
        <v>96.722617187499978</v>
      </c>
      <c r="AA98" s="46">
        <f t="array" aca="1" ref="AA98" ca="1">IFERROR(IF(INDEX(Historicals!$T54:$BO54,,AA$6+$D98*-1)&lt;&gt;"",INDEX(Historicals!$T54:$BO54,,AA$6+$D98*-1),$F98*AA$46*Historicals!$S54*INDEX($T$44:$BO$44,,AA$6-$D98+1)),0)</f>
        <v>0</v>
      </c>
      <c r="AB98" s="46">
        <f t="array" aca="1" ref="AB98" ca="1">IFERROR(IF(INDEX(Historicals!$T54:$BO54,,AB$6+$D98*-1)&lt;&gt;"",INDEX(Historicals!$T54:$BO54,,AB$6+$D98*-1),$F98*AB$46*Historicals!$S54*INDEX($T$44:$BO$44,,AB$6-$D98+1)),0)</f>
        <v>0</v>
      </c>
      <c r="AC98" s="46">
        <f t="array" aca="1" ref="AC98" ca="1">IFERROR(IF(INDEX(Historicals!$T54:$BO54,,AC$6+$D98*-1)&lt;&gt;"",INDEX(Historicals!$T54:$BO54,,AC$6+$D98*-1),$F98*AC$46*Historicals!$S54*INDEX($T$44:$BO$44,,AC$6-$D98+1)),0)</f>
        <v>48.361308593749989</v>
      </c>
      <c r="AD98" s="46">
        <f t="array" aca="1" ref="AD98" ca="1">IFERROR(IF(INDEX(Historicals!$T54:$BO54,,AD$6+$D98*-1)&lt;&gt;"",INDEX(Historicals!$T54:$BO54,,AD$6+$D98*-1),$F98*AD$46*Historicals!$S54*INDEX($T$44:$BO$44,,AD$6-$D98+1)),0)</f>
        <v>0</v>
      </c>
      <c r="AE98" s="46">
        <f t="array" aca="1" ref="AE98" ca="1">IFERROR(IF(INDEX(Historicals!$T54:$BO54,,AE$6+$D98*-1)&lt;&gt;"",INDEX(Historicals!$T54:$BO54,,AE$6+$D98*-1),$F98*AE$46*Historicals!$S54*INDEX($T$44:$BO$44,,AE$6-$D98+1)),0)</f>
        <v>0</v>
      </c>
      <c r="AF98" s="46">
        <f t="array" aca="1" ref="AF98" ca="1">IFERROR(IF(INDEX(Historicals!$T54:$BO54,,AF$6+$D98*-1)&lt;&gt;"",INDEX(Historicals!$T54:$BO54,,AF$6+$D98*-1),$F98*AF$46*Historicals!$S54*INDEX($T$44:$BO$44,,AF$6-$D98+1)),0)</f>
        <v>24.180654296874994</v>
      </c>
      <c r="AG98" s="46">
        <f t="array" aca="1" ref="AG98" ca="1">IFERROR(IF(INDEX(Historicals!$T54:$BO54,,AG$6+$D98*-1)&lt;&gt;"",INDEX(Historicals!$T54:$BO54,,AG$6+$D98*-1),$F98*AG$46*Historicals!$S54*INDEX($T$44:$BO$44,,AG$6-$D98+1)),0)</f>
        <v>0</v>
      </c>
      <c r="AH98" s="46">
        <f t="array" aca="1" ref="AH98" ca="1">IFERROR(IF(INDEX(Historicals!$T54:$BO54,,AH$6+$D98*-1)&lt;&gt;"",INDEX(Historicals!$T54:$BO54,,AH$6+$D98*-1),$F98*AH$46*Historicals!$S54*INDEX($T$44:$BO$44,,AH$6-$D98+1)),0)</f>
        <v>0</v>
      </c>
      <c r="AI98" s="46">
        <f t="array" aca="1" ref="AI98" ca="1">IFERROR(IF(INDEX(Historicals!$T54:$BO54,,AI$6+$D98*-1)&lt;&gt;"",INDEX(Historicals!$T54:$BO54,,AI$6+$D98*-1),$F98*AI$46*Historicals!$S54*INDEX($T$44:$BO$44,,AI$6-$D98+1)),0)</f>
        <v>12.090327148437497</v>
      </c>
      <c r="AJ98" s="46">
        <f t="array" aca="1" ref="AJ98" ca="1">IFERROR(IF(INDEX(Historicals!$T54:$BO54,,AJ$6+$D98*-1)&lt;&gt;"",INDEX(Historicals!$T54:$BO54,,AJ$6+$D98*-1),$F98*AJ$46*Historicals!$S54*INDEX($T$44:$BO$44,,AJ$6-$D98+1)),0)</f>
        <v>0</v>
      </c>
      <c r="AK98" s="46">
        <f t="array" aca="1" ref="AK98" ca="1">IFERROR(IF(INDEX(Historicals!$T54:$BO54,,AK$6+$D98*-1)&lt;&gt;"",INDEX(Historicals!$T54:$BO54,,AK$6+$D98*-1),$F98*AK$46*Historicals!$S54*INDEX($T$44:$BO$44,,AK$6-$D98+1)),0)</f>
        <v>0</v>
      </c>
      <c r="AL98" s="46">
        <f t="array" aca="1" ref="AL98" ca="1">IFERROR(IF(INDEX(Historicals!$T54:$BO54,,AL$6+$D98*-1)&lt;&gt;"",INDEX(Historicals!$T54:$BO54,,AL$6+$D98*-1),$F98*AL$46*Historicals!$S54*INDEX($T$44:$BO$44,,AL$6-$D98+1)),0)</f>
        <v>6.0451635742187486</v>
      </c>
      <c r="AM98" s="46">
        <f t="array" aca="1" ref="AM98" ca="1">IFERROR(IF(INDEX(Historicals!$T54:$BO54,,AM$6+$D98*-1)&lt;&gt;"",INDEX(Historicals!$T54:$BO54,,AM$6+$D98*-1),$F98*AM$46*Historicals!$S54*INDEX($T$44:$BO$44,,AM$6-$D98+1)),0)</f>
        <v>0</v>
      </c>
      <c r="AN98" s="46">
        <f t="array" aca="1" ref="AN98" ca="1">IFERROR(IF(INDEX(Historicals!$T54:$BO54,,AN$6+$D98*-1)&lt;&gt;"",INDEX(Historicals!$T54:$BO54,,AN$6+$D98*-1),$F98*AN$46*Historicals!$S54*INDEX($T$44:$BO$44,,AN$6-$D98+1)),0)</f>
        <v>0</v>
      </c>
      <c r="AO98" s="46">
        <f t="array" aca="1" ref="AO98" ca="1">IFERROR(IF(INDEX(Historicals!$T54:$BO54,,AO$6+$D98*-1)&lt;&gt;"",INDEX(Historicals!$T54:$BO54,,AO$6+$D98*-1),$F98*AO$46*Historicals!$S54*INDEX($T$44:$BO$44,,AO$6-$D98+1)),0)</f>
        <v>3.0225817871093743</v>
      </c>
      <c r="AP98" s="46">
        <f t="array" aca="1" ref="AP98" ca="1">IFERROR(IF(INDEX(Historicals!$T54:$BO54,,AP$6+$D98*-1)&lt;&gt;"",INDEX(Historicals!$T54:$BO54,,AP$6+$D98*-1),$F98*AP$46*Historicals!$S54*INDEX($T$44:$BO$44,,AP$6-$D98+1)),0)</f>
        <v>0</v>
      </c>
      <c r="AQ98" s="46">
        <f t="array" aca="1" ref="AQ98" ca="1">IFERROR(IF(INDEX(Historicals!$T54:$BO54,,AQ$6+$D98*-1)&lt;&gt;"",INDEX(Historicals!$T54:$BO54,,AQ$6+$D98*-1),$F98*AQ$46*Historicals!$S54*INDEX($T$44:$BO$44,,AQ$6-$D98+1)),0)</f>
        <v>0</v>
      </c>
      <c r="AR98" s="46">
        <f t="array" aca="1" ref="AR98" ca="1">IFERROR(IF(INDEX(Historicals!$T54:$BO54,,AR$6+$D98*-1)&lt;&gt;"",INDEX(Historicals!$T54:$BO54,,AR$6+$D98*-1),$F98*AR$46*Historicals!$S54*INDEX($T$44:$BO$44,,AR$6-$D98+1)),0)</f>
        <v>1.5112908935546872</v>
      </c>
      <c r="AS98" s="46">
        <f t="array" aca="1" ref="AS98" ca="1">IFERROR(IF(INDEX(Historicals!$T54:$BO54,,AS$6+$D98*-1)&lt;&gt;"",INDEX(Historicals!$T54:$BO54,,AS$6+$D98*-1),$F98*AS$46*Historicals!$S54*INDEX($T$44:$BO$44,,AS$6-$D98+1)),0)</f>
        <v>0</v>
      </c>
      <c r="AT98" s="46">
        <f t="array" aca="1" ref="AT98" ca="1">IFERROR(IF(INDEX(Historicals!$T54:$BO54,,AT$6+$D98*-1)&lt;&gt;"",INDEX(Historicals!$T54:$BO54,,AT$6+$D98*-1),$F98*AT$46*Historicals!$S54*INDEX($T$44:$BO$44,,AT$6-$D98+1)),0)</f>
        <v>0</v>
      </c>
      <c r="AU98" s="46">
        <f t="array" aca="1" ref="AU98" ca="1">IFERROR(IF(INDEX(Historicals!$T54:$BO54,,AU$6+$D98*-1)&lt;&gt;"",INDEX(Historicals!$T54:$BO54,,AU$6+$D98*-1),$F98*AU$46*Historicals!$S54*INDEX($T$44:$BO$44,,AU$6-$D98+1)),0)</f>
        <v>0.75564544677734358</v>
      </c>
      <c r="AV98" s="46">
        <f t="array" aca="1" ref="AV98" ca="1">IFERROR(IF(INDEX(Historicals!$T54:$BO54,,AV$6+$D98*-1)&lt;&gt;"",INDEX(Historicals!$T54:$BO54,,AV$6+$D98*-1),$F98*AV$46*Historicals!$S54*INDEX($T$44:$BO$44,,AV$6-$D98+1)),0)</f>
        <v>0</v>
      </c>
      <c r="AW98" s="46">
        <f t="array" aca="1" ref="AW98" ca="1">IFERROR(IF(INDEX(Historicals!$T54:$BO54,,AW$6+$D98*-1)&lt;&gt;"",INDEX(Historicals!$T54:$BO54,,AW$6+$D98*-1),$F98*AW$46*Historicals!$S54*INDEX($T$44:$BO$44,,AW$6-$D98+1)),0)</f>
        <v>0</v>
      </c>
      <c r="AX98" s="46">
        <f t="array" ref="AX98">IFERROR(IF(INDEX(Historicals!$T54:$BO54,,AX$6+$D98*-1)&lt;&gt;"",INDEX(Historicals!$T54:$BO54,,AX$6+$D98*-1),$F98*AX$46*Historicals!$S54*INDEX($T$44:$BO$44,,AX$6-$D98+1)),0)</f>
        <v>0</v>
      </c>
      <c r="AY98" s="46">
        <f t="array" ref="AY98">IFERROR(IF(INDEX(Historicals!$T54:$BO54,,AY$6+$D98*-1)&lt;&gt;"",INDEX(Historicals!$T54:$BO54,,AY$6+$D98*-1),$F98*AY$46*Historicals!$S54*INDEX($T$44:$BO$44,,AY$6-$D98+1)),0)</f>
        <v>0</v>
      </c>
      <c r="AZ98" s="46">
        <f t="array" ref="AZ98">IFERROR(IF(INDEX(Historicals!$T54:$BO54,,AZ$6+$D98*-1)&lt;&gt;"",INDEX(Historicals!$T54:$BO54,,AZ$6+$D98*-1),$F98*AZ$46*Historicals!$S54*INDEX($T$44:$BO$44,,AZ$6-$D98+1)),0)</f>
        <v>0</v>
      </c>
      <c r="BA98" s="46">
        <f t="array" ref="BA98">IFERROR(IF(INDEX(Historicals!$T54:$BO54,,BA$6+$D98*-1)&lt;&gt;"",INDEX(Historicals!$T54:$BO54,,BA$6+$D98*-1),$F98*BA$46*Historicals!$S54*INDEX($T$44:$BO$44,,BA$6-$D98+1)),0)</f>
        <v>0</v>
      </c>
      <c r="BB98" s="46">
        <f t="array" ref="BB98">IFERROR(IF(INDEX(Historicals!$T54:$BO54,,BB$6+$D98*-1)&lt;&gt;"",INDEX(Historicals!$T54:$BO54,,BB$6+$D98*-1),$F98*BB$46*Historicals!$S54*INDEX($T$44:$BO$44,,BB$6-$D98+1)),0)</f>
        <v>0</v>
      </c>
      <c r="BC98" s="46">
        <f t="array" ref="BC98">IFERROR(IF(INDEX(Historicals!$T54:$BO54,,BC$6+$D98*-1)&lt;&gt;"",INDEX(Historicals!$T54:$BO54,,BC$6+$D98*-1),$F98*BC$46*Historicals!$S54*INDEX($T$44:$BO$44,,BC$6-$D98+1)),0)</f>
        <v>0</v>
      </c>
      <c r="BD98" s="46">
        <f t="array" ref="BD98">IFERROR(IF(INDEX(Historicals!$T54:$BO54,,BD$6+$D98*-1)&lt;&gt;"",INDEX(Historicals!$T54:$BO54,,BD$6+$D98*-1),$F98*BD$46*Historicals!$S54*INDEX($T$44:$BO$44,,BD$6-$D98+1)),0)</f>
        <v>0</v>
      </c>
      <c r="BE98" s="46">
        <f t="array" ref="BE98">IFERROR(IF(INDEX(Historicals!$T54:$BO54,,BE$6+$D98*-1)&lt;&gt;"",INDEX(Historicals!$T54:$BO54,,BE$6+$D98*-1),$F98*BE$46*Historicals!$S54*INDEX($T$44:$BO$44,,BE$6-$D98+1)),0)</f>
        <v>0</v>
      </c>
      <c r="BF98" s="46">
        <f t="array" ref="BF98">IFERROR(IF(INDEX(Historicals!$T54:$BO54,,BF$6+$D98*-1)&lt;&gt;"",INDEX(Historicals!$T54:$BO54,,BF$6+$D98*-1),$F98*BF$46*Historicals!$S54*INDEX($T$44:$BO$44,,BF$6-$D98+1)),0)</f>
        <v>0</v>
      </c>
      <c r="BG98" s="46">
        <f t="array" ref="BG98">IFERROR(IF(INDEX(Historicals!$T54:$BO54,,BG$6+$D98*-1)&lt;&gt;"",INDEX(Historicals!$T54:$BO54,,BG$6+$D98*-1),$F98*BG$46*Historicals!$S54*INDEX($T$44:$BO$44,,BG$6-$D98+1)),0)</f>
        <v>0</v>
      </c>
      <c r="BH98" s="46">
        <f t="array" ref="BH98">IFERROR(IF(INDEX(Historicals!$T54:$BO54,,BH$6+$D98*-1)&lt;&gt;"",INDEX(Historicals!$T54:$BO54,,BH$6+$D98*-1),$F98*BH$46*Historicals!$S54*INDEX($T$44:$BO$44,,BH$6-$D98+1)),0)</f>
        <v>0</v>
      </c>
      <c r="BI98" s="46">
        <f t="array" ref="BI98">IFERROR(IF(INDEX(Historicals!$T54:$BO54,,BI$6+$D98*-1)&lt;&gt;"",INDEX(Historicals!$T54:$BO54,,BI$6+$D98*-1),$F98*BI$46*Historicals!$S54*INDEX($T$44:$BO$44,,BI$6-$D98+1)),0)</f>
        <v>0</v>
      </c>
      <c r="BJ98" s="46">
        <f t="array" ref="BJ98">IFERROR(IF(INDEX(Historicals!$T54:$BO54,,BJ$6+$D98*-1)&lt;&gt;"",INDEX(Historicals!$T54:$BO54,,BJ$6+$D98*-1),$F98*BJ$46*Historicals!$S54*INDEX($T$44:$BO$44,,BJ$6-$D98+1)),0)</f>
        <v>0</v>
      </c>
      <c r="BK98" s="46">
        <f t="array" ref="BK98">IFERROR(IF(INDEX(Historicals!$T54:$BO54,,BK$6+$D98*-1)&lt;&gt;"",INDEX(Historicals!$T54:$BO54,,BK$6+$D98*-1),$F98*BK$46*Historicals!$S54*INDEX($T$44:$BO$44,,BK$6-$D98+1)),0)</f>
        <v>0</v>
      </c>
      <c r="BL98" s="46">
        <f t="array" ref="BL98">IFERROR(IF(INDEX(Historicals!$T54:$BO54,,BL$6+$D98*-1)&lt;&gt;"",INDEX(Historicals!$T54:$BO54,,BL$6+$D98*-1),$F98*BL$46*Historicals!$S54*INDEX($T$44:$BO$44,,BL$6-$D98+1)),0)</f>
        <v>0</v>
      </c>
      <c r="BM98" s="46">
        <f t="array" ref="BM98">IFERROR(IF(INDEX(Historicals!$T54:$BO54,,BM$6+$D98*-1)&lt;&gt;"",INDEX(Historicals!$T54:$BO54,,BM$6+$D98*-1),$F98*BM$46*Historicals!$S54*INDEX($T$44:$BO$44,,BM$6-$D98+1)),0)</f>
        <v>0</v>
      </c>
      <c r="BN98" s="46">
        <f t="array" ref="BN98">IFERROR(IF(INDEX(Historicals!$T54:$BO54,,BN$6+$D98*-1)&lt;&gt;"",INDEX(Historicals!$T54:$BO54,,BN$6+$D98*-1),$F98*BN$46*Historicals!$S54*INDEX($T$44:$BO$44,,BN$6-$D98+1)),0)</f>
        <v>0</v>
      </c>
      <c r="BO98" s="46">
        <f t="array" ref="BO98">IFERROR(IF(INDEX(Historicals!$T54:$BO54,,BO$6+$D98*-1)&lt;&gt;"",INDEX(Historicals!$T54:$BO54,,BO$6+$D98*-1),$F98*BO$46*Historicals!$S54*INDEX($T$44:$BO$44,,BO$6-$D98+1)),0)</f>
        <v>0</v>
      </c>
    </row>
    <row r="99" spans="1:67" ht="16.5" hidden="1" customHeight="1" outlineLevel="1">
      <c r="A99" s="1"/>
      <c r="B99" s="55">
        <f t="shared" si="19"/>
        <v>45534</v>
      </c>
      <c r="C99" s="17" t="s">
        <v>104</v>
      </c>
      <c r="D99" s="46">
        <f t="shared" si="20"/>
        <v>-4</v>
      </c>
      <c r="E99" s="16"/>
      <c r="F99" s="51">
        <v>1</v>
      </c>
      <c r="G99" s="16" t="s">
        <v>159</v>
      </c>
      <c r="H99" s="16" t="s">
        <v>155</v>
      </c>
      <c r="I99" s="46">
        <f ca="1">IF(H99=Forecast!$H$195,T99,IF(H99=Forecast!$H$196,BO99,IF(H99=Forecast!$H$197,SUM(T99:BO99),IF(H99=Forecast!$H$198,AVERAGE(T99:BO99),0))))</f>
        <v>1480.9543537402342</v>
      </c>
      <c r="J99" s="16"/>
      <c r="K99" s="16"/>
      <c r="L99" s="16"/>
      <c r="M99" s="16"/>
      <c r="N99" s="16"/>
      <c r="O99" s="16"/>
      <c r="P99" s="16"/>
      <c r="Q99" s="16"/>
      <c r="R99" s="16"/>
      <c r="S99" s="16"/>
      <c r="T99" s="46">
        <f t="array" ref="T99">IFERROR(IF(INDEX(Historicals!$T55:$BO55,,T$6+$D99*-1)&lt;&gt;"",INDEX(Historicals!$T55:$BO55,,T$6+$D99*-1),$F99*T$46*Historicals!$S55*INDEX($T$44:$BO$44,,T$6-$D99+1)),0)</f>
        <v>667.24351999999999</v>
      </c>
      <c r="U99" s="46">
        <f t="array" aca="1" ref="U99" ca="1">IFERROR(IF(INDEX(Historicals!$T55:$BO55,,U$6+$D99*-1)&lt;&gt;"",INDEX(Historicals!$T55:$BO55,,U$6+$D99*-1),$F99*U$46*Historicals!$S55*INDEX($T$44:$BO$44,,U$6-$D99+1)),0)</f>
        <v>407.25312499999995</v>
      </c>
      <c r="V99" s="46">
        <f t="array" aca="1" ref="V99" ca="1">IFERROR(IF(INDEX(Historicals!$T55:$BO55,,V$6+$D99*-1)&lt;&gt;"",INDEX(Historicals!$T55:$BO55,,V$6+$D99*-1),$F99*V$46*Historicals!$S55*INDEX($T$44:$BO$44,,V$6-$D99+1)),0)</f>
        <v>0</v>
      </c>
      <c r="W99" s="46">
        <f t="array" aca="1" ref="W99" ca="1">IFERROR(IF(INDEX(Historicals!$T55:$BO55,,W$6+$D99*-1)&lt;&gt;"",INDEX(Historicals!$T55:$BO55,,W$6+$D99*-1),$F99*W$46*Historicals!$S55*INDEX($T$44:$BO$44,,W$6-$D99+1)),0)</f>
        <v>0</v>
      </c>
      <c r="X99" s="46">
        <f t="array" aca="1" ref="X99" ca="1">IFERROR(IF(INDEX(Historicals!$T55:$BO55,,X$6+$D99*-1)&lt;&gt;"",INDEX(Historicals!$T55:$BO55,,X$6+$D99*-1),$F99*X$46*Historicals!$S55*INDEX($T$44:$BO$44,,X$6-$D99+1)),0)</f>
        <v>203.62656249999998</v>
      </c>
      <c r="Y99" s="46">
        <f t="array" aca="1" ref="Y99" ca="1">IFERROR(IF(INDEX(Historicals!$T55:$BO55,,Y$6+$D99*-1)&lt;&gt;"",INDEX(Historicals!$T55:$BO55,,Y$6+$D99*-1),$F99*Y$46*Historicals!$S55*INDEX($T$44:$BO$44,,Y$6-$D99+1)),0)</f>
        <v>0</v>
      </c>
      <c r="Z99" s="46">
        <f t="array" aca="1" ref="Z99" ca="1">IFERROR(IF(INDEX(Historicals!$T55:$BO55,,Z$6+$D99*-1)&lt;&gt;"",INDEX(Historicals!$T55:$BO55,,Z$6+$D99*-1),$F99*Z$46*Historicals!$S55*INDEX($T$44:$BO$44,,Z$6-$D99+1)),0)</f>
        <v>0</v>
      </c>
      <c r="AA99" s="46">
        <f t="array" aca="1" ref="AA99" ca="1">IFERROR(IF(INDEX(Historicals!$T55:$BO55,,AA$6+$D99*-1)&lt;&gt;"",INDEX(Historicals!$T55:$BO55,,AA$6+$D99*-1),$F99*AA$46*Historicals!$S55*INDEX($T$44:$BO$44,,AA$6-$D99+1)),0)</f>
        <v>101.81328124999999</v>
      </c>
      <c r="AB99" s="46">
        <f t="array" aca="1" ref="AB99" ca="1">IFERROR(IF(INDEX(Historicals!$T55:$BO55,,AB$6+$D99*-1)&lt;&gt;"",INDEX(Historicals!$T55:$BO55,,AB$6+$D99*-1),$F99*AB$46*Historicals!$S55*INDEX($T$44:$BO$44,,AB$6-$D99+1)),0)</f>
        <v>0</v>
      </c>
      <c r="AC99" s="46">
        <f t="array" aca="1" ref="AC99" ca="1">IFERROR(IF(INDEX(Historicals!$T55:$BO55,,AC$6+$D99*-1)&lt;&gt;"",INDEX(Historicals!$T55:$BO55,,AC$6+$D99*-1),$F99*AC$46*Historicals!$S55*INDEX($T$44:$BO$44,,AC$6-$D99+1)),0)</f>
        <v>0</v>
      </c>
      <c r="AD99" s="46">
        <f t="array" aca="1" ref="AD99" ca="1">IFERROR(IF(INDEX(Historicals!$T55:$BO55,,AD$6+$D99*-1)&lt;&gt;"",INDEX(Historicals!$T55:$BO55,,AD$6+$D99*-1),$F99*AD$46*Historicals!$S55*INDEX($T$44:$BO$44,,AD$6-$D99+1)),0)</f>
        <v>50.906640624999994</v>
      </c>
      <c r="AE99" s="46">
        <f t="array" aca="1" ref="AE99" ca="1">IFERROR(IF(INDEX(Historicals!$T55:$BO55,,AE$6+$D99*-1)&lt;&gt;"",INDEX(Historicals!$T55:$BO55,,AE$6+$D99*-1),$F99*AE$46*Historicals!$S55*INDEX($T$44:$BO$44,,AE$6-$D99+1)),0)</f>
        <v>0</v>
      </c>
      <c r="AF99" s="46">
        <f t="array" aca="1" ref="AF99" ca="1">IFERROR(IF(INDEX(Historicals!$T55:$BO55,,AF$6+$D99*-1)&lt;&gt;"",INDEX(Historicals!$T55:$BO55,,AF$6+$D99*-1),$F99*AF$46*Historicals!$S55*INDEX($T$44:$BO$44,,AF$6-$D99+1)),0)</f>
        <v>0</v>
      </c>
      <c r="AG99" s="46">
        <f t="array" aca="1" ref="AG99" ca="1">IFERROR(IF(INDEX(Historicals!$T55:$BO55,,AG$6+$D99*-1)&lt;&gt;"",INDEX(Historicals!$T55:$BO55,,AG$6+$D99*-1),$F99*AG$46*Historicals!$S55*INDEX($T$44:$BO$44,,AG$6-$D99+1)),0)</f>
        <v>25.453320312499997</v>
      </c>
      <c r="AH99" s="46">
        <f t="array" aca="1" ref="AH99" ca="1">IFERROR(IF(INDEX(Historicals!$T55:$BO55,,AH$6+$D99*-1)&lt;&gt;"",INDEX(Historicals!$T55:$BO55,,AH$6+$D99*-1),$F99*AH$46*Historicals!$S55*INDEX($T$44:$BO$44,,AH$6-$D99+1)),0)</f>
        <v>0</v>
      </c>
      <c r="AI99" s="46">
        <f t="array" aca="1" ref="AI99" ca="1">IFERROR(IF(INDEX(Historicals!$T55:$BO55,,AI$6+$D99*-1)&lt;&gt;"",INDEX(Historicals!$T55:$BO55,,AI$6+$D99*-1),$F99*AI$46*Historicals!$S55*INDEX($T$44:$BO$44,,AI$6-$D99+1)),0)</f>
        <v>0</v>
      </c>
      <c r="AJ99" s="46">
        <f t="array" aca="1" ref="AJ99" ca="1">IFERROR(IF(INDEX(Historicals!$T55:$BO55,,AJ$6+$D99*-1)&lt;&gt;"",INDEX(Historicals!$T55:$BO55,,AJ$6+$D99*-1),$F99*AJ$46*Historicals!$S55*INDEX($T$44:$BO$44,,AJ$6-$D99+1)),0)</f>
        <v>12.726660156249999</v>
      </c>
      <c r="AK99" s="46">
        <f t="array" aca="1" ref="AK99" ca="1">IFERROR(IF(INDEX(Historicals!$T55:$BO55,,AK$6+$D99*-1)&lt;&gt;"",INDEX(Historicals!$T55:$BO55,,AK$6+$D99*-1),$F99*AK$46*Historicals!$S55*INDEX($T$44:$BO$44,,AK$6-$D99+1)),0)</f>
        <v>0</v>
      </c>
      <c r="AL99" s="46">
        <f t="array" aca="1" ref="AL99" ca="1">IFERROR(IF(INDEX(Historicals!$T55:$BO55,,AL$6+$D99*-1)&lt;&gt;"",INDEX(Historicals!$T55:$BO55,,AL$6+$D99*-1),$F99*AL$46*Historicals!$S55*INDEX($T$44:$BO$44,,AL$6-$D99+1)),0)</f>
        <v>0</v>
      </c>
      <c r="AM99" s="46">
        <f t="array" aca="1" ref="AM99" ca="1">IFERROR(IF(INDEX(Historicals!$T55:$BO55,,AM$6+$D99*-1)&lt;&gt;"",INDEX(Historicals!$T55:$BO55,,AM$6+$D99*-1),$F99*AM$46*Historicals!$S55*INDEX($T$44:$BO$44,,AM$6-$D99+1)),0)</f>
        <v>6.3633300781249993</v>
      </c>
      <c r="AN99" s="46">
        <f t="array" aca="1" ref="AN99" ca="1">IFERROR(IF(INDEX(Historicals!$T55:$BO55,,AN$6+$D99*-1)&lt;&gt;"",INDEX(Historicals!$T55:$BO55,,AN$6+$D99*-1),$F99*AN$46*Historicals!$S55*INDEX($T$44:$BO$44,,AN$6-$D99+1)),0)</f>
        <v>0</v>
      </c>
      <c r="AO99" s="46">
        <f t="array" aca="1" ref="AO99" ca="1">IFERROR(IF(INDEX(Historicals!$T55:$BO55,,AO$6+$D99*-1)&lt;&gt;"",INDEX(Historicals!$T55:$BO55,,AO$6+$D99*-1),$F99*AO$46*Historicals!$S55*INDEX($T$44:$BO$44,,AO$6-$D99+1)),0)</f>
        <v>0</v>
      </c>
      <c r="AP99" s="46">
        <f t="array" aca="1" ref="AP99" ca="1">IFERROR(IF(INDEX(Historicals!$T55:$BO55,,AP$6+$D99*-1)&lt;&gt;"",INDEX(Historicals!$T55:$BO55,,AP$6+$D99*-1),$F99*AP$46*Historicals!$S55*INDEX($T$44:$BO$44,,AP$6-$D99+1)),0)</f>
        <v>3.1816650390624996</v>
      </c>
      <c r="AQ99" s="46">
        <f t="array" aca="1" ref="AQ99" ca="1">IFERROR(IF(INDEX(Historicals!$T55:$BO55,,AQ$6+$D99*-1)&lt;&gt;"",INDEX(Historicals!$T55:$BO55,,AQ$6+$D99*-1),$F99*AQ$46*Historicals!$S55*INDEX($T$44:$BO$44,,AQ$6-$D99+1)),0)</f>
        <v>0</v>
      </c>
      <c r="AR99" s="46">
        <f t="array" aca="1" ref="AR99" ca="1">IFERROR(IF(INDEX(Historicals!$T55:$BO55,,AR$6+$D99*-1)&lt;&gt;"",INDEX(Historicals!$T55:$BO55,,AR$6+$D99*-1),$F99*AR$46*Historicals!$S55*INDEX($T$44:$BO$44,,AR$6-$D99+1)),0)</f>
        <v>0</v>
      </c>
      <c r="AS99" s="46">
        <f t="array" aca="1" ref="AS99" ca="1">IFERROR(IF(INDEX(Historicals!$T55:$BO55,,AS$6+$D99*-1)&lt;&gt;"",INDEX(Historicals!$T55:$BO55,,AS$6+$D99*-1),$F99*AS$46*Historicals!$S55*INDEX($T$44:$BO$44,,AS$6-$D99+1)),0)</f>
        <v>1.5908325195312498</v>
      </c>
      <c r="AT99" s="46">
        <f t="array" aca="1" ref="AT99" ca="1">IFERROR(IF(INDEX(Historicals!$T55:$BO55,,AT$6+$D99*-1)&lt;&gt;"",INDEX(Historicals!$T55:$BO55,,AT$6+$D99*-1),$F99*AT$46*Historicals!$S55*INDEX($T$44:$BO$44,,AT$6-$D99+1)),0)</f>
        <v>0</v>
      </c>
      <c r="AU99" s="46">
        <f t="array" aca="1" ref="AU99" ca="1">IFERROR(IF(INDEX(Historicals!$T55:$BO55,,AU$6+$D99*-1)&lt;&gt;"",INDEX(Historicals!$T55:$BO55,,AU$6+$D99*-1),$F99*AU$46*Historicals!$S55*INDEX($T$44:$BO$44,,AU$6-$D99+1)),0)</f>
        <v>0</v>
      </c>
      <c r="AV99" s="46">
        <f t="array" aca="1" ref="AV99" ca="1">IFERROR(IF(INDEX(Historicals!$T55:$BO55,,AV$6+$D99*-1)&lt;&gt;"",INDEX(Historicals!$T55:$BO55,,AV$6+$D99*-1),$F99*AV$46*Historicals!$S55*INDEX($T$44:$BO$44,,AV$6-$D99+1)),0)</f>
        <v>0.79541625976562491</v>
      </c>
      <c r="AW99" s="46">
        <f t="array" aca="1" ref="AW99" ca="1">IFERROR(IF(INDEX(Historicals!$T55:$BO55,,AW$6+$D99*-1)&lt;&gt;"",INDEX(Historicals!$T55:$BO55,,AW$6+$D99*-1),$F99*AW$46*Historicals!$S55*INDEX($T$44:$BO$44,,AW$6-$D99+1)),0)</f>
        <v>0</v>
      </c>
      <c r="AX99" s="46">
        <f t="array" aca="1" ref="AX99" ca="1">IFERROR(IF(INDEX(Historicals!$T55:$BO55,,AX$6+$D99*-1)&lt;&gt;"",INDEX(Historicals!$T55:$BO55,,AX$6+$D99*-1),$F99*AX$46*Historicals!$S55*INDEX($T$44:$BO$44,,AX$6-$D99+1)),0)</f>
        <v>0</v>
      </c>
      <c r="AY99" s="46">
        <f t="array" ref="AY99">IFERROR(IF(INDEX(Historicals!$T55:$BO55,,AY$6+$D99*-1)&lt;&gt;"",INDEX(Historicals!$T55:$BO55,,AY$6+$D99*-1),$F99*AY$46*Historicals!$S55*INDEX($T$44:$BO$44,,AY$6-$D99+1)),0)</f>
        <v>0</v>
      </c>
      <c r="AZ99" s="46">
        <f t="array" ref="AZ99">IFERROR(IF(INDEX(Historicals!$T55:$BO55,,AZ$6+$D99*-1)&lt;&gt;"",INDEX(Historicals!$T55:$BO55,,AZ$6+$D99*-1),$F99*AZ$46*Historicals!$S55*INDEX($T$44:$BO$44,,AZ$6-$D99+1)),0)</f>
        <v>0</v>
      </c>
      <c r="BA99" s="46">
        <f t="array" ref="BA99">IFERROR(IF(INDEX(Historicals!$T55:$BO55,,BA$6+$D99*-1)&lt;&gt;"",INDEX(Historicals!$T55:$BO55,,BA$6+$D99*-1),$F99*BA$46*Historicals!$S55*INDEX($T$44:$BO$44,,BA$6-$D99+1)),0)</f>
        <v>0</v>
      </c>
      <c r="BB99" s="46">
        <f t="array" ref="BB99">IFERROR(IF(INDEX(Historicals!$T55:$BO55,,BB$6+$D99*-1)&lt;&gt;"",INDEX(Historicals!$T55:$BO55,,BB$6+$D99*-1),$F99*BB$46*Historicals!$S55*INDEX($T$44:$BO$44,,BB$6-$D99+1)),0)</f>
        <v>0</v>
      </c>
      <c r="BC99" s="46">
        <f t="array" ref="BC99">IFERROR(IF(INDEX(Historicals!$T55:$BO55,,BC$6+$D99*-1)&lt;&gt;"",INDEX(Historicals!$T55:$BO55,,BC$6+$D99*-1),$F99*BC$46*Historicals!$S55*INDEX($T$44:$BO$44,,BC$6-$D99+1)),0)</f>
        <v>0</v>
      </c>
      <c r="BD99" s="46">
        <f t="array" ref="BD99">IFERROR(IF(INDEX(Historicals!$T55:$BO55,,BD$6+$D99*-1)&lt;&gt;"",INDEX(Historicals!$T55:$BO55,,BD$6+$D99*-1),$F99*BD$46*Historicals!$S55*INDEX($T$44:$BO$44,,BD$6-$D99+1)),0)</f>
        <v>0</v>
      </c>
      <c r="BE99" s="46">
        <f t="array" ref="BE99">IFERROR(IF(INDEX(Historicals!$T55:$BO55,,BE$6+$D99*-1)&lt;&gt;"",INDEX(Historicals!$T55:$BO55,,BE$6+$D99*-1),$F99*BE$46*Historicals!$S55*INDEX($T$44:$BO$44,,BE$6-$D99+1)),0)</f>
        <v>0</v>
      </c>
      <c r="BF99" s="46">
        <f t="array" ref="BF99">IFERROR(IF(INDEX(Historicals!$T55:$BO55,,BF$6+$D99*-1)&lt;&gt;"",INDEX(Historicals!$T55:$BO55,,BF$6+$D99*-1),$F99*BF$46*Historicals!$S55*INDEX($T$44:$BO$44,,BF$6-$D99+1)),0)</f>
        <v>0</v>
      </c>
      <c r="BG99" s="46">
        <f t="array" ref="BG99">IFERROR(IF(INDEX(Historicals!$T55:$BO55,,BG$6+$D99*-1)&lt;&gt;"",INDEX(Historicals!$T55:$BO55,,BG$6+$D99*-1),$F99*BG$46*Historicals!$S55*INDEX($T$44:$BO$44,,BG$6-$D99+1)),0)</f>
        <v>0</v>
      </c>
      <c r="BH99" s="46">
        <f t="array" ref="BH99">IFERROR(IF(INDEX(Historicals!$T55:$BO55,,BH$6+$D99*-1)&lt;&gt;"",INDEX(Historicals!$T55:$BO55,,BH$6+$D99*-1),$F99*BH$46*Historicals!$S55*INDEX($T$44:$BO$44,,BH$6-$D99+1)),0)</f>
        <v>0</v>
      </c>
      <c r="BI99" s="46">
        <f t="array" ref="BI99">IFERROR(IF(INDEX(Historicals!$T55:$BO55,,BI$6+$D99*-1)&lt;&gt;"",INDEX(Historicals!$T55:$BO55,,BI$6+$D99*-1),$F99*BI$46*Historicals!$S55*INDEX($T$44:$BO$44,,BI$6-$D99+1)),0)</f>
        <v>0</v>
      </c>
      <c r="BJ99" s="46">
        <f t="array" ref="BJ99">IFERROR(IF(INDEX(Historicals!$T55:$BO55,,BJ$6+$D99*-1)&lt;&gt;"",INDEX(Historicals!$T55:$BO55,,BJ$6+$D99*-1),$F99*BJ$46*Historicals!$S55*INDEX($T$44:$BO$44,,BJ$6-$D99+1)),0)</f>
        <v>0</v>
      </c>
      <c r="BK99" s="46">
        <f t="array" ref="BK99">IFERROR(IF(INDEX(Historicals!$T55:$BO55,,BK$6+$D99*-1)&lt;&gt;"",INDEX(Historicals!$T55:$BO55,,BK$6+$D99*-1),$F99*BK$46*Historicals!$S55*INDEX($T$44:$BO$44,,BK$6-$D99+1)),0)</f>
        <v>0</v>
      </c>
      <c r="BL99" s="46">
        <f t="array" ref="BL99">IFERROR(IF(INDEX(Historicals!$T55:$BO55,,BL$6+$D99*-1)&lt;&gt;"",INDEX(Historicals!$T55:$BO55,,BL$6+$D99*-1),$F99*BL$46*Historicals!$S55*INDEX($T$44:$BO$44,,BL$6-$D99+1)),0)</f>
        <v>0</v>
      </c>
      <c r="BM99" s="46">
        <f t="array" ref="BM99">IFERROR(IF(INDEX(Historicals!$T55:$BO55,,BM$6+$D99*-1)&lt;&gt;"",INDEX(Historicals!$T55:$BO55,,BM$6+$D99*-1),$F99*BM$46*Historicals!$S55*INDEX($T$44:$BO$44,,BM$6-$D99+1)),0)</f>
        <v>0</v>
      </c>
      <c r="BN99" s="46">
        <f t="array" ref="BN99">IFERROR(IF(INDEX(Historicals!$T55:$BO55,,BN$6+$D99*-1)&lt;&gt;"",INDEX(Historicals!$T55:$BO55,,BN$6+$D99*-1),$F99*BN$46*Historicals!$S55*INDEX($T$44:$BO$44,,BN$6-$D99+1)),0)</f>
        <v>0</v>
      </c>
      <c r="BO99" s="46">
        <f t="array" ref="BO99">IFERROR(IF(INDEX(Historicals!$T55:$BO55,,BO$6+$D99*-1)&lt;&gt;"",INDEX(Historicals!$T55:$BO55,,BO$6+$D99*-1),$F99*BO$46*Historicals!$S55*INDEX($T$44:$BO$44,,BO$6-$D99+1)),0)</f>
        <v>0</v>
      </c>
    </row>
    <row r="100" spans="1:67" ht="16.5" hidden="1" customHeight="1" outlineLevel="1">
      <c r="A100" s="1"/>
      <c r="B100" s="55">
        <f t="shared" si="19"/>
        <v>45565</v>
      </c>
      <c r="C100" s="17" t="s">
        <v>104</v>
      </c>
      <c r="D100" s="46">
        <f t="shared" si="20"/>
        <v>-3</v>
      </c>
      <c r="E100" s="16"/>
      <c r="F100" s="51">
        <v>1</v>
      </c>
      <c r="G100" s="16" t="s">
        <v>159</v>
      </c>
      <c r="H100" s="16" t="s">
        <v>155</v>
      </c>
      <c r="I100" s="46">
        <f ca="1">IF(H100=Forecast!$H$195,T100,IF(H100=Forecast!$H$196,BO100,IF(H100=Forecast!$H$197,SUM(T100:BO100),IF(H100=Forecast!$H$198,AVERAGE(T100:BO100),0))))</f>
        <v>1734.4897197265627</v>
      </c>
      <c r="J100" s="16"/>
      <c r="K100" s="16"/>
      <c r="L100" s="16"/>
      <c r="M100" s="16"/>
      <c r="N100" s="16"/>
      <c r="O100" s="16"/>
      <c r="P100" s="16"/>
      <c r="Q100" s="16"/>
      <c r="R100" s="16"/>
      <c r="S100" s="16"/>
      <c r="T100" s="46">
        <f t="array" ref="T100">IFERROR(IF(INDEX(Historicals!$T56:$BO56,,T$6+$D100*-1)&lt;&gt;"",INDEX(Historicals!$T56:$BO56,,T$6+$D100*-1),$F100*T$46*Historicals!$S56*INDEX($T$44:$BO$44,,T$6-$D100+1)),0)</f>
        <v>877.95200000000023</v>
      </c>
      <c r="U100" s="46">
        <f t="array" aca="1" ref="U100" ca="1">IFERROR(IF(INDEX(Historicals!$T56:$BO56,,U$6+$D100*-1)&lt;&gt;"",INDEX(Historicals!$T56:$BO56,,U$6+$D100*-1),$F100*U$46*Historicals!$S56*INDEX($T$44:$BO$44,,U$6-$D100+1)),0)</f>
        <v>0</v>
      </c>
      <c r="V100" s="46">
        <f t="array" aca="1" ref="V100" ca="1">IFERROR(IF(INDEX(Historicals!$T56:$BO56,,V$6+$D100*-1)&lt;&gt;"",INDEX(Historicals!$T56:$BO56,,V$6+$D100*-1),$F100*V$46*Historicals!$S56*INDEX($T$44:$BO$44,,V$6-$D100+1)),0)</f>
        <v>428.6875</v>
      </c>
      <c r="W100" s="46">
        <f t="array" aca="1" ref="W100" ca="1">IFERROR(IF(INDEX(Historicals!$T56:$BO56,,W$6+$D100*-1)&lt;&gt;"",INDEX(Historicals!$T56:$BO56,,W$6+$D100*-1),$F100*W$46*Historicals!$S56*INDEX($T$44:$BO$44,,W$6-$D100+1)),0)</f>
        <v>0</v>
      </c>
      <c r="X100" s="46">
        <f t="array" aca="1" ref="X100" ca="1">IFERROR(IF(INDEX(Historicals!$T56:$BO56,,X$6+$D100*-1)&lt;&gt;"",INDEX(Historicals!$T56:$BO56,,X$6+$D100*-1),$F100*X$46*Historicals!$S56*INDEX($T$44:$BO$44,,X$6-$D100+1)),0)</f>
        <v>0</v>
      </c>
      <c r="Y100" s="46">
        <f t="array" aca="1" ref="Y100" ca="1">IFERROR(IF(INDEX(Historicals!$T56:$BO56,,Y$6+$D100*-1)&lt;&gt;"",INDEX(Historicals!$T56:$BO56,,Y$6+$D100*-1),$F100*Y$46*Historicals!$S56*INDEX($T$44:$BO$44,,Y$6-$D100+1)),0)</f>
        <v>214.34375</v>
      </c>
      <c r="Z100" s="46">
        <f t="array" aca="1" ref="Z100" ca="1">IFERROR(IF(INDEX(Historicals!$T56:$BO56,,Z$6+$D100*-1)&lt;&gt;"",INDEX(Historicals!$T56:$BO56,,Z$6+$D100*-1),$F100*Z$46*Historicals!$S56*INDEX($T$44:$BO$44,,Z$6-$D100+1)),0)</f>
        <v>0</v>
      </c>
      <c r="AA100" s="46">
        <f t="array" aca="1" ref="AA100" ca="1">IFERROR(IF(INDEX(Historicals!$T56:$BO56,,AA$6+$D100*-1)&lt;&gt;"",INDEX(Historicals!$T56:$BO56,,AA$6+$D100*-1),$F100*AA$46*Historicals!$S56*INDEX($T$44:$BO$44,,AA$6-$D100+1)),0)</f>
        <v>0</v>
      </c>
      <c r="AB100" s="46">
        <f t="array" aca="1" ref="AB100" ca="1">IFERROR(IF(INDEX(Historicals!$T56:$BO56,,AB$6+$D100*-1)&lt;&gt;"",INDEX(Historicals!$T56:$BO56,,AB$6+$D100*-1),$F100*AB$46*Historicals!$S56*INDEX($T$44:$BO$44,,AB$6-$D100+1)),0)</f>
        <v>107.171875</v>
      </c>
      <c r="AC100" s="46">
        <f t="array" aca="1" ref="AC100" ca="1">IFERROR(IF(INDEX(Historicals!$T56:$BO56,,AC$6+$D100*-1)&lt;&gt;"",INDEX(Historicals!$T56:$BO56,,AC$6+$D100*-1),$F100*AC$46*Historicals!$S56*INDEX($T$44:$BO$44,,AC$6-$D100+1)),0)</f>
        <v>0</v>
      </c>
      <c r="AD100" s="46">
        <f t="array" aca="1" ref="AD100" ca="1">IFERROR(IF(INDEX(Historicals!$T56:$BO56,,AD$6+$D100*-1)&lt;&gt;"",INDEX(Historicals!$T56:$BO56,,AD$6+$D100*-1),$F100*AD$46*Historicals!$S56*INDEX($T$44:$BO$44,,AD$6-$D100+1)),0)</f>
        <v>0</v>
      </c>
      <c r="AE100" s="46">
        <f t="array" aca="1" ref="AE100" ca="1">IFERROR(IF(INDEX(Historicals!$T56:$BO56,,AE$6+$D100*-1)&lt;&gt;"",INDEX(Historicals!$T56:$BO56,,AE$6+$D100*-1),$F100*AE$46*Historicals!$S56*INDEX($T$44:$BO$44,,AE$6-$D100+1)),0)</f>
        <v>53.5859375</v>
      </c>
      <c r="AF100" s="46">
        <f t="array" aca="1" ref="AF100" ca="1">IFERROR(IF(INDEX(Historicals!$T56:$BO56,,AF$6+$D100*-1)&lt;&gt;"",INDEX(Historicals!$T56:$BO56,,AF$6+$D100*-1),$F100*AF$46*Historicals!$S56*INDEX($T$44:$BO$44,,AF$6-$D100+1)),0)</f>
        <v>0</v>
      </c>
      <c r="AG100" s="46">
        <f t="array" aca="1" ref="AG100" ca="1">IFERROR(IF(INDEX(Historicals!$T56:$BO56,,AG$6+$D100*-1)&lt;&gt;"",INDEX(Historicals!$T56:$BO56,,AG$6+$D100*-1),$F100*AG$46*Historicals!$S56*INDEX($T$44:$BO$44,,AG$6-$D100+1)),0)</f>
        <v>0</v>
      </c>
      <c r="AH100" s="46">
        <f t="array" aca="1" ref="AH100" ca="1">IFERROR(IF(INDEX(Historicals!$T56:$BO56,,AH$6+$D100*-1)&lt;&gt;"",INDEX(Historicals!$T56:$BO56,,AH$6+$D100*-1),$F100*AH$46*Historicals!$S56*INDEX($T$44:$BO$44,,AH$6-$D100+1)),0)</f>
        <v>26.79296875</v>
      </c>
      <c r="AI100" s="46">
        <f t="array" aca="1" ref="AI100" ca="1">IFERROR(IF(INDEX(Historicals!$T56:$BO56,,AI$6+$D100*-1)&lt;&gt;"",INDEX(Historicals!$T56:$BO56,,AI$6+$D100*-1),$F100*AI$46*Historicals!$S56*INDEX($T$44:$BO$44,,AI$6-$D100+1)),0)</f>
        <v>0</v>
      </c>
      <c r="AJ100" s="46">
        <f t="array" aca="1" ref="AJ100" ca="1">IFERROR(IF(INDEX(Historicals!$T56:$BO56,,AJ$6+$D100*-1)&lt;&gt;"",INDEX(Historicals!$T56:$BO56,,AJ$6+$D100*-1),$F100*AJ$46*Historicals!$S56*INDEX($T$44:$BO$44,,AJ$6-$D100+1)),0)</f>
        <v>0</v>
      </c>
      <c r="AK100" s="46">
        <f t="array" aca="1" ref="AK100" ca="1">IFERROR(IF(INDEX(Historicals!$T56:$BO56,,AK$6+$D100*-1)&lt;&gt;"",INDEX(Historicals!$T56:$BO56,,AK$6+$D100*-1),$F100*AK$46*Historicals!$S56*INDEX($T$44:$BO$44,,AK$6-$D100+1)),0)</f>
        <v>13.396484375</v>
      </c>
      <c r="AL100" s="46">
        <f t="array" aca="1" ref="AL100" ca="1">IFERROR(IF(INDEX(Historicals!$T56:$BO56,,AL$6+$D100*-1)&lt;&gt;"",INDEX(Historicals!$T56:$BO56,,AL$6+$D100*-1),$F100*AL$46*Historicals!$S56*INDEX($T$44:$BO$44,,AL$6-$D100+1)),0)</f>
        <v>0</v>
      </c>
      <c r="AM100" s="46">
        <f t="array" aca="1" ref="AM100" ca="1">IFERROR(IF(INDEX(Historicals!$T56:$BO56,,AM$6+$D100*-1)&lt;&gt;"",INDEX(Historicals!$T56:$BO56,,AM$6+$D100*-1),$F100*AM$46*Historicals!$S56*INDEX($T$44:$BO$44,,AM$6-$D100+1)),0)</f>
        <v>0</v>
      </c>
      <c r="AN100" s="46">
        <f t="array" aca="1" ref="AN100" ca="1">IFERROR(IF(INDEX(Historicals!$T56:$BO56,,AN$6+$D100*-1)&lt;&gt;"",INDEX(Historicals!$T56:$BO56,,AN$6+$D100*-1),$F100*AN$46*Historicals!$S56*INDEX($T$44:$BO$44,,AN$6-$D100+1)),0)</f>
        <v>6.6982421875</v>
      </c>
      <c r="AO100" s="46">
        <f t="array" aca="1" ref="AO100" ca="1">IFERROR(IF(INDEX(Historicals!$T56:$BO56,,AO$6+$D100*-1)&lt;&gt;"",INDEX(Historicals!$T56:$BO56,,AO$6+$D100*-1),$F100*AO$46*Historicals!$S56*INDEX($T$44:$BO$44,,AO$6-$D100+1)),0)</f>
        <v>0</v>
      </c>
      <c r="AP100" s="46">
        <f t="array" aca="1" ref="AP100" ca="1">IFERROR(IF(INDEX(Historicals!$T56:$BO56,,AP$6+$D100*-1)&lt;&gt;"",INDEX(Historicals!$T56:$BO56,,AP$6+$D100*-1),$F100*AP$46*Historicals!$S56*INDEX($T$44:$BO$44,,AP$6-$D100+1)),0)</f>
        <v>0</v>
      </c>
      <c r="AQ100" s="46">
        <f t="array" aca="1" ref="AQ100" ca="1">IFERROR(IF(INDEX(Historicals!$T56:$BO56,,AQ$6+$D100*-1)&lt;&gt;"",INDEX(Historicals!$T56:$BO56,,AQ$6+$D100*-1),$F100*AQ$46*Historicals!$S56*INDEX($T$44:$BO$44,,AQ$6-$D100+1)),0)</f>
        <v>3.34912109375</v>
      </c>
      <c r="AR100" s="46">
        <f t="array" aca="1" ref="AR100" ca="1">IFERROR(IF(INDEX(Historicals!$T56:$BO56,,AR$6+$D100*-1)&lt;&gt;"",INDEX(Historicals!$T56:$BO56,,AR$6+$D100*-1),$F100*AR$46*Historicals!$S56*INDEX($T$44:$BO$44,,AR$6-$D100+1)),0)</f>
        <v>0</v>
      </c>
      <c r="AS100" s="46">
        <f t="array" aca="1" ref="AS100" ca="1">IFERROR(IF(INDEX(Historicals!$T56:$BO56,,AS$6+$D100*-1)&lt;&gt;"",INDEX(Historicals!$T56:$BO56,,AS$6+$D100*-1),$F100*AS$46*Historicals!$S56*INDEX($T$44:$BO$44,,AS$6-$D100+1)),0)</f>
        <v>0</v>
      </c>
      <c r="AT100" s="46">
        <f t="array" aca="1" ref="AT100" ca="1">IFERROR(IF(INDEX(Historicals!$T56:$BO56,,AT$6+$D100*-1)&lt;&gt;"",INDEX(Historicals!$T56:$BO56,,AT$6+$D100*-1),$F100*AT$46*Historicals!$S56*INDEX($T$44:$BO$44,,AT$6-$D100+1)),0)</f>
        <v>1.674560546875</v>
      </c>
      <c r="AU100" s="46">
        <f t="array" aca="1" ref="AU100" ca="1">IFERROR(IF(INDEX(Historicals!$T56:$BO56,,AU$6+$D100*-1)&lt;&gt;"",INDEX(Historicals!$T56:$BO56,,AU$6+$D100*-1),$F100*AU$46*Historicals!$S56*INDEX($T$44:$BO$44,,AU$6-$D100+1)),0)</f>
        <v>0</v>
      </c>
      <c r="AV100" s="46">
        <f t="array" aca="1" ref="AV100" ca="1">IFERROR(IF(INDEX(Historicals!$T56:$BO56,,AV$6+$D100*-1)&lt;&gt;"",INDEX(Historicals!$T56:$BO56,,AV$6+$D100*-1),$F100*AV$46*Historicals!$S56*INDEX($T$44:$BO$44,,AV$6-$D100+1)),0)</f>
        <v>0</v>
      </c>
      <c r="AW100" s="46">
        <f t="array" aca="1" ref="AW100" ca="1">IFERROR(IF(INDEX(Historicals!$T56:$BO56,,AW$6+$D100*-1)&lt;&gt;"",INDEX(Historicals!$T56:$BO56,,AW$6+$D100*-1),$F100*AW$46*Historicals!$S56*INDEX($T$44:$BO$44,,AW$6-$D100+1)),0)</f>
        <v>0.8372802734375</v>
      </c>
      <c r="AX100" s="46">
        <f t="array" aca="1" ref="AX100" ca="1">IFERROR(IF(INDEX(Historicals!$T56:$BO56,,AX$6+$D100*-1)&lt;&gt;"",INDEX(Historicals!$T56:$BO56,,AX$6+$D100*-1),$F100*AX$46*Historicals!$S56*INDEX($T$44:$BO$44,,AX$6-$D100+1)),0)</f>
        <v>0</v>
      </c>
      <c r="AY100" s="46">
        <f t="array" aca="1" ref="AY100" ca="1">IFERROR(IF(INDEX(Historicals!$T56:$BO56,,AY$6+$D100*-1)&lt;&gt;"",INDEX(Historicals!$T56:$BO56,,AY$6+$D100*-1),$F100*AY$46*Historicals!$S56*INDEX($T$44:$BO$44,,AY$6-$D100+1)),0)</f>
        <v>0</v>
      </c>
      <c r="AZ100" s="46">
        <f t="array" ref="AZ100">IFERROR(IF(INDEX(Historicals!$T56:$BO56,,AZ$6+$D100*-1)&lt;&gt;"",INDEX(Historicals!$T56:$BO56,,AZ$6+$D100*-1),$F100*AZ$46*Historicals!$S56*INDEX($T$44:$BO$44,,AZ$6-$D100+1)),0)</f>
        <v>0</v>
      </c>
      <c r="BA100" s="46">
        <f t="array" ref="BA100">IFERROR(IF(INDEX(Historicals!$T56:$BO56,,BA$6+$D100*-1)&lt;&gt;"",INDEX(Historicals!$T56:$BO56,,BA$6+$D100*-1),$F100*BA$46*Historicals!$S56*INDEX($T$44:$BO$44,,BA$6-$D100+1)),0)</f>
        <v>0</v>
      </c>
      <c r="BB100" s="46">
        <f t="array" ref="BB100">IFERROR(IF(INDEX(Historicals!$T56:$BO56,,BB$6+$D100*-1)&lt;&gt;"",INDEX(Historicals!$T56:$BO56,,BB$6+$D100*-1),$F100*BB$46*Historicals!$S56*INDEX($T$44:$BO$44,,BB$6-$D100+1)),0)</f>
        <v>0</v>
      </c>
      <c r="BC100" s="46">
        <f t="array" ref="BC100">IFERROR(IF(INDEX(Historicals!$T56:$BO56,,BC$6+$D100*-1)&lt;&gt;"",INDEX(Historicals!$T56:$BO56,,BC$6+$D100*-1),$F100*BC$46*Historicals!$S56*INDEX($T$44:$BO$44,,BC$6-$D100+1)),0)</f>
        <v>0</v>
      </c>
      <c r="BD100" s="46">
        <f t="array" ref="BD100">IFERROR(IF(INDEX(Historicals!$T56:$BO56,,BD$6+$D100*-1)&lt;&gt;"",INDEX(Historicals!$T56:$BO56,,BD$6+$D100*-1),$F100*BD$46*Historicals!$S56*INDEX($T$44:$BO$44,,BD$6-$D100+1)),0)</f>
        <v>0</v>
      </c>
      <c r="BE100" s="46">
        <f t="array" ref="BE100">IFERROR(IF(INDEX(Historicals!$T56:$BO56,,BE$6+$D100*-1)&lt;&gt;"",INDEX(Historicals!$T56:$BO56,,BE$6+$D100*-1),$F100*BE$46*Historicals!$S56*INDEX($T$44:$BO$44,,BE$6-$D100+1)),0)</f>
        <v>0</v>
      </c>
      <c r="BF100" s="46">
        <f t="array" ref="BF100">IFERROR(IF(INDEX(Historicals!$T56:$BO56,,BF$6+$D100*-1)&lt;&gt;"",INDEX(Historicals!$T56:$BO56,,BF$6+$D100*-1),$F100*BF$46*Historicals!$S56*INDEX($T$44:$BO$44,,BF$6-$D100+1)),0)</f>
        <v>0</v>
      </c>
      <c r="BG100" s="46">
        <f t="array" ref="BG100">IFERROR(IF(INDEX(Historicals!$T56:$BO56,,BG$6+$D100*-1)&lt;&gt;"",INDEX(Historicals!$T56:$BO56,,BG$6+$D100*-1),$F100*BG$46*Historicals!$S56*INDEX($T$44:$BO$44,,BG$6-$D100+1)),0)</f>
        <v>0</v>
      </c>
      <c r="BH100" s="46">
        <f t="array" ref="BH100">IFERROR(IF(INDEX(Historicals!$T56:$BO56,,BH$6+$D100*-1)&lt;&gt;"",INDEX(Historicals!$T56:$BO56,,BH$6+$D100*-1),$F100*BH$46*Historicals!$S56*INDEX($T$44:$BO$44,,BH$6-$D100+1)),0)</f>
        <v>0</v>
      </c>
      <c r="BI100" s="46">
        <f t="array" ref="BI100">IFERROR(IF(INDEX(Historicals!$T56:$BO56,,BI$6+$D100*-1)&lt;&gt;"",INDEX(Historicals!$T56:$BO56,,BI$6+$D100*-1),$F100*BI$46*Historicals!$S56*INDEX($T$44:$BO$44,,BI$6-$D100+1)),0)</f>
        <v>0</v>
      </c>
      <c r="BJ100" s="46">
        <f t="array" ref="BJ100">IFERROR(IF(INDEX(Historicals!$T56:$BO56,,BJ$6+$D100*-1)&lt;&gt;"",INDEX(Historicals!$T56:$BO56,,BJ$6+$D100*-1),$F100*BJ$46*Historicals!$S56*INDEX($T$44:$BO$44,,BJ$6-$D100+1)),0)</f>
        <v>0</v>
      </c>
      <c r="BK100" s="46">
        <f t="array" ref="BK100">IFERROR(IF(INDEX(Historicals!$T56:$BO56,,BK$6+$D100*-1)&lt;&gt;"",INDEX(Historicals!$T56:$BO56,,BK$6+$D100*-1),$F100*BK$46*Historicals!$S56*INDEX($T$44:$BO$44,,BK$6-$D100+1)),0)</f>
        <v>0</v>
      </c>
      <c r="BL100" s="46">
        <f t="array" ref="BL100">IFERROR(IF(INDEX(Historicals!$T56:$BO56,,BL$6+$D100*-1)&lt;&gt;"",INDEX(Historicals!$T56:$BO56,,BL$6+$D100*-1),$F100*BL$46*Historicals!$S56*INDEX($T$44:$BO$44,,BL$6-$D100+1)),0)</f>
        <v>0</v>
      </c>
      <c r="BM100" s="46">
        <f t="array" ref="BM100">IFERROR(IF(INDEX(Historicals!$T56:$BO56,,BM$6+$D100*-1)&lt;&gt;"",INDEX(Historicals!$T56:$BO56,,BM$6+$D100*-1),$F100*BM$46*Historicals!$S56*INDEX($T$44:$BO$44,,BM$6-$D100+1)),0)</f>
        <v>0</v>
      </c>
      <c r="BN100" s="46">
        <f t="array" ref="BN100">IFERROR(IF(INDEX(Historicals!$T56:$BO56,,BN$6+$D100*-1)&lt;&gt;"",INDEX(Historicals!$T56:$BO56,,BN$6+$D100*-1),$F100*BN$46*Historicals!$S56*INDEX($T$44:$BO$44,,BN$6-$D100+1)),0)</f>
        <v>0</v>
      </c>
      <c r="BO100" s="46">
        <f t="array" ref="BO100">IFERROR(IF(INDEX(Historicals!$T56:$BO56,,BO$6+$D100*-1)&lt;&gt;"",INDEX(Historicals!$T56:$BO56,,BO$6+$D100*-1),$F100*BO$46*Historicals!$S56*INDEX($T$44:$BO$44,,BO$6-$D100+1)),0)</f>
        <v>0</v>
      </c>
    </row>
    <row r="101" spans="1:67" ht="16.5" hidden="1" customHeight="1" outlineLevel="1">
      <c r="A101" s="1"/>
      <c r="B101" s="55">
        <f t="shared" si="19"/>
        <v>45595</v>
      </c>
      <c r="C101" s="17" t="s">
        <v>104</v>
      </c>
      <c r="D101" s="46">
        <f t="shared" si="20"/>
        <v>-2</v>
      </c>
      <c r="E101" s="16"/>
      <c r="F101" s="51">
        <v>1</v>
      </c>
      <c r="G101" s="16" t="s">
        <v>159</v>
      </c>
      <c r="H101" s="16" t="s">
        <v>155</v>
      </c>
      <c r="I101" s="46">
        <f ca="1">IF(H101=Forecast!$H$195,T101,IF(H101=Forecast!$H$196,BO101,IF(H101=Forecast!$H$197,SUM(T101:BO101),IF(H101=Forecast!$H$198,AVERAGE(T101:BO101),0))))</f>
        <v>2056.8186523437498</v>
      </c>
      <c r="J101" s="16"/>
      <c r="K101" s="16"/>
      <c r="L101" s="16"/>
      <c r="M101" s="16"/>
      <c r="N101" s="16"/>
      <c r="O101" s="16"/>
      <c r="P101" s="16"/>
      <c r="Q101" s="16"/>
      <c r="R101" s="16"/>
      <c r="S101" s="16"/>
      <c r="T101" s="46">
        <f t="array" ref="T101">IFERROR(IF(INDEX(Historicals!$T57:$BO57,,T$6+$D101*-1)&lt;&gt;"",INDEX(Historicals!$T57:$BO57,,T$6+$D101*-1),$F101*T$46*Historicals!$S57*INDEX($T$44:$BO$44,,T$6-$D101+1)),0)</f>
        <v>1155.2</v>
      </c>
      <c r="U101" s="46">
        <f t="array" aca="1" ref="U101" ca="1">IFERROR(IF(INDEX(Historicals!$T57:$BO57,,U$6+$D101*-1)&lt;&gt;"",INDEX(Historicals!$T57:$BO57,,U$6+$D101*-1),$F101*U$46*Historicals!$S57*INDEX($T$44:$BO$44,,U$6-$D101+1)),0)</f>
        <v>0</v>
      </c>
      <c r="V101" s="46">
        <f t="array" aca="1" ref="V101" ca="1">IFERROR(IF(INDEX(Historicals!$T57:$BO57,,V$6+$D101*-1)&lt;&gt;"",INDEX(Historicals!$T57:$BO57,,V$6+$D101*-1),$F101*V$46*Historicals!$S57*INDEX($T$44:$BO$44,,V$6-$D101+1)),0)</f>
        <v>0</v>
      </c>
      <c r="W101" s="46">
        <f t="array" aca="1" ref="W101" ca="1">IFERROR(IF(INDEX(Historicals!$T57:$BO57,,W$6+$D101*-1)&lt;&gt;"",INDEX(Historicals!$T57:$BO57,,W$6+$D101*-1),$F101*W$46*Historicals!$S57*INDEX($T$44:$BO$44,,W$6-$D101+1)),0)</f>
        <v>451.25</v>
      </c>
      <c r="X101" s="46">
        <f t="array" aca="1" ref="X101" ca="1">IFERROR(IF(INDEX(Historicals!$T57:$BO57,,X$6+$D101*-1)&lt;&gt;"",INDEX(Historicals!$T57:$BO57,,X$6+$D101*-1),$F101*X$46*Historicals!$S57*INDEX($T$44:$BO$44,,X$6-$D101+1)),0)</f>
        <v>0</v>
      </c>
      <c r="Y101" s="46">
        <f t="array" aca="1" ref="Y101" ca="1">IFERROR(IF(INDEX(Historicals!$T57:$BO57,,Y$6+$D101*-1)&lt;&gt;"",INDEX(Historicals!$T57:$BO57,,Y$6+$D101*-1),$F101*Y$46*Historicals!$S57*INDEX($T$44:$BO$44,,Y$6-$D101+1)),0)</f>
        <v>0</v>
      </c>
      <c r="Z101" s="46">
        <f t="array" aca="1" ref="Z101" ca="1">IFERROR(IF(INDEX(Historicals!$T57:$BO57,,Z$6+$D101*-1)&lt;&gt;"",INDEX(Historicals!$T57:$BO57,,Z$6+$D101*-1),$F101*Z$46*Historicals!$S57*INDEX($T$44:$BO$44,,Z$6-$D101+1)),0)</f>
        <v>225.625</v>
      </c>
      <c r="AA101" s="46">
        <f t="array" aca="1" ref="AA101" ca="1">IFERROR(IF(INDEX(Historicals!$T57:$BO57,,AA$6+$D101*-1)&lt;&gt;"",INDEX(Historicals!$T57:$BO57,,AA$6+$D101*-1),$F101*AA$46*Historicals!$S57*INDEX($T$44:$BO$44,,AA$6-$D101+1)),0)</f>
        <v>0</v>
      </c>
      <c r="AB101" s="46">
        <f t="array" aca="1" ref="AB101" ca="1">IFERROR(IF(INDEX(Historicals!$T57:$BO57,,AB$6+$D101*-1)&lt;&gt;"",INDEX(Historicals!$T57:$BO57,,AB$6+$D101*-1),$F101*AB$46*Historicals!$S57*INDEX($T$44:$BO$44,,AB$6-$D101+1)),0)</f>
        <v>0</v>
      </c>
      <c r="AC101" s="46">
        <f t="array" aca="1" ref="AC101" ca="1">IFERROR(IF(INDEX(Historicals!$T57:$BO57,,AC$6+$D101*-1)&lt;&gt;"",INDEX(Historicals!$T57:$BO57,,AC$6+$D101*-1),$F101*AC$46*Historicals!$S57*INDEX($T$44:$BO$44,,AC$6-$D101+1)),0)</f>
        <v>112.8125</v>
      </c>
      <c r="AD101" s="46">
        <f t="array" aca="1" ref="AD101" ca="1">IFERROR(IF(INDEX(Historicals!$T57:$BO57,,AD$6+$D101*-1)&lt;&gt;"",INDEX(Historicals!$T57:$BO57,,AD$6+$D101*-1),$F101*AD$46*Historicals!$S57*INDEX($T$44:$BO$44,,AD$6-$D101+1)),0)</f>
        <v>0</v>
      </c>
      <c r="AE101" s="46">
        <f t="array" aca="1" ref="AE101" ca="1">IFERROR(IF(INDEX(Historicals!$T57:$BO57,,AE$6+$D101*-1)&lt;&gt;"",INDEX(Historicals!$T57:$BO57,,AE$6+$D101*-1),$F101*AE$46*Historicals!$S57*INDEX($T$44:$BO$44,,AE$6-$D101+1)),0)</f>
        <v>0</v>
      </c>
      <c r="AF101" s="46">
        <f t="array" aca="1" ref="AF101" ca="1">IFERROR(IF(INDEX(Historicals!$T57:$BO57,,AF$6+$D101*-1)&lt;&gt;"",INDEX(Historicals!$T57:$BO57,,AF$6+$D101*-1),$F101*AF$46*Historicals!$S57*INDEX($T$44:$BO$44,,AF$6-$D101+1)),0)</f>
        <v>56.40625</v>
      </c>
      <c r="AG101" s="46">
        <f t="array" aca="1" ref="AG101" ca="1">IFERROR(IF(INDEX(Historicals!$T57:$BO57,,AG$6+$D101*-1)&lt;&gt;"",INDEX(Historicals!$T57:$BO57,,AG$6+$D101*-1),$F101*AG$46*Historicals!$S57*INDEX($T$44:$BO$44,,AG$6-$D101+1)),0)</f>
        <v>0</v>
      </c>
      <c r="AH101" s="46">
        <f t="array" aca="1" ref="AH101" ca="1">IFERROR(IF(INDEX(Historicals!$T57:$BO57,,AH$6+$D101*-1)&lt;&gt;"",INDEX(Historicals!$T57:$BO57,,AH$6+$D101*-1),$F101*AH$46*Historicals!$S57*INDEX($T$44:$BO$44,,AH$6-$D101+1)),0)</f>
        <v>0</v>
      </c>
      <c r="AI101" s="46">
        <f t="array" aca="1" ref="AI101" ca="1">IFERROR(IF(INDEX(Historicals!$T57:$BO57,,AI$6+$D101*-1)&lt;&gt;"",INDEX(Historicals!$T57:$BO57,,AI$6+$D101*-1),$F101*AI$46*Historicals!$S57*INDEX($T$44:$BO$44,,AI$6-$D101+1)),0)</f>
        <v>28.203125</v>
      </c>
      <c r="AJ101" s="46">
        <f t="array" aca="1" ref="AJ101" ca="1">IFERROR(IF(INDEX(Historicals!$T57:$BO57,,AJ$6+$D101*-1)&lt;&gt;"",INDEX(Historicals!$T57:$BO57,,AJ$6+$D101*-1),$F101*AJ$46*Historicals!$S57*INDEX($T$44:$BO$44,,AJ$6-$D101+1)),0)</f>
        <v>0</v>
      </c>
      <c r="AK101" s="46">
        <f t="array" aca="1" ref="AK101" ca="1">IFERROR(IF(INDEX(Historicals!$T57:$BO57,,AK$6+$D101*-1)&lt;&gt;"",INDEX(Historicals!$T57:$BO57,,AK$6+$D101*-1),$F101*AK$46*Historicals!$S57*INDEX($T$44:$BO$44,,AK$6-$D101+1)),0)</f>
        <v>0</v>
      </c>
      <c r="AL101" s="46">
        <f t="array" aca="1" ref="AL101" ca="1">IFERROR(IF(INDEX(Historicals!$T57:$BO57,,AL$6+$D101*-1)&lt;&gt;"",INDEX(Historicals!$T57:$BO57,,AL$6+$D101*-1),$F101*AL$46*Historicals!$S57*INDEX($T$44:$BO$44,,AL$6-$D101+1)),0)</f>
        <v>14.1015625</v>
      </c>
      <c r="AM101" s="46">
        <f t="array" aca="1" ref="AM101" ca="1">IFERROR(IF(INDEX(Historicals!$T57:$BO57,,AM$6+$D101*-1)&lt;&gt;"",INDEX(Historicals!$T57:$BO57,,AM$6+$D101*-1),$F101*AM$46*Historicals!$S57*INDEX($T$44:$BO$44,,AM$6-$D101+1)),0)</f>
        <v>0</v>
      </c>
      <c r="AN101" s="46">
        <f t="array" aca="1" ref="AN101" ca="1">IFERROR(IF(INDEX(Historicals!$T57:$BO57,,AN$6+$D101*-1)&lt;&gt;"",INDEX(Historicals!$T57:$BO57,,AN$6+$D101*-1),$F101*AN$46*Historicals!$S57*INDEX($T$44:$BO$44,,AN$6-$D101+1)),0)</f>
        <v>0</v>
      </c>
      <c r="AO101" s="46">
        <f t="array" aca="1" ref="AO101" ca="1">IFERROR(IF(INDEX(Historicals!$T57:$BO57,,AO$6+$D101*-1)&lt;&gt;"",INDEX(Historicals!$T57:$BO57,,AO$6+$D101*-1),$F101*AO$46*Historicals!$S57*INDEX($T$44:$BO$44,,AO$6-$D101+1)),0)</f>
        <v>7.05078125</v>
      </c>
      <c r="AP101" s="46">
        <f t="array" aca="1" ref="AP101" ca="1">IFERROR(IF(INDEX(Historicals!$T57:$BO57,,AP$6+$D101*-1)&lt;&gt;"",INDEX(Historicals!$T57:$BO57,,AP$6+$D101*-1),$F101*AP$46*Historicals!$S57*INDEX($T$44:$BO$44,,AP$6-$D101+1)),0)</f>
        <v>0</v>
      </c>
      <c r="AQ101" s="46">
        <f t="array" aca="1" ref="AQ101" ca="1">IFERROR(IF(INDEX(Historicals!$T57:$BO57,,AQ$6+$D101*-1)&lt;&gt;"",INDEX(Historicals!$T57:$BO57,,AQ$6+$D101*-1),$F101*AQ$46*Historicals!$S57*INDEX($T$44:$BO$44,,AQ$6-$D101+1)),0)</f>
        <v>0</v>
      </c>
      <c r="AR101" s="46">
        <f t="array" aca="1" ref="AR101" ca="1">IFERROR(IF(INDEX(Historicals!$T57:$BO57,,AR$6+$D101*-1)&lt;&gt;"",INDEX(Historicals!$T57:$BO57,,AR$6+$D101*-1),$F101*AR$46*Historicals!$S57*INDEX($T$44:$BO$44,,AR$6-$D101+1)),0)</f>
        <v>3.525390625</v>
      </c>
      <c r="AS101" s="46">
        <f t="array" aca="1" ref="AS101" ca="1">IFERROR(IF(INDEX(Historicals!$T57:$BO57,,AS$6+$D101*-1)&lt;&gt;"",INDEX(Historicals!$T57:$BO57,,AS$6+$D101*-1),$F101*AS$46*Historicals!$S57*INDEX($T$44:$BO$44,,AS$6-$D101+1)),0)</f>
        <v>0</v>
      </c>
      <c r="AT101" s="46">
        <f t="array" aca="1" ref="AT101" ca="1">IFERROR(IF(INDEX(Historicals!$T57:$BO57,,AT$6+$D101*-1)&lt;&gt;"",INDEX(Historicals!$T57:$BO57,,AT$6+$D101*-1),$F101*AT$46*Historicals!$S57*INDEX($T$44:$BO$44,,AT$6-$D101+1)),0)</f>
        <v>0</v>
      </c>
      <c r="AU101" s="46">
        <f t="array" aca="1" ref="AU101" ca="1">IFERROR(IF(INDEX(Historicals!$T57:$BO57,,AU$6+$D101*-1)&lt;&gt;"",INDEX(Historicals!$T57:$BO57,,AU$6+$D101*-1),$F101*AU$46*Historicals!$S57*INDEX($T$44:$BO$44,,AU$6-$D101+1)),0)</f>
        <v>1.7626953125</v>
      </c>
      <c r="AV101" s="46">
        <f t="array" aca="1" ref="AV101" ca="1">IFERROR(IF(INDEX(Historicals!$T57:$BO57,,AV$6+$D101*-1)&lt;&gt;"",INDEX(Historicals!$T57:$BO57,,AV$6+$D101*-1),$F101*AV$46*Historicals!$S57*INDEX($T$44:$BO$44,,AV$6-$D101+1)),0)</f>
        <v>0</v>
      </c>
      <c r="AW101" s="46">
        <f t="array" aca="1" ref="AW101" ca="1">IFERROR(IF(INDEX(Historicals!$T57:$BO57,,AW$6+$D101*-1)&lt;&gt;"",INDEX(Historicals!$T57:$BO57,,AW$6+$D101*-1),$F101*AW$46*Historicals!$S57*INDEX($T$44:$BO$44,,AW$6-$D101+1)),0)</f>
        <v>0</v>
      </c>
      <c r="AX101" s="46">
        <f t="array" aca="1" ref="AX101" ca="1">IFERROR(IF(INDEX(Historicals!$T57:$BO57,,AX$6+$D101*-1)&lt;&gt;"",INDEX(Historicals!$T57:$BO57,,AX$6+$D101*-1),$F101*AX$46*Historicals!$S57*INDEX($T$44:$BO$44,,AX$6-$D101+1)),0)</f>
        <v>0.88134765625</v>
      </c>
      <c r="AY101" s="46">
        <f t="array" aca="1" ref="AY101" ca="1">IFERROR(IF(INDEX(Historicals!$T57:$BO57,,AY$6+$D101*-1)&lt;&gt;"",INDEX(Historicals!$T57:$BO57,,AY$6+$D101*-1),$F101*AY$46*Historicals!$S57*INDEX($T$44:$BO$44,,AY$6-$D101+1)),0)</f>
        <v>0</v>
      </c>
      <c r="AZ101" s="46">
        <f t="array" aca="1" ref="AZ101" ca="1">IFERROR(IF(INDEX(Historicals!$T57:$BO57,,AZ$6+$D101*-1)&lt;&gt;"",INDEX(Historicals!$T57:$BO57,,AZ$6+$D101*-1),$F101*AZ$46*Historicals!$S57*INDEX($T$44:$BO$44,,AZ$6-$D101+1)),0)</f>
        <v>0</v>
      </c>
      <c r="BA101" s="46">
        <f t="array" ref="BA101">IFERROR(IF(INDEX(Historicals!$T57:$BO57,,BA$6+$D101*-1)&lt;&gt;"",INDEX(Historicals!$T57:$BO57,,BA$6+$D101*-1),$F101*BA$46*Historicals!$S57*INDEX($T$44:$BO$44,,BA$6-$D101+1)),0)</f>
        <v>0</v>
      </c>
      <c r="BB101" s="46">
        <f t="array" ref="BB101">IFERROR(IF(INDEX(Historicals!$T57:$BO57,,BB$6+$D101*-1)&lt;&gt;"",INDEX(Historicals!$T57:$BO57,,BB$6+$D101*-1),$F101*BB$46*Historicals!$S57*INDEX($T$44:$BO$44,,BB$6-$D101+1)),0)</f>
        <v>0</v>
      </c>
      <c r="BC101" s="46">
        <f t="array" ref="BC101">IFERROR(IF(INDEX(Historicals!$T57:$BO57,,BC$6+$D101*-1)&lt;&gt;"",INDEX(Historicals!$T57:$BO57,,BC$6+$D101*-1),$F101*BC$46*Historicals!$S57*INDEX($T$44:$BO$44,,BC$6-$D101+1)),0)</f>
        <v>0</v>
      </c>
      <c r="BD101" s="46">
        <f t="array" ref="BD101">IFERROR(IF(INDEX(Historicals!$T57:$BO57,,BD$6+$D101*-1)&lt;&gt;"",INDEX(Historicals!$T57:$BO57,,BD$6+$D101*-1),$F101*BD$46*Historicals!$S57*INDEX($T$44:$BO$44,,BD$6-$D101+1)),0)</f>
        <v>0</v>
      </c>
      <c r="BE101" s="46">
        <f t="array" ref="BE101">IFERROR(IF(INDEX(Historicals!$T57:$BO57,,BE$6+$D101*-1)&lt;&gt;"",INDEX(Historicals!$T57:$BO57,,BE$6+$D101*-1),$F101*BE$46*Historicals!$S57*INDEX($T$44:$BO$44,,BE$6-$D101+1)),0)</f>
        <v>0</v>
      </c>
      <c r="BF101" s="46">
        <f t="array" ref="BF101">IFERROR(IF(INDEX(Historicals!$T57:$BO57,,BF$6+$D101*-1)&lt;&gt;"",INDEX(Historicals!$T57:$BO57,,BF$6+$D101*-1),$F101*BF$46*Historicals!$S57*INDEX($T$44:$BO$44,,BF$6-$D101+1)),0)</f>
        <v>0</v>
      </c>
      <c r="BG101" s="46">
        <f t="array" ref="BG101">IFERROR(IF(INDEX(Historicals!$T57:$BO57,,BG$6+$D101*-1)&lt;&gt;"",INDEX(Historicals!$T57:$BO57,,BG$6+$D101*-1),$F101*BG$46*Historicals!$S57*INDEX($T$44:$BO$44,,BG$6-$D101+1)),0)</f>
        <v>0</v>
      </c>
      <c r="BH101" s="46">
        <f t="array" ref="BH101">IFERROR(IF(INDEX(Historicals!$T57:$BO57,,BH$6+$D101*-1)&lt;&gt;"",INDEX(Historicals!$T57:$BO57,,BH$6+$D101*-1),$F101*BH$46*Historicals!$S57*INDEX($T$44:$BO$44,,BH$6-$D101+1)),0)</f>
        <v>0</v>
      </c>
      <c r="BI101" s="46">
        <f t="array" ref="BI101">IFERROR(IF(INDEX(Historicals!$T57:$BO57,,BI$6+$D101*-1)&lt;&gt;"",INDEX(Historicals!$T57:$BO57,,BI$6+$D101*-1),$F101*BI$46*Historicals!$S57*INDEX($T$44:$BO$44,,BI$6-$D101+1)),0)</f>
        <v>0</v>
      </c>
      <c r="BJ101" s="46">
        <f t="array" ref="BJ101">IFERROR(IF(INDEX(Historicals!$T57:$BO57,,BJ$6+$D101*-1)&lt;&gt;"",INDEX(Historicals!$T57:$BO57,,BJ$6+$D101*-1),$F101*BJ$46*Historicals!$S57*INDEX($T$44:$BO$44,,BJ$6-$D101+1)),0)</f>
        <v>0</v>
      </c>
      <c r="BK101" s="46">
        <f t="array" ref="BK101">IFERROR(IF(INDEX(Historicals!$T57:$BO57,,BK$6+$D101*-1)&lt;&gt;"",INDEX(Historicals!$T57:$BO57,,BK$6+$D101*-1),$F101*BK$46*Historicals!$S57*INDEX($T$44:$BO$44,,BK$6-$D101+1)),0)</f>
        <v>0</v>
      </c>
      <c r="BL101" s="46">
        <f t="array" ref="BL101">IFERROR(IF(INDEX(Historicals!$T57:$BO57,,BL$6+$D101*-1)&lt;&gt;"",INDEX(Historicals!$T57:$BO57,,BL$6+$D101*-1),$F101*BL$46*Historicals!$S57*INDEX($T$44:$BO$44,,BL$6-$D101+1)),0)</f>
        <v>0</v>
      </c>
      <c r="BM101" s="46">
        <f t="array" ref="BM101">IFERROR(IF(INDEX(Historicals!$T57:$BO57,,BM$6+$D101*-1)&lt;&gt;"",INDEX(Historicals!$T57:$BO57,,BM$6+$D101*-1),$F101*BM$46*Historicals!$S57*INDEX($T$44:$BO$44,,BM$6-$D101+1)),0)</f>
        <v>0</v>
      </c>
      <c r="BN101" s="46">
        <f t="array" ref="BN101">IFERROR(IF(INDEX(Historicals!$T57:$BO57,,BN$6+$D101*-1)&lt;&gt;"",INDEX(Historicals!$T57:$BO57,,BN$6+$D101*-1),$F101*BN$46*Historicals!$S57*INDEX($T$44:$BO$44,,BN$6-$D101+1)),0)</f>
        <v>0</v>
      </c>
      <c r="BO101" s="46">
        <f t="array" ref="BO101">IFERROR(IF(INDEX(Historicals!$T57:$BO57,,BO$6+$D101*-1)&lt;&gt;"",INDEX(Historicals!$T57:$BO57,,BO$6+$D101*-1),$F101*BO$46*Historicals!$S57*INDEX($T$44:$BO$44,,BO$6-$D101+1)),0)</f>
        <v>0</v>
      </c>
    </row>
    <row r="102" spans="1:67" ht="16.5" hidden="1" customHeight="1" outlineLevel="1">
      <c r="A102" s="1"/>
      <c r="B102" s="55">
        <f t="shared" si="19"/>
        <v>45626</v>
      </c>
      <c r="C102" s="17" t="s">
        <v>104</v>
      </c>
      <c r="D102" s="46">
        <f t="shared" si="20"/>
        <v>-1</v>
      </c>
      <c r="E102" s="16"/>
      <c r="F102" s="51">
        <v>1</v>
      </c>
      <c r="G102" s="16" t="s">
        <v>159</v>
      </c>
      <c r="H102" s="16" t="s">
        <v>155</v>
      </c>
      <c r="I102" s="46">
        <f ca="1">IF(H102=Forecast!$H$195,T102,IF(H102=Forecast!$H$196,BO102,IF(H102=Forecast!$H$197,SUM(T102:BO102),IF(H102=Forecast!$H$198,AVERAGE(T102:BO102),0))))</f>
        <v>2066.072265625</v>
      </c>
      <c r="J102" s="16"/>
      <c r="K102" s="16"/>
      <c r="L102" s="16"/>
      <c r="M102" s="16"/>
      <c r="N102" s="16"/>
      <c r="O102" s="16"/>
      <c r="P102" s="16"/>
      <c r="Q102" s="16"/>
      <c r="R102" s="16"/>
      <c r="S102" s="16"/>
      <c r="T102" s="46">
        <f t="array" ref="T102">IFERROR(IF(INDEX(Historicals!$T58:$BO58,,T$6+$D102*-1)&lt;&gt;"",INDEX(Historicals!$T58:$BO58,,T$6+$D102*-1),$F102*T$46*Historicals!$S58*INDEX($T$44:$BO$44,,T$6-$D102+1)),0)</f>
        <v>167</v>
      </c>
      <c r="U102" s="46">
        <f t="array" aca="1" ref="U102" ca="1">IFERROR(IF(INDEX(Historicals!$T58:$BO58,,U$6+$D102*-1)&lt;&gt;"",INDEX(Historicals!$T58:$BO58,,U$6+$D102*-1),$F102*U$46*Historicals!$S58*INDEX($T$44:$BO$44,,U$6-$D102+1)),0)</f>
        <v>950</v>
      </c>
      <c r="V102" s="46">
        <f t="array" aca="1" ref="V102" ca="1">IFERROR(IF(INDEX(Historicals!$T58:$BO58,,V$6+$D102*-1)&lt;&gt;"",INDEX(Historicals!$T58:$BO58,,V$6+$D102*-1),$F102*V$46*Historicals!$S58*INDEX($T$44:$BO$44,,V$6-$D102+1)),0)</f>
        <v>0</v>
      </c>
      <c r="W102" s="46">
        <f t="array" aca="1" ref="W102" ca="1">IFERROR(IF(INDEX(Historicals!$T58:$BO58,,W$6+$D102*-1)&lt;&gt;"",INDEX(Historicals!$T58:$BO58,,W$6+$D102*-1),$F102*W$46*Historicals!$S58*INDEX($T$44:$BO$44,,W$6-$D102+1)),0)</f>
        <v>0</v>
      </c>
      <c r="X102" s="46">
        <f t="array" aca="1" ref="X102" ca="1">IFERROR(IF(INDEX(Historicals!$T58:$BO58,,X$6+$D102*-1)&lt;&gt;"",INDEX(Historicals!$T58:$BO58,,X$6+$D102*-1),$F102*X$46*Historicals!$S58*INDEX($T$44:$BO$44,,X$6-$D102+1)),0)</f>
        <v>475</v>
      </c>
      <c r="Y102" s="46">
        <f t="array" aca="1" ref="Y102" ca="1">IFERROR(IF(INDEX(Historicals!$T58:$BO58,,Y$6+$D102*-1)&lt;&gt;"",INDEX(Historicals!$T58:$BO58,,Y$6+$D102*-1),$F102*Y$46*Historicals!$S58*INDEX($T$44:$BO$44,,Y$6-$D102+1)),0)</f>
        <v>0</v>
      </c>
      <c r="Z102" s="46">
        <f t="array" aca="1" ref="Z102" ca="1">IFERROR(IF(INDEX(Historicals!$T58:$BO58,,Z$6+$D102*-1)&lt;&gt;"",INDEX(Historicals!$T58:$BO58,,Z$6+$D102*-1),$F102*Z$46*Historicals!$S58*INDEX($T$44:$BO$44,,Z$6-$D102+1)),0)</f>
        <v>0</v>
      </c>
      <c r="AA102" s="46">
        <f t="array" aca="1" ref="AA102" ca="1">IFERROR(IF(INDEX(Historicals!$T58:$BO58,,AA$6+$D102*-1)&lt;&gt;"",INDEX(Historicals!$T58:$BO58,,AA$6+$D102*-1),$F102*AA$46*Historicals!$S58*INDEX($T$44:$BO$44,,AA$6-$D102+1)),0)</f>
        <v>237.5</v>
      </c>
      <c r="AB102" s="46">
        <f t="array" aca="1" ref="AB102" ca="1">IFERROR(IF(INDEX(Historicals!$T58:$BO58,,AB$6+$D102*-1)&lt;&gt;"",INDEX(Historicals!$T58:$BO58,,AB$6+$D102*-1),$F102*AB$46*Historicals!$S58*INDEX($T$44:$BO$44,,AB$6-$D102+1)),0)</f>
        <v>0</v>
      </c>
      <c r="AC102" s="46">
        <f t="array" aca="1" ref="AC102" ca="1">IFERROR(IF(INDEX(Historicals!$T58:$BO58,,AC$6+$D102*-1)&lt;&gt;"",INDEX(Historicals!$T58:$BO58,,AC$6+$D102*-1),$F102*AC$46*Historicals!$S58*INDEX($T$44:$BO$44,,AC$6-$D102+1)),0)</f>
        <v>0</v>
      </c>
      <c r="AD102" s="46">
        <f t="array" aca="1" ref="AD102" ca="1">IFERROR(IF(INDEX(Historicals!$T58:$BO58,,AD$6+$D102*-1)&lt;&gt;"",INDEX(Historicals!$T58:$BO58,,AD$6+$D102*-1),$F102*AD$46*Historicals!$S58*INDEX($T$44:$BO$44,,AD$6-$D102+1)),0)</f>
        <v>118.75</v>
      </c>
      <c r="AE102" s="46">
        <f t="array" aca="1" ref="AE102" ca="1">IFERROR(IF(INDEX(Historicals!$T58:$BO58,,AE$6+$D102*-1)&lt;&gt;"",INDEX(Historicals!$T58:$BO58,,AE$6+$D102*-1),$F102*AE$46*Historicals!$S58*INDEX($T$44:$BO$44,,AE$6-$D102+1)),0)</f>
        <v>0</v>
      </c>
      <c r="AF102" s="46">
        <f t="array" aca="1" ref="AF102" ca="1">IFERROR(IF(INDEX(Historicals!$T58:$BO58,,AF$6+$D102*-1)&lt;&gt;"",INDEX(Historicals!$T58:$BO58,,AF$6+$D102*-1),$F102*AF$46*Historicals!$S58*INDEX($T$44:$BO$44,,AF$6-$D102+1)),0)</f>
        <v>0</v>
      </c>
      <c r="AG102" s="46">
        <f t="array" aca="1" ref="AG102" ca="1">IFERROR(IF(INDEX(Historicals!$T58:$BO58,,AG$6+$D102*-1)&lt;&gt;"",INDEX(Historicals!$T58:$BO58,,AG$6+$D102*-1),$F102*AG$46*Historicals!$S58*INDEX($T$44:$BO$44,,AG$6-$D102+1)),0)</f>
        <v>59.375</v>
      </c>
      <c r="AH102" s="46">
        <f t="array" aca="1" ref="AH102" ca="1">IFERROR(IF(INDEX(Historicals!$T58:$BO58,,AH$6+$D102*-1)&lt;&gt;"",INDEX(Historicals!$T58:$BO58,,AH$6+$D102*-1),$F102*AH$46*Historicals!$S58*INDEX($T$44:$BO$44,,AH$6-$D102+1)),0)</f>
        <v>0</v>
      </c>
      <c r="AI102" s="46">
        <f t="array" aca="1" ref="AI102" ca="1">IFERROR(IF(INDEX(Historicals!$T58:$BO58,,AI$6+$D102*-1)&lt;&gt;"",INDEX(Historicals!$T58:$BO58,,AI$6+$D102*-1),$F102*AI$46*Historicals!$S58*INDEX($T$44:$BO$44,,AI$6-$D102+1)),0)</f>
        <v>0</v>
      </c>
      <c r="AJ102" s="46">
        <f t="array" aca="1" ref="AJ102" ca="1">IFERROR(IF(INDEX(Historicals!$T58:$BO58,,AJ$6+$D102*-1)&lt;&gt;"",INDEX(Historicals!$T58:$BO58,,AJ$6+$D102*-1),$F102*AJ$46*Historicals!$S58*INDEX($T$44:$BO$44,,AJ$6-$D102+1)),0)</f>
        <v>29.6875</v>
      </c>
      <c r="AK102" s="46">
        <f t="array" aca="1" ref="AK102" ca="1">IFERROR(IF(INDEX(Historicals!$T58:$BO58,,AK$6+$D102*-1)&lt;&gt;"",INDEX(Historicals!$T58:$BO58,,AK$6+$D102*-1),$F102*AK$46*Historicals!$S58*INDEX($T$44:$BO$44,,AK$6-$D102+1)),0)</f>
        <v>0</v>
      </c>
      <c r="AL102" s="46">
        <f t="array" aca="1" ref="AL102" ca="1">IFERROR(IF(INDEX(Historicals!$T58:$BO58,,AL$6+$D102*-1)&lt;&gt;"",INDEX(Historicals!$T58:$BO58,,AL$6+$D102*-1),$F102*AL$46*Historicals!$S58*INDEX($T$44:$BO$44,,AL$6-$D102+1)),0)</f>
        <v>0</v>
      </c>
      <c r="AM102" s="46">
        <f t="array" aca="1" ref="AM102" ca="1">IFERROR(IF(INDEX(Historicals!$T58:$BO58,,AM$6+$D102*-1)&lt;&gt;"",INDEX(Historicals!$T58:$BO58,,AM$6+$D102*-1),$F102*AM$46*Historicals!$S58*INDEX($T$44:$BO$44,,AM$6-$D102+1)),0)</f>
        <v>14.84375</v>
      </c>
      <c r="AN102" s="46">
        <f t="array" aca="1" ref="AN102" ca="1">IFERROR(IF(INDEX(Historicals!$T58:$BO58,,AN$6+$D102*-1)&lt;&gt;"",INDEX(Historicals!$T58:$BO58,,AN$6+$D102*-1),$F102*AN$46*Historicals!$S58*INDEX($T$44:$BO$44,,AN$6-$D102+1)),0)</f>
        <v>0</v>
      </c>
      <c r="AO102" s="46">
        <f t="array" aca="1" ref="AO102" ca="1">IFERROR(IF(INDEX(Historicals!$T58:$BO58,,AO$6+$D102*-1)&lt;&gt;"",INDEX(Historicals!$T58:$BO58,,AO$6+$D102*-1),$F102*AO$46*Historicals!$S58*INDEX($T$44:$BO$44,,AO$6-$D102+1)),0)</f>
        <v>0</v>
      </c>
      <c r="AP102" s="46">
        <f t="array" aca="1" ref="AP102" ca="1">IFERROR(IF(INDEX(Historicals!$T58:$BO58,,AP$6+$D102*-1)&lt;&gt;"",INDEX(Historicals!$T58:$BO58,,AP$6+$D102*-1),$F102*AP$46*Historicals!$S58*INDEX($T$44:$BO$44,,AP$6-$D102+1)),0)</f>
        <v>7.421875</v>
      </c>
      <c r="AQ102" s="46">
        <f t="array" aca="1" ref="AQ102" ca="1">IFERROR(IF(INDEX(Historicals!$T58:$BO58,,AQ$6+$D102*-1)&lt;&gt;"",INDEX(Historicals!$T58:$BO58,,AQ$6+$D102*-1),$F102*AQ$46*Historicals!$S58*INDEX($T$44:$BO$44,,AQ$6-$D102+1)),0)</f>
        <v>0</v>
      </c>
      <c r="AR102" s="46">
        <f t="array" aca="1" ref="AR102" ca="1">IFERROR(IF(INDEX(Historicals!$T58:$BO58,,AR$6+$D102*-1)&lt;&gt;"",INDEX(Historicals!$T58:$BO58,,AR$6+$D102*-1),$F102*AR$46*Historicals!$S58*INDEX($T$44:$BO$44,,AR$6-$D102+1)),0)</f>
        <v>0</v>
      </c>
      <c r="AS102" s="46">
        <f t="array" aca="1" ref="AS102" ca="1">IFERROR(IF(INDEX(Historicals!$T58:$BO58,,AS$6+$D102*-1)&lt;&gt;"",INDEX(Historicals!$T58:$BO58,,AS$6+$D102*-1),$F102*AS$46*Historicals!$S58*INDEX($T$44:$BO$44,,AS$6-$D102+1)),0)</f>
        <v>3.7109375</v>
      </c>
      <c r="AT102" s="46">
        <f t="array" aca="1" ref="AT102" ca="1">IFERROR(IF(INDEX(Historicals!$T58:$BO58,,AT$6+$D102*-1)&lt;&gt;"",INDEX(Historicals!$T58:$BO58,,AT$6+$D102*-1),$F102*AT$46*Historicals!$S58*INDEX($T$44:$BO$44,,AT$6-$D102+1)),0)</f>
        <v>0</v>
      </c>
      <c r="AU102" s="46">
        <f t="array" aca="1" ref="AU102" ca="1">IFERROR(IF(INDEX(Historicals!$T58:$BO58,,AU$6+$D102*-1)&lt;&gt;"",INDEX(Historicals!$T58:$BO58,,AU$6+$D102*-1),$F102*AU$46*Historicals!$S58*INDEX($T$44:$BO$44,,AU$6-$D102+1)),0)</f>
        <v>0</v>
      </c>
      <c r="AV102" s="46">
        <f t="array" aca="1" ref="AV102" ca="1">IFERROR(IF(INDEX(Historicals!$T58:$BO58,,AV$6+$D102*-1)&lt;&gt;"",INDEX(Historicals!$T58:$BO58,,AV$6+$D102*-1),$F102*AV$46*Historicals!$S58*INDEX($T$44:$BO$44,,AV$6-$D102+1)),0)</f>
        <v>1.85546875</v>
      </c>
      <c r="AW102" s="46">
        <f t="array" aca="1" ref="AW102" ca="1">IFERROR(IF(INDEX(Historicals!$T58:$BO58,,AW$6+$D102*-1)&lt;&gt;"",INDEX(Historicals!$T58:$BO58,,AW$6+$D102*-1),$F102*AW$46*Historicals!$S58*INDEX($T$44:$BO$44,,AW$6-$D102+1)),0)</f>
        <v>0</v>
      </c>
      <c r="AX102" s="46">
        <f t="array" aca="1" ref="AX102" ca="1">IFERROR(IF(INDEX(Historicals!$T58:$BO58,,AX$6+$D102*-1)&lt;&gt;"",INDEX(Historicals!$T58:$BO58,,AX$6+$D102*-1),$F102*AX$46*Historicals!$S58*INDEX($T$44:$BO$44,,AX$6-$D102+1)),0)</f>
        <v>0</v>
      </c>
      <c r="AY102" s="46">
        <f t="array" aca="1" ref="AY102" ca="1">IFERROR(IF(INDEX(Historicals!$T58:$BO58,,AY$6+$D102*-1)&lt;&gt;"",INDEX(Historicals!$T58:$BO58,,AY$6+$D102*-1),$F102*AY$46*Historicals!$S58*INDEX($T$44:$BO$44,,AY$6-$D102+1)),0)</f>
        <v>0.927734375</v>
      </c>
      <c r="AZ102" s="46">
        <f t="array" aca="1" ref="AZ102" ca="1">IFERROR(IF(INDEX(Historicals!$T58:$BO58,,AZ$6+$D102*-1)&lt;&gt;"",INDEX(Historicals!$T58:$BO58,,AZ$6+$D102*-1),$F102*AZ$46*Historicals!$S58*INDEX($T$44:$BO$44,,AZ$6-$D102+1)),0)</f>
        <v>0</v>
      </c>
      <c r="BA102" s="46">
        <f t="array" aca="1" ref="BA102" ca="1">IFERROR(IF(INDEX(Historicals!$T58:$BO58,,BA$6+$D102*-1)&lt;&gt;"",INDEX(Historicals!$T58:$BO58,,BA$6+$D102*-1),$F102*BA$46*Historicals!$S58*INDEX($T$44:$BO$44,,BA$6-$D102+1)),0)</f>
        <v>0</v>
      </c>
      <c r="BB102" s="46">
        <f t="array" ref="BB102">IFERROR(IF(INDEX(Historicals!$T58:$BO58,,BB$6+$D102*-1)&lt;&gt;"",INDEX(Historicals!$T58:$BO58,,BB$6+$D102*-1),$F102*BB$46*Historicals!$S58*INDEX($T$44:$BO$44,,BB$6-$D102+1)),0)</f>
        <v>0</v>
      </c>
      <c r="BC102" s="46">
        <f t="array" ref="BC102">IFERROR(IF(INDEX(Historicals!$T58:$BO58,,BC$6+$D102*-1)&lt;&gt;"",INDEX(Historicals!$T58:$BO58,,BC$6+$D102*-1),$F102*BC$46*Historicals!$S58*INDEX($T$44:$BO$44,,BC$6-$D102+1)),0)</f>
        <v>0</v>
      </c>
      <c r="BD102" s="46">
        <f t="array" ref="BD102">IFERROR(IF(INDEX(Historicals!$T58:$BO58,,BD$6+$D102*-1)&lt;&gt;"",INDEX(Historicals!$T58:$BO58,,BD$6+$D102*-1),$F102*BD$46*Historicals!$S58*INDEX($T$44:$BO$44,,BD$6-$D102+1)),0)</f>
        <v>0</v>
      </c>
      <c r="BE102" s="46">
        <f t="array" ref="BE102">IFERROR(IF(INDEX(Historicals!$T58:$BO58,,BE$6+$D102*-1)&lt;&gt;"",INDEX(Historicals!$T58:$BO58,,BE$6+$D102*-1),$F102*BE$46*Historicals!$S58*INDEX($T$44:$BO$44,,BE$6-$D102+1)),0)</f>
        <v>0</v>
      </c>
      <c r="BF102" s="46">
        <f t="array" ref="BF102">IFERROR(IF(INDEX(Historicals!$T58:$BO58,,BF$6+$D102*-1)&lt;&gt;"",INDEX(Historicals!$T58:$BO58,,BF$6+$D102*-1),$F102*BF$46*Historicals!$S58*INDEX($T$44:$BO$44,,BF$6-$D102+1)),0)</f>
        <v>0</v>
      </c>
      <c r="BG102" s="46">
        <f t="array" ref="BG102">IFERROR(IF(INDEX(Historicals!$T58:$BO58,,BG$6+$D102*-1)&lt;&gt;"",INDEX(Historicals!$T58:$BO58,,BG$6+$D102*-1),$F102*BG$46*Historicals!$S58*INDEX($T$44:$BO$44,,BG$6-$D102+1)),0)</f>
        <v>0</v>
      </c>
      <c r="BH102" s="46">
        <f t="array" ref="BH102">IFERROR(IF(INDEX(Historicals!$T58:$BO58,,BH$6+$D102*-1)&lt;&gt;"",INDEX(Historicals!$T58:$BO58,,BH$6+$D102*-1),$F102*BH$46*Historicals!$S58*INDEX($T$44:$BO$44,,BH$6-$D102+1)),0)</f>
        <v>0</v>
      </c>
      <c r="BI102" s="46">
        <f t="array" ref="BI102">IFERROR(IF(INDEX(Historicals!$T58:$BO58,,BI$6+$D102*-1)&lt;&gt;"",INDEX(Historicals!$T58:$BO58,,BI$6+$D102*-1),$F102*BI$46*Historicals!$S58*INDEX($T$44:$BO$44,,BI$6-$D102+1)),0)</f>
        <v>0</v>
      </c>
      <c r="BJ102" s="46">
        <f t="array" ref="BJ102">IFERROR(IF(INDEX(Historicals!$T58:$BO58,,BJ$6+$D102*-1)&lt;&gt;"",INDEX(Historicals!$T58:$BO58,,BJ$6+$D102*-1),$F102*BJ$46*Historicals!$S58*INDEX($T$44:$BO$44,,BJ$6-$D102+1)),0)</f>
        <v>0</v>
      </c>
      <c r="BK102" s="46">
        <f t="array" ref="BK102">IFERROR(IF(INDEX(Historicals!$T58:$BO58,,BK$6+$D102*-1)&lt;&gt;"",INDEX(Historicals!$T58:$BO58,,BK$6+$D102*-1),$F102*BK$46*Historicals!$S58*INDEX($T$44:$BO$44,,BK$6-$D102+1)),0)</f>
        <v>0</v>
      </c>
      <c r="BL102" s="46">
        <f t="array" ref="BL102">IFERROR(IF(INDEX(Historicals!$T58:$BO58,,BL$6+$D102*-1)&lt;&gt;"",INDEX(Historicals!$T58:$BO58,,BL$6+$D102*-1),$F102*BL$46*Historicals!$S58*INDEX($T$44:$BO$44,,BL$6-$D102+1)),0)</f>
        <v>0</v>
      </c>
      <c r="BM102" s="46">
        <f t="array" ref="BM102">IFERROR(IF(INDEX(Historicals!$T58:$BO58,,BM$6+$D102*-1)&lt;&gt;"",INDEX(Historicals!$T58:$BO58,,BM$6+$D102*-1),$F102*BM$46*Historicals!$S58*INDEX($T$44:$BO$44,,BM$6-$D102+1)),0)</f>
        <v>0</v>
      </c>
      <c r="BN102" s="46">
        <f t="array" ref="BN102">IFERROR(IF(INDEX(Historicals!$T58:$BO58,,BN$6+$D102*-1)&lt;&gt;"",INDEX(Historicals!$T58:$BO58,,BN$6+$D102*-1),$F102*BN$46*Historicals!$S58*INDEX($T$44:$BO$44,,BN$6-$D102+1)),0)</f>
        <v>0</v>
      </c>
      <c r="BO102" s="46">
        <f t="array" ref="BO102">IFERROR(IF(INDEX(Historicals!$T58:$BO58,,BO$6+$D102*-1)&lt;&gt;"",INDEX(Historicals!$T58:$BO58,,BO$6+$D102*-1),$F102*BO$46*Historicals!$S58*INDEX($T$44:$BO$44,,BO$6-$D102+1)),0)</f>
        <v>0</v>
      </c>
    </row>
    <row r="103" spans="1:67" ht="16.5" hidden="1" customHeight="1" outlineLevel="1">
      <c r="A103" s="1"/>
      <c r="B103" s="55">
        <f t="shared" si="19"/>
        <v>45657</v>
      </c>
      <c r="C103" s="17" t="s">
        <v>104</v>
      </c>
      <c r="D103" s="46">
        <f t="shared" si="20"/>
        <v>0</v>
      </c>
      <c r="E103" s="16"/>
      <c r="F103" s="51">
        <v>1</v>
      </c>
      <c r="G103" s="16" t="s">
        <v>159</v>
      </c>
      <c r="H103" s="16" t="s">
        <v>155</v>
      </c>
      <c r="I103" s="46">
        <f ca="1">IF(H103=Forecast!$H$195,T103,IF(H103=Forecast!$H$196,BO103,IF(H103=Forecast!$H$197,SUM(T103:BO103),IF(H103=Forecast!$H$198,AVERAGE(T103:BO103),0))))</f>
        <v>3999.0234375</v>
      </c>
      <c r="J103" s="16"/>
      <c r="K103" s="16"/>
      <c r="L103" s="16"/>
      <c r="M103" s="16"/>
      <c r="N103" s="16"/>
      <c r="O103" s="16"/>
      <c r="P103" s="16"/>
      <c r="Q103" s="16"/>
      <c r="R103" s="16"/>
      <c r="S103" s="16"/>
      <c r="T103" s="46">
        <f t="array" ref="T103">IFERROR(IF(INDEX(Historicals!$T59:$BO59,,T$6+$D103*-1)&lt;&gt;"",INDEX(Historicals!$T59:$BO59,,T$6+$D103*-1),$F103*T$46*Historicals!$S59*INDEX($T$44:$BO$44,,T$6-$D103+1)),0)</f>
        <v>2000</v>
      </c>
      <c r="U103" s="46">
        <f t="array" aca="1" ref="U103" ca="1">IFERROR(IF(INDEX(Historicals!$T59:$BO59,,U$6+$D103*-1)&lt;&gt;"",INDEX(Historicals!$T59:$BO59,,U$6+$D103*-1),$F103*U$46*Historicals!$S59*INDEX($T$44:$BO$44,,U$6-$D103+1)),0)</f>
        <v>0</v>
      </c>
      <c r="V103" s="46">
        <f t="array" aca="1" ref="V103" ca="1">IFERROR(IF(INDEX(Historicals!$T59:$BO59,,V$6+$D103*-1)&lt;&gt;"",INDEX(Historicals!$T59:$BO59,,V$6+$D103*-1),$F103*V$46*Historicals!$S59*INDEX($T$44:$BO$44,,V$6-$D103+1)),0)</f>
        <v>1000</v>
      </c>
      <c r="W103" s="46">
        <f t="array" aca="1" ref="W103" ca="1">IFERROR(IF(INDEX(Historicals!$T59:$BO59,,W$6+$D103*-1)&lt;&gt;"",INDEX(Historicals!$T59:$BO59,,W$6+$D103*-1),$F103*W$46*Historicals!$S59*INDEX($T$44:$BO$44,,W$6-$D103+1)),0)</f>
        <v>0</v>
      </c>
      <c r="X103" s="46">
        <f t="array" aca="1" ref="X103" ca="1">IFERROR(IF(INDEX(Historicals!$T59:$BO59,,X$6+$D103*-1)&lt;&gt;"",INDEX(Historicals!$T59:$BO59,,X$6+$D103*-1),$F103*X$46*Historicals!$S59*INDEX($T$44:$BO$44,,X$6-$D103+1)),0)</f>
        <v>0</v>
      </c>
      <c r="Y103" s="46">
        <f t="array" aca="1" ref="Y103" ca="1">IFERROR(IF(INDEX(Historicals!$T59:$BO59,,Y$6+$D103*-1)&lt;&gt;"",INDEX(Historicals!$T59:$BO59,,Y$6+$D103*-1),$F103*Y$46*Historicals!$S59*INDEX($T$44:$BO$44,,Y$6-$D103+1)),0)</f>
        <v>500</v>
      </c>
      <c r="Z103" s="46">
        <f t="array" aca="1" ref="Z103" ca="1">IFERROR(IF(INDEX(Historicals!$T59:$BO59,,Z$6+$D103*-1)&lt;&gt;"",INDEX(Historicals!$T59:$BO59,,Z$6+$D103*-1),$F103*Z$46*Historicals!$S59*INDEX($T$44:$BO$44,,Z$6-$D103+1)),0)</f>
        <v>0</v>
      </c>
      <c r="AA103" s="46">
        <f t="array" aca="1" ref="AA103" ca="1">IFERROR(IF(INDEX(Historicals!$T59:$BO59,,AA$6+$D103*-1)&lt;&gt;"",INDEX(Historicals!$T59:$BO59,,AA$6+$D103*-1),$F103*AA$46*Historicals!$S59*INDEX($T$44:$BO$44,,AA$6-$D103+1)),0)</f>
        <v>0</v>
      </c>
      <c r="AB103" s="46">
        <f t="array" aca="1" ref="AB103" ca="1">IFERROR(IF(INDEX(Historicals!$T59:$BO59,,AB$6+$D103*-1)&lt;&gt;"",INDEX(Historicals!$T59:$BO59,,AB$6+$D103*-1),$F103*AB$46*Historicals!$S59*INDEX($T$44:$BO$44,,AB$6-$D103+1)),0)</f>
        <v>250</v>
      </c>
      <c r="AC103" s="46">
        <f t="array" aca="1" ref="AC103" ca="1">IFERROR(IF(INDEX(Historicals!$T59:$BO59,,AC$6+$D103*-1)&lt;&gt;"",INDEX(Historicals!$T59:$BO59,,AC$6+$D103*-1),$F103*AC$46*Historicals!$S59*INDEX($T$44:$BO$44,,AC$6-$D103+1)),0)</f>
        <v>0</v>
      </c>
      <c r="AD103" s="46">
        <f t="array" aca="1" ref="AD103" ca="1">IFERROR(IF(INDEX(Historicals!$T59:$BO59,,AD$6+$D103*-1)&lt;&gt;"",INDEX(Historicals!$T59:$BO59,,AD$6+$D103*-1),$F103*AD$46*Historicals!$S59*INDEX($T$44:$BO$44,,AD$6-$D103+1)),0)</f>
        <v>0</v>
      </c>
      <c r="AE103" s="46">
        <f t="array" aca="1" ref="AE103" ca="1">IFERROR(IF(INDEX(Historicals!$T59:$BO59,,AE$6+$D103*-1)&lt;&gt;"",INDEX(Historicals!$T59:$BO59,,AE$6+$D103*-1),$F103*AE$46*Historicals!$S59*INDEX($T$44:$BO$44,,AE$6-$D103+1)),0)</f>
        <v>125</v>
      </c>
      <c r="AF103" s="46">
        <f t="array" aca="1" ref="AF103" ca="1">IFERROR(IF(INDEX(Historicals!$T59:$BO59,,AF$6+$D103*-1)&lt;&gt;"",INDEX(Historicals!$T59:$BO59,,AF$6+$D103*-1),$F103*AF$46*Historicals!$S59*INDEX($T$44:$BO$44,,AF$6-$D103+1)),0)</f>
        <v>0</v>
      </c>
      <c r="AG103" s="46">
        <f t="array" aca="1" ref="AG103" ca="1">IFERROR(IF(INDEX(Historicals!$T59:$BO59,,AG$6+$D103*-1)&lt;&gt;"",INDEX(Historicals!$T59:$BO59,,AG$6+$D103*-1),$F103*AG$46*Historicals!$S59*INDEX($T$44:$BO$44,,AG$6-$D103+1)),0)</f>
        <v>0</v>
      </c>
      <c r="AH103" s="46">
        <f t="array" aca="1" ref="AH103" ca="1">IFERROR(IF(INDEX(Historicals!$T59:$BO59,,AH$6+$D103*-1)&lt;&gt;"",INDEX(Historicals!$T59:$BO59,,AH$6+$D103*-1),$F103*AH$46*Historicals!$S59*INDEX($T$44:$BO$44,,AH$6-$D103+1)),0)</f>
        <v>62.5</v>
      </c>
      <c r="AI103" s="46">
        <f t="array" aca="1" ref="AI103" ca="1">IFERROR(IF(INDEX(Historicals!$T59:$BO59,,AI$6+$D103*-1)&lt;&gt;"",INDEX(Historicals!$T59:$BO59,,AI$6+$D103*-1),$F103*AI$46*Historicals!$S59*INDEX($T$44:$BO$44,,AI$6-$D103+1)),0)</f>
        <v>0</v>
      </c>
      <c r="AJ103" s="46">
        <f t="array" aca="1" ref="AJ103" ca="1">IFERROR(IF(INDEX(Historicals!$T59:$BO59,,AJ$6+$D103*-1)&lt;&gt;"",INDEX(Historicals!$T59:$BO59,,AJ$6+$D103*-1),$F103*AJ$46*Historicals!$S59*INDEX($T$44:$BO$44,,AJ$6-$D103+1)),0)</f>
        <v>0</v>
      </c>
      <c r="AK103" s="46">
        <f t="array" aca="1" ref="AK103" ca="1">IFERROR(IF(INDEX(Historicals!$T59:$BO59,,AK$6+$D103*-1)&lt;&gt;"",INDEX(Historicals!$T59:$BO59,,AK$6+$D103*-1),$F103*AK$46*Historicals!$S59*INDEX($T$44:$BO$44,,AK$6-$D103+1)),0)</f>
        <v>31.25</v>
      </c>
      <c r="AL103" s="46">
        <f t="array" aca="1" ref="AL103" ca="1">IFERROR(IF(INDEX(Historicals!$T59:$BO59,,AL$6+$D103*-1)&lt;&gt;"",INDEX(Historicals!$T59:$BO59,,AL$6+$D103*-1),$F103*AL$46*Historicals!$S59*INDEX($T$44:$BO$44,,AL$6-$D103+1)),0)</f>
        <v>0</v>
      </c>
      <c r="AM103" s="46">
        <f t="array" aca="1" ref="AM103" ca="1">IFERROR(IF(INDEX(Historicals!$T59:$BO59,,AM$6+$D103*-1)&lt;&gt;"",INDEX(Historicals!$T59:$BO59,,AM$6+$D103*-1),$F103*AM$46*Historicals!$S59*INDEX($T$44:$BO$44,,AM$6-$D103+1)),0)</f>
        <v>0</v>
      </c>
      <c r="AN103" s="46">
        <f t="array" aca="1" ref="AN103" ca="1">IFERROR(IF(INDEX(Historicals!$T59:$BO59,,AN$6+$D103*-1)&lt;&gt;"",INDEX(Historicals!$T59:$BO59,,AN$6+$D103*-1),$F103*AN$46*Historicals!$S59*INDEX($T$44:$BO$44,,AN$6-$D103+1)),0)</f>
        <v>15.625</v>
      </c>
      <c r="AO103" s="46">
        <f t="array" aca="1" ref="AO103" ca="1">IFERROR(IF(INDEX(Historicals!$T59:$BO59,,AO$6+$D103*-1)&lt;&gt;"",INDEX(Historicals!$T59:$BO59,,AO$6+$D103*-1),$F103*AO$46*Historicals!$S59*INDEX($T$44:$BO$44,,AO$6-$D103+1)),0)</f>
        <v>0</v>
      </c>
      <c r="AP103" s="46">
        <f t="array" aca="1" ref="AP103" ca="1">IFERROR(IF(INDEX(Historicals!$T59:$BO59,,AP$6+$D103*-1)&lt;&gt;"",INDEX(Historicals!$T59:$BO59,,AP$6+$D103*-1),$F103*AP$46*Historicals!$S59*INDEX($T$44:$BO$44,,AP$6-$D103+1)),0)</f>
        <v>0</v>
      </c>
      <c r="AQ103" s="46">
        <f t="array" aca="1" ref="AQ103" ca="1">IFERROR(IF(INDEX(Historicals!$T59:$BO59,,AQ$6+$D103*-1)&lt;&gt;"",INDEX(Historicals!$T59:$BO59,,AQ$6+$D103*-1),$F103*AQ$46*Historicals!$S59*INDEX($T$44:$BO$44,,AQ$6-$D103+1)),0)</f>
        <v>7.8125</v>
      </c>
      <c r="AR103" s="46">
        <f t="array" aca="1" ref="AR103" ca="1">IFERROR(IF(INDEX(Historicals!$T59:$BO59,,AR$6+$D103*-1)&lt;&gt;"",INDEX(Historicals!$T59:$BO59,,AR$6+$D103*-1),$F103*AR$46*Historicals!$S59*INDEX($T$44:$BO$44,,AR$6-$D103+1)),0)</f>
        <v>0</v>
      </c>
      <c r="AS103" s="46">
        <f t="array" aca="1" ref="AS103" ca="1">IFERROR(IF(INDEX(Historicals!$T59:$BO59,,AS$6+$D103*-1)&lt;&gt;"",INDEX(Historicals!$T59:$BO59,,AS$6+$D103*-1),$F103*AS$46*Historicals!$S59*INDEX($T$44:$BO$44,,AS$6-$D103+1)),0)</f>
        <v>0</v>
      </c>
      <c r="AT103" s="46">
        <f t="array" aca="1" ref="AT103" ca="1">IFERROR(IF(INDEX(Historicals!$T59:$BO59,,AT$6+$D103*-1)&lt;&gt;"",INDEX(Historicals!$T59:$BO59,,AT$6+$D103*-1),$F103*AT$46*Historicals!$S59*INDEX($T$44:$BO$44,,AT$6-$D103+1)),0)</f>
        <v>3.90625</v>
      </c>
      <c r="AU103" s="46">
        <f t="array" aca="1" ref="AU103" ca="1">IFERROR(IF(INDEX(Historicals!$T59:$BO59,,AU$6+$D103*-1)&lt;&gt;"",INDEX(Historicals!$T59:$BO59,,AU$6+$D103*-1),$F103*AU$46*Historicals!$S59*INDEX($T$44:$BO$44,,AU$6-$D103+1)),0)</f>
        <v>0</v>
      </c>
      <c r="AV103" s="46">
        <f t="array" aca="1" ref="AV103" ca="1">IFERROR(IF(INDEX(Historicals!$T59:$BO59,,AV$6+$D103*-1)&lt;&gt;"",INDEX(Historicals!$T59:$BO59,,AV$6+$D103*-1),$F103*AV$46*Historicals!$S59*INDEX($T$44:$BO$44,,AV$6-$D103+1)),0)</f>
        <v>0</v>
      </c>
      <c r="AW103" s="46">
        <f t="array" aca="1" ref="AW103" ca="1">IFERROR(IF(INDEX(Historicals!$T59:$BO59,,AW$6+$D103*-1)&lt;&gt;"",INDEX(Historicals!$T59:$BO59,,AW$6+$D103*-1),$F103*AW$46*Historicals!$S59*INDEX($T$44:$BO$44,,AW$6-$D103+1)),0)</f>
        <v>1.953125</v>
      </c>
      <c r="AX103" s="46">
        <f t="array" aca="1" ref="AX103" ca="1">IFERROR(IF(INDEX(Historicals!$T59:$BO59,,AX$6+$D103*-1)&lt;&gt;"",INDEX(Historicals!$T59:$BO59,,AX$6+$D103*-1),$F103*AX$46*Historicals!$S59*INDEX($T$44:$BO$44,,AX$6-$D103+1)),0)</f>
        <v>0</v>
      </c>
      <c r="AY103" s="46">
        <f t="array" aca="1" ref="AY103" ca="1">IFERROR(IF(INDEX(Historicals!$T59:$BO59,,AY$6+$D103*-1)&lt;&gt;"",INDEX(Historicals!$T59:$BO59,,AY$6+$D103*-1),$F103*AY$46*Historicals!$S59*INDEX($T$44:$BO$44,,AY$6-$D103+1)),0)</f>
        <v>0</v>
      </c>
      <c r="AZ103" s="46">
        <f t="array" aca="1" ref="AZ103" ca="1">IFERROR(IF(INDEX(Historicals!$T59:$BO59,,AZ$6+$D103*-1)&lt;&gt;"",INDEX(Historicals!$T59:$BO59,,AZ$6+$D103*-1),$F103*AZ$46*Historicals!$S59*INDEX($T$44:$BO$44,,AZ$6-$D103+1)),0)</f>
        <v>0.9765625</v>
      </c>
      <c r="BA103" s="46">
        <f t="array" aca="1" ref="BA103" ca="1">IFERROR(IF(INDEX(Historicals!$T59:$BO59,,BA$6+$D103*-1)&lt;&gt;"",INDEX(Historicals!$T59:$BO59,,BA$6+$D103*-1),$F103*BA$46*Historicals!$S59*INDEX($T$44:$BO$44,,BA$6-$D103+1)),0)</f>
        <v>0</v>
      </c>
      <c r="BB103" s="46">
        <f t="array" aca="1" ref="BB103" ca="1">IFERROR(IF(INDEX(Historicals!$T59:$BO59,,BB$6+$D103*-1)&lt;&gt;"",INDEX(Historicals!$T59:$BO59,,BB$6+$D103*-1),$F103*BB$46*Historicals!$S59*INDEX($T$44:$BO$44,,BB$6-$D103+1)),0)</f>
        <v>0</v>
      </c>
      <c r="BC103" s="46">
        <f t="array" ref="BC103">IFERROR(IF(INDEX(Historicals!$T59:$BO59,,BC$6+$D103*-1)&lt;&gt;"",INDEX(Historicals!$T59:$BO59,,BC$6+$D103*-1),$F103*BC$46*Historicals!$S59*INDEX($T$44:$BO$44,,BC$6-$D103+1)),0)</f>
        <v>0</v>
      </c>
      <c r="BD103" s="46">
        <f t="array" ref="BD103">IFERROR(IF(INDEX(Historicals!$T59:$BO59,,BD$6+$D103*-1)&lt;&gt;"",INDEX(Historicals!$T59:$BO59,,BD$6+$D103*-1),$F103*BD$46*Historicals!$S59*INDEX($T$44:$BO$44,,BD$6-$D103+1)),0)</f>
        <v>0</v>
      </c>
      <c r="BE103" s="46">
        <f t="array" ref="BE103">IFERROR(IF(INDEX(Historicals!$T59:$BO59,,BE$6+$D103*-1)&lt;&gt;"",INDEX(Historicals!$T59:$BO59,,BE$6+$D103*-1),$F103*BE$46*Historicals!$S59*INDEX($T$44:$BO$44,,BE$6-$D103+1)),0)</f>
        <v>0</v>
      </c>
      <c r="BF103" s="46">
        <f t="array" ref="BF103">IFERROR(IF(INDEX(Historicals!$T59:$BO59,,BF$6+$D103*-1)&lt;&gt;"",INDEX(Historicals!$T59:$BO59,,BF$6+$D103*-1),$F103*BF$46*Historicals!$S59*INDEX($T$44:$BO$44,,BF$6-$D103+1)),0)</f>
        <v>0</v>
      </c>
      <c r="BG103" s="46">
        <f t="array" ref="BG103">IFERROR(IF(INDEX(Historicals!$T59:$BO59,,BG$6+$D103*-1)&lt;&gt;"",INDEX(Historicals!$T59:$BO59,,BG$6+$D103*-1),$F103*BG$46*Historicals!$S59*INDEX($T$44:$BO$44,,BG$6-$D103+1)),0)</f>
        <v>0</v>
      </c>
      <c r="BH103" s="46">
        <f t="array" ref="BH103">IFERROR(IF(INDEX(Historicals!$T59:$BO59,,BH$6+$D103*-1)&lt;&gt;"",INDEX(Historicals!$T59:$BO59,,BH$6+$D103*-1),$F103*BH$46*Historicals!$S59*INDEX($T$44:$BO$44,,BH$6-$D103+1)),0)</f>
        <v>0</v>
      </c>
      <c r="BI103" s="46">
        <f t="array" ref="BI103">IFERROR(IF(INDEX(Historicals!$T59:$BO59,,BI$6+$D103*-1)&lt;&gt;"",INDEX(Historicals!$T59:$BO59,,BI$6+$D103*-1),$F103*BI$46*Historicals!$S59*INDEX($T$44:$BO$44,,BI$6-$D103+1)),0)</f>
        <v>0</v>
      </c>
      <c r="BJ103" s="46">
        <f t="array" ref="BJ103">IFERROR(IF(INDEX(Historicals!$T59:$BO59,,BJ$6+$D103*-1)&lt;&gt;"",INDEX(Historicals!$T59:$BO59,,BJ$6+$D103*-1),$F103*BJ$46*Historicals!$S59*INDEX($T$44:$BO$44,,BJ$6-$D103+1)),0)</f>
        <v>0</v>
      </c>
      <c r="BK103" s="46">
        <f t="array" ref="BK103">IFERROR(IF(INDEX(Historicals!$T59:$BO59,,BK$6+$D103*-1)&lt;&gt;"",INDEX(Historicals!$T59:$BO59,,BK$6+$D103*-1),$F103*BK$46*Historicals!$S59*INDEX($T$44:$BO$44,,BK$6-$D103+1)),0)</f>
        <v>0</v>
      </c>
      <c r="BL103" s="46">
        <f t="array" ref="BL103">IFERROR(IF(INDEX(Historicals!$T59:$BO59,,BL$6+$D103*-1)&lt;&gt;"",INDEX(Historicals!$T59:$BO59,,BL$6+$D103*-1),$F103*BL$46*Historicals!$S59*INDEX($T$44:$BO$44,,BL$6-$D103+1)),0)</f>
        <v>0</v>
      </c>
      <c r="BM103" s="46">
        <f t="array" ref="BM103">IFERROR(IF(INDEX(Historicals!$T59:$BO59,,BM$6+$D103*-1)&lt;&gt;"",INDEX(Historicals!$T59:$BO59,,BM$6+$D103*-1),$F103*BM$46*Historicals!$S59*INDEX($T$44:$BO$44,,BM$6-$D103+1)),0)</f>
        <v>0</v>
      </c>
      <c r="BN103" s="46">
        <f t="array" ref="BN103">IFERROR(IF(INDEX(Historicals!$T59:$BO59,,BN$6+$D103*-1)&lt;&gt;"",INDEX(Historicals!$T59:$BO59,,BN$6+$D103*-1),$F103*BN$46*Historicals!$S59*INDEX($T$44:$BO$44,,BN$6-$D103+1)),0)</f>
        <v>0</v>
      </c>
      <c r="BO103" s="46">
        <f t="array" ref="BO103">IFERROR(IF(INDEX(Historicals!$T59:$BO59,,BO$6+$D103*-1)&lt;&gt;"",INDEX(Historicals!$T59:$BO59,,BO$6+$D103*-1),$F103*BO$46*Historicals!$S59*INDEX($T$44:$BO$44,,BO$6-$D103+1)),0)</f>
        <v>0</v>
      </c>
    </row>
    <row r="104" spans="1:67" ht="16.5" hidden="1" customHeight="1" outlineLevel="1">
      <c r="A104" s="1"/>
      <c r="B104" s="55">
        <f t="shared" ref="B104:B151" si="21">INDEX(T$4:BO$4,,D104)</f>
        <v>45688</v>
      </c>
      <c r="C104" s="17" t="s">
        <v>104</v>
      </c>
      <c r="D104" s="46">
        <v>1</v>
      </c>
      <c r="E104" s="16"/>
      <c r="F104" s="51">
        <v>1</v>
      </c>
      <c r="G104" s="16" t="s">
        <v>159</v>
      </c>
      <c r="H104" s="16" t="s">
        <v>155</v>
      </c>
      <c r="I104" s="46">
        <f ca="1">IF(H104=Forecast!$H$195,T104,IF(H104=Forecast!$H$196,BO104,IF(H104=Forecast!$H$197,SUM(T104:BO104),IF(H104=Forecast!$H$198,AVERAGE(T104:BO104),0))))</f>
        <v>1099.9832153320312</v>
      </c>
      <c r="J104" s="16"/>
      <c r="K104" s="16"/>
      <c r="L104" s="16"/>
      <c r="M104" s="16"/>
      <c r="N104" s="16"/>
      <c r="O104" s="16"/>
      <c r="P104" s="16"/>
      <c r="Q104" s="16"/>
      <c r="R104" s="16"/>
      <c r="S104" s="16"/>
      <c r="T104" s="46">
        <f t="shared" ref="T104:BO104" ca="1" si="22">IF(T$6&lt;$D104,0,INDEX($T$44:$BO$44,,T$6-$D104+1)*INDEX($T$52:$BO$52,,$D104)*IF(T$6=$D104,1,$F104)*T$46)</f>
        <v>550</v>
      </c>
      <c r="U104" s="46">
        <f t="shared" ca="1" si="22"/>
        <v>0</v>
      </c>
      <c r="V104" s="46">
        <f t="shared" ca="1" si="22"/>
        <v>0</v>
      </c>
      <c r="W104" s="46">
        <f t="shared" ca="1" si="22"/>
        <v>275</v>
      </c>
      <c r="X104" s="46">
        <f t="shared" ca="1" si="22"/>
        <v>0</v>
      </c>
      <c r="Y104" s="46">
        <f t="shared" ca="1" si="22"/>
        <v>0</v>
      </c>
      <c r="Z104" s="46">
        <f t="shared" ca="1" si="22"/>
        <v>137.5</v>
      </c>
      <c r="AA104" s="46">
        <f t="shared" ca="1" si="22"/>
        <v>0</v>
      </c>
      <c r="AB104" s="46">
        <f t="shared" ca="1" si="22"/>
        <v>0</v>
      </c>
      <c r="AC104" s="46">
        <f t="shared" ca="1" si="22"/>
        <v>68.75</v>
      </c>
      <c r="AD104" s="46">
        <f t="shared" ca="1" si="22"/>
        <v>0</v>
      </c>
      <c r="AE104" s="46">
        <f t="shared" ca="1" si="22"/>
        <v>0</v>
      </c>
      <c r="AF104" s="46">
        <f t="shared" ca="1" si="22"/>
        <v>34.375</v>
      </c>
      <c r="AG104" s="46">
        <f t="shared" ca="1" si="22"/>
        <v>0</v>
      </c>
      <c r="AH104" s="46">
        <f t="shared" ca="1" si="22"/>
        <v>0</v>
      </c>
      <c r="AI104" s="46">
        <f t="shared" ca="1" si="22"/>
        <v>17.1875</v>
      </c>
      <c r="AJ104" s="46">
        <f t="shared" ca="1" si="22"/>
        <v>0</v>
      </c>
      <c r="AK104" s="46">
        <f t="shared" ca="1" si="22"/>
        <v>0</v>
      </c>
      <c r="AL104" s="46">
        <f t="shared" ca="1" si="22"/>
        <v>8.59375</v>
      </c>
      <c r="AM104" s="46">
        <f t="shared" ca="1" si="22"/>
        <v>0</v>
      </c>
      <c r="AN104" s="46">
        <f t="shared" ca="1" si="22"/>
        <v>0</v>
      </c>
      <c r="AO104" s="46">
        <f t="shared" ca="1" si="22"/>
        <v>4.296875</v>
      </c>
      <c r="AP104" s="46">
        <f t="shared" ca="1" si="22"/>
        <v>0</v>
      </c>
      <c r="AQ104" s="46">
        <f t="shared" ca="1" si="22"/>
        <v>0</v>
      </c>
      <c r="AR104" s="46">
        <f t="shared" ca="1" si="22"/>
        <v>2.1484375</v>
      </c>
      <c r="AS104" s="46">
        <f t="shared" ca="1" si="22"/>
        <v>0</v>
      </c>
      <c r="AT104" s="46">
        <f t="shared" ca="1" si="22"/>
        <v>0</v>
      </c>
      <c r="AU104" s="46">
        <f t="shared" ca="1" si="22"/>
        <v>1.07421875</v>
      </c>
      <c r="AV104" s="46">
        <f t="shared" ca="1" si="22"/>
        <v>0</v>
      </c>
      <c r="AW104" s="46">
        <f t="shared" ca="1" si="22"/>
        <v>0</v>
      </c>
      <c r="AX104" s="46">
        <f t="shared" ca="1" si="22"/>
        <v>0.537109375</v>
      </c>
      <c r="AY104" s="46">
        <f t="shared" ca="1" si="22"/>
        <v>0</v>
      </c>
      <c r="AZ104" s="46">
        <f t="shared" ca="1" si="22"/>
        <v>0</v>
      </c>
      <c r="BA104" s="46">
        <f t="shared" ca="1" si="22"/>
        <v>0.2685546875</v>
      </c>
      <c r="BB104" s="46">
        <f t="shared" ca="1" si="22"/>
        <v>0</v>
      </c>
      <c r="BC104" s="46">
        <f t="shared" ca="1" si="22"/>
        <v>0</v>
      </c>
      <c r="BD104" s="46">
        <f t="shared" ca="1" si="22"/>
        <v>0.13427734375</v>
      </c>
      <c r="BE104" s="46">
        <f t="shared" ca="1" si="22"/>
        <v>0</v>
      </c>
      <c r="BF104" s="46">
        <f t="shared" ca="1" si="22"/>
        <v>0</v>
      </c>
      <c r="BG104" s="46">
        <f t="shared" ca="1" si="22"/>
        <v>6.7138671875E-2</v>
      </c>
      <c r="BH104" s="46">
        <f t="shared" ca="1" si="22"/>
        <v>0</v>
      </c>
      <c r="BI104" s="46">
        <f t="shared" ca="1" si="22"/>
        <v>0</v>
      </c>
      <c r="BJ104" s="46">
        <f t="shared" ca="1" si="22"/>
        <v>3.35693359375E-2</v>
      </c>
      <c r="BK104" s="46">
        <f t="shared" ca="1" si="22"/>
        <v>0</v>
      </c>
      <c r="BL104" s="46">
        <f t="shared" ca="1" si="22"/>
        <v>0</v>
      </c>
      <c r="BM104" s="46">
        <f t="shared" ca="1" si="22"/>
        <v>1.678466796875E-2</v>
      </c>
      <c r="BN104" s="46">
        <f t="shared" ca="1" si="22"/>
        <v>0</v>
      </c>
      <c r="BO104" s="46">
        <f t="shared" ca="1" si="22"/>
        <v>0</v>
      </c>
    </row>
    <row r="105" spans="1:67" ht="16.5" hidden="1" customHeight="1" outlineLevel="1">
      <c r="A105" s="1"/>
      <c r="B105" s="55">
        <f t="shared" si="21"/>
        <v>45716</v>
      </c>
      <c r="C105" s="17" t="s">
        <v>104</v>
      </c>
      <c r="D105" s="46">
        <f t="shared" ref="D105:D151" si="23">D104+1</f>
        <v>2</v>
      </c>
      <c r="E105" s="16"/>
      <c r="F105" s="51">
        <f t="shared" ref="F105:F151" si="24">F104</f>
        <v>1</v>
      </c>
      <c r="G105" s="16" t="s">
        <v>159</v>
      </c>
      <c r="H105" s="16" t="s">
        <v>155</v>
      </c>
      <c r="I105" s="46">
        <f ca="1">IF(H105=Forecast!$H$195,T105,IF(H105=Forecast!$H$196,BO105,IF(H105=Forecast!$H$197,SUM(T105:BO105),IF(H105=Forecast!$H$198,AVERAGE(T105:BO105),0))))</f>
        <v>1941.4703750610354</v>
      </c>
      <c r="J105" s="16"/>
      <c r="K105" s="16"/>
      <c r="L105" s="16"/>
      <c r="M105" s="16"/>
      <c r="N105" s="16"/>
      <c r="O105" s="16"/>
      <c r="P105" s="16"/>
      <c r="Q105" s="16"/>
      <c r="R105" s="16"/>
      <c r="S105" s="16"/>
      <c r="T105" s="46">
        <f t="shared" ref="T105:BO105" si="25">IF(T$6&lt;$D105,0,INDEX($T$44:$BO$44,,T$6-$D105+1)*INDEX($T$52:$BO$52,,$D105)*IF(T$6=$D105,1,$F105)*T$46)</f>
        <v>0</v>
      </c>
      <c r="U105" s="46">
        <f t="shared" ca="1" si="25"/>
        <v>970.75000000000011</v>
      </c>
      <c r="V105" s="46">
        <f t="shared" ca="1" si="25"/>
        <v>0</v>
      </c>
      <c r="W105" s="46">
        <f t="shared" ca="1" si="25"/>
        <v>0</v>
      </c>
      <c r="X105" s="46">
        <f t="shared" ca="1" si="25"/>
        <v>485.37500000000006</v>
      </c>
      <c r="Y105" s="46">
        <f t="shared" ca="1" si="25"/>
        <v>0</v>
      </c>
      <c r="Z105" s="46">
        <f t="shared" ca="1" si="25"/>
        <v>0</v>
      </c>
      <c r="AA105" s="46">
        <f t="shared" ca="1" si="25"/>
        <v>242.68750000000003</v>
      </c>
      <c r="AB105" s="46">
        <f t="shared" ca="1" si="25"/>
        <v>0</v>
      </c>
      <c r="AC105" s="46">
        <f t="shared" ca="1" si="25"/>
        <v>0</v>
      </c>
      <c r="AD105" s="46">
        <f t="shared" ca="1" si="25"/>
        <v>121.34375000000001</v>
      </c>
      <c r="AE105" s="46">
        <f t="shared" ca="1" si="25"/>
        <v>0</v>
      </c>
      <c r="AF105" s="46">
        <f t="shared" ca="1" si="25"/>
        <v>0</v>
      </c>
      <c r="AG105" s="46">
        <f t="shared" ca="1" si="25"/>
        <v>60.671875000000007</v>
      </c>
      <c r="AH105" s="46">
        <f t="shared" ca="1" si="25"/>
        <v>0</v>
      </c>
      <c r="AI105" s="46">
        <f t="shared" ca="1" si="25"/>
        <v>0</v>
      </c>
      <c r="AJ105" s="46">
        <f t="shared" ca="1" si="25"/>
        <v>30.335937500000004</v>
      </c>
      <c r="AK105" s="46">
        <f t="shared" ca="1" si="25"/>
        <v>0</v>
      </c>
      <c r="AL105" s="46">
        <f t="shared" ca="1" si="25"/>
        <v>0</v>
      </c>
      <c r="AM105" s="46">
        <f t="shared" ca="1" si="25"/>
        <v>15.167968750000002</v>
      </c>
      <c r="AN105" s="46">
        <f t="shared" ca="1" si="25"/>
        <v>0</v>
      </c>
      <c r="AO105" s="46">
        <f t="shared" ca="1" si="25"/>
        <v>0</v>
      </c>
      <c r="AP105" s="46">
        <f t="shared" ca="1" si="25"/>
        <v>7.5839843750000009</v>
      </c>
      <c r="AQ105" s="46">
        <f t="shared" ca="1" si="25"/>
        <v>0</v>
      </c>
      <c r="AR105" s="46">
        <f t="shared" ca="1" si="25"/>
        <v>0</v>
      </c>
      <c r="AS105" s="46">
        <f t="shared" ca="1" si="25"/>
        <v>3.7919921875000004</v>
      </c>
      <c r="AT105" s="46">
        <f t="shared" ca="1" si="25"/>
        <v>0</v>
      </c>
      <c r="AU105" s="46">
        <f t="shared" ca="1" si="25"/>
        <v>0</v>
      </c>
      <c r="AV105" s="46">
        <f t="shared" ca="1" si="25"/>
        <v>1.8959960937500002</v>
      </c>
      <c r="AW105" s="46">
        <f t="shared" ca="1" si="25"/>
        <v>0</v>
      </c>
      <c r="AX105" s="46">
        <f t="shared" ca="1" si="25"/>
        <v>0</v>
      </c>
      <c r="AY105" s="46">
        <f t="shared" ca="1" si="25"/>
        <v>0.94799804687500011</v>
      </c>
      <c r="AZ105" s="46">
        <f t="shared" ca="1" si="25"/>
        <v>0</v>
      </c>
      <c r="BA105" s="46">
        <f t="shared" ca="1" si="25"/>
        <v>0</v>
      </c>
      <c r="BB105" s="46">
        <f t="shared" ca="1" si="25"/>
        <v>0.47399902343750006</v>
      </c>
      <c r="BC105" s="46">
        <f t="shared" ca="1" si="25"/>
        <v>0</v>
      </c>
      <c r="BD105" s="46">
        <f t="shared" ca="1" si="25"/>
        <v>0</v>
      </c>
      <c r="BE105" s="46">
        <f t="shared" ca="1" si="25"/>
        <v>0.23699951171875003</v>
      </c>
      <c r="BF105" s="46">
        <f t="shared" ca="1" si="25"/>
        <v>0</v>
      </c>
      <c r="BG105" s="46">
        <f t="shared" ca="1" si="25"/>
        <v>0</v>
      </c>
      <c r="BH105" s="46">
        <f t="shared" ca="1" si="25"/>
        <v>0.11849975585937501</v>
      </c>
      <c r="BI105" s="46">
        <f t="shared" ca="1" si="25"/>
        <v>0</v>
      </c>
      <c r="BJ105" s="46">
        <f t="shared" ca="1" si="25"/>
        <v>0</v>
      </c>
      <c r="BK105" s="46">
        <f t="shared" ca="1" si="25"/>
        <v>5.9249877929687507E-2</v>
      </c>
      <c r="BL105" s="46">
        <f t="shared" ca="1" si="25"/>
        <v>0</v>
      </c>
      <c r="BM105" s="46">
        <f t="shared" ca="1" si="25"/>
        <v>0</v>
      </c>
      <c r="BN105" s="46">
        <f t="shared" ca="1" si="25"/>
        <v>2.9624938964843753E-2</v>
      </c>
      <c r="BO105" s="46">
        <f t="shared" ca="1" si="25"/>
        <v>0</v>
      </c>
    </row>
    <row r="106" spans="1:67" ht="16.5" hidden="1" customHeight="1" outlineLevel="1">
      <c r="A106" s="1"/>
      <c r="B106" s="55">
        <f t="shared" si="21"/>
        <v>45747</v>
      </c>
      <c r="C106" s="17" t="s">
        <v>104</v>
      </c>
      <c r="D106" s="46">
        <f t="shared" si="23"/>
        <v>3</v>
      </c>
      <c r="E106" s="16"/>
      <c r="F106" s="51">
        <f t="shared" si="24"/>
        <v>1</v>
      </c>
      <c r="G106" s="16" t="s">
        <v>159</v>
      </c>
      <c r="H106" s="16" t="s">
        <v>155</v>
      </c>
      <c r="I106" s="46">
        <f ca="1">IF(H106=Forecast!$H$195,T106,IF(H106=Forecast!$H$196,BO106,IF(H106=Forecast!$H$197,SUM(T106:BO106),IF(H106=Forecast!$H$198,AVERAGE(T106:BO106),0))))</f>
        <v>3203.9114864444737</v>
      </c>
      <c r="J106" s="16"/>
      <c r="K106" s="16"/>
      <c r="L106" s="16"/>
      <c r="M106" s="16"/>
      <c r="N106" s="16"/>
      <c r="O106" s="16"/>
      <c r="P106" s="16"/>
      <c r="Q106" s="16"/>
      <c r="R106" s="16"/>
      <c r="S106" s="16"/>
      <c r="T106" s="46">
        <f t="shared" ref="T106:BO106" si="26">IF(T$6&lt;$D106,0,INDEX($T$44:$BO$44,,T$6-$D106+1)*INDEX($T$52:$BO$52,,$D106)*IF(T$6=$D106,1,$F106)*T$46)</f>
        <v>0</v>
      </c>
      <c r="U106" s="46">
        <f t="shared" si="26"/>
        <v>0</v>
      </c>
      <c r="V106" s="46">
        <f t="shared" ca="1" si="26"/>
        <v>1601.9801875000003</v>
      </c>
      <c r="W106" s="46">
        <f t="shared" ca="1" si="26"/>
        <v>0</v>
      </c>
      <c r="X106" s="46">
        <f t="shared" ca="1" si="26"/>
        <v>0</v>
      </c>
      <c r="Y106" s="46">
        <f t="shared" ca="1" si="26"/>
        <v>800.99009375000014</v>
      </c>
      <c r="Z106" s="46">
        <f t="shared" ca="1" si="26"/>
        <v>0</v>
      </c>
      <c r="AA106" s="46">
        <f t="shared" ca="1" si="26"/>
        <v>0</v>
      </c>
      <c r="AB106" s="46">
        <f t="shared" ca="1" si="26"/>
        <v>400.49504687500007</v>
      </c>
      <c r="AC106" s="46">
        <f t="shared" ca="1" si="26"/>
        <v>0</v>
      </c>
      <c r="AD106" s="46">
        <f t="shared" ca="1" si="26"/>
        <v>0</v>
      </c>
      <c r="AE106" s="46">
        <f t="shared" ca="1" si="26"/>
        <v>200.24752343750004</v>
      </c>
      <c r="AF106" s="46">
        <f t="shared" ca="1" si="26"/>
        <v>0</v>
      </c>
      <c r="AG106" s="46">
        <f t="shared" ca="1" si="26"/>
        <v>0</v>
      </c>
      <c r="AH106" s="46">
        <f t="shared" ca="1" si="26"/>
        <v>100.12376171875002</v>
      </c>
      <c r="AI106" s="46">
        <f t="shared" ca="1" si="26"/>
        <v>0</v>
      </c>
      <c r="AJ106" s="46">
        <f t="shared" ca="1" si="26"/>
        <v>0</v>
      </c>
      <c r="AK106" s="46">
        <f t="shared" ca="1" si="26"/>
        <v>50.061880859375009</v>
      </c>
      <c r="AL106" s="46">
        <f t="shared" ca="1" si="26"/>
        <v>0</v>
      </c>
      <c r="AM106" s="46">
        <f t="shared" ca="1" si="26"/>
        <v>0</v>
      </c>
      <c r="AN106" s="46">
        <f t="shared" ca="1" si="26"/>
        <v>25.030940429687504</v>
      </c>
      <c r="AO106" s="46">
        <f t="shared" ca="1" si="26"/>
        <v>0</v>
      </c>
      <c r="AP106" s="46">
        <f t="shared" ca="1" si="26"/>
        <v>0</v>
      </c>
      <c r="AQ106" s="46">
        <f t="shared" ca="1" si="26"/>
        <v>12.515470214843752</v>
      </c>
      <c r="AR106" s="46">
        <f t="shared" ca="1" si="26"/>
        <v>0</v>
      </c>
      <c r="AS106" s="46">
        <f t="shared" ca="1" si="26"/>
        <v>0</v>
      </c>
      <c r="AT106" s="46">
        <f t="shared" ca="1" si="26"/>
        <v>6.2577351074218761</v>
      </c>
      <c r="AU106" s="46">
        <f t="shared" ca="1" si="26"/>
        <v>0</v>
      </c>
      <c r="AV106" s="46">
        <f t="shared" ca="1" si="26"/>
        <v>0</v>
      </c>
      <c r="AW106" s="46">
        <f t="shared" ca="1" si="26"/>
        <v>3.1288675537109381</v>
      </c>
      <c r="AX106" s="46">
        <f t="shared" ca="1" si="26"/>
        <v>0</v>
      </c>
      <c r="AY106" s="46">
        <f t="shared" ca="1" si="26"/>
        <v>0</v>
      </c>
      <c r="AZ106" s="46">
        <f t="shared" ca="1" si="26"/>
        <v>1.564433776855469</v>
      </c>
      <c r="BA106" s="46">
        <f t="shared" ca="1" si="26"/>
        <v>0</v>
      </c>
      <c r="BB106" s="46">
        <f t="shared" ca="1" si="26"/>
        <v>0</v>
      </c>
      <c r="BC106" s="46">
        <f t="shared" ca="1" si="26"/>
        <v>0.78221688842773451</v>
      </c>
      <c r="BD106" s="46">
        <f t="shared" ca="1" si="26"/>
        <v>0</v>
      </c>
      <c r="BE106" s="46">
        <f t="shared" ca="1" si="26"/>
        <v>0</v>
      </c>
      <c r="BF106" s="46">
        <f t="shared" ca="1" si="26"/>
        <v>0.39110844421386726</v>
      </c>
      <c r="BG106" s="46">
        <f t="shared" ca="1" si="26"/>
        <v>0</v>
      </c>
      <c r="BH106" s="46">
        <f t="shared" ca="1" si="26"/>
        <v>0</v>
      </c>
      <c r="BI106" s="46">
        <f t="shared" ca="1" si="26"/>
        <v>0.19555422210693363</v>
      </c>
      <c r="BJ106" s="46">
        <f t="shared" ca="1" si="26"/>
        <v>0</v>
      </c>
      <c r="BK106" s="46">
        <f t="shared" ca="1" si="26"/>
        <v>0</v>
      </c>
      <c r="BL106" s="46">
        <f t="shared" ca="1" si="26"/>
        <v>9.7777111053466814E-2</v>
      </c>
      <c r="BM106" s="46">
        <f t="shared" ca="1" si="26"/>
        <v>0</v>
      </c>
      <c r="BN106" s="46">
        <f t="shared" ca="1" si="26"/>
        <v>0</v>
      </c>
      <c r="BO106" s="46">
        <f t="shared" ca="1" si="26"/>
        <v>4.8888555526733407E-2</v>
      </c>
    </row>
    <row r="107" spans="1:67" ht="16.5" hidden="1" customHeight="1" outlineLevel="1">
      <c r="A107" s="1"/>
      <c r="B107" s="55">
        <f t="shared" si="21"/>
        <v>45777</v>
      </c>
      <c r="C107" s="17" t="s">
        <v>104</v>
      </c>
      <c r="D107" s="46">
        <f t="shared" si="23"/>
        <v>4</v>
      </c>
      <c r="E107" s="16"/>
      <c r="F107" s="51">
        <f t="shared" si="24"/>
        <v>1</v>
      </c>
      <c r="G107" s="16" t="s">
        <v>159</v>
      </c>
      <c r="H107" s="16" t="s">
        <v>155</v>
      </c>
      <c r="I107" s="46">
        <f ca="1">IF(H107=Forecast!$H$195,T107,IF(H107=Forecast!$H$196,BO107,IF(H107=Forecast!$H$197,SUM(T107:BO107),IF(H107=Forecast!$H$198,AVERAGE(T107:BO107),0))))</f>
        <v>4974.6775040246412</v>
      </c>
      <c r="J107" s="16"/>
      <c r="K107" s="16"/>
      <c r="L107" s="16"/>
      <c r="M107" s="16"/>
      <c r="N107" s="16"/>
      <c r="O107" s="16"/>
      <c r="P107" s="16"/>
      <c r="Q107" s="16"/>
      <c r="R107" s="16"/>
      <c r="S107" s="16"/>
      <c r="T107" s="46">
        <f t="shared" ref="T107:BO107" si="27">IF(T$6&lt;$D107,0,INDEX($T$44:$BO$44,,T$6-$D107+1)*INDEX($T$52:$BO$52,,$D107)*IF(T$6=$D107,1,$F107)*T$46)</f>
        <v>0</v>
      </c>
      <c r="U107" s="46">
        <f t="shared" si="27"/>
        <v>0</v>
      </c>
      <c r="V107" s="46">
        <f t="shared" si="27"/>
        <v>0</v>
      </c>
      <c r="W107" s="46">
        <f t="shared" ca="1" si="27"/>
        <v>2487.4146618835939</v>
      </c>
      <c r="X107" s="46">
        <f t="shared" ca="1" si="27"/>
        <v>0</v>
      </c>
      <c r="Y107" s="46">
        <f t="shared" ca="1" si="27"/>
        <v>0</v>
      </c>
      <c r="Z107" s="46">
        <f t="shared" ca="1" si="27"/>
        <v>1243.707330941797</v>
      </c>
      <c r="AA107" s="46">
        <f t="shared" ca="1" si="27"/>
        <v>0</v>
      </c>
      <c r="AB107" s="46">
        <f t="shared" ca="1" si="27"/>
        <v>0</v>
      </c>
      <c r="AC107" s="46">
        <f t="shared" ca="1" si="27"/>
        <v>621.85366547089848</v>
      </c>
      <c r="AD107" s="46">
        <f t="shared" ca="1" si="27"/>
        <v>0</v>
      </c>
      <c r="AE107" s="46">
        <f t="shared" ca="1" si="27"/>
        <v>0</v>
      </c>
      <c r="AF107" s="46">
        <f t="shared" ca="1" si="27"/>
        <v>310.92683273544924</v>
      </c>
      <c r="AG107" s="46">
        <f t="shared" ca="1" si="27"/>
        <v>0</v>
      </c>
      <c r="AH107" s="46">
        <f t="shared" ca="1" si="27"/>
        <v>0</v>
      </c>
      <c r="AI107" s="46">
        <f t="shared" ca="1" si="27"/>
        <v>155.46341636772462</v>
      </c>
      <c r="AJ107" s="46">
        <f t="shared" ca="1" si="27"/>
        <v>0</v>
      </c>
      <c r="AK107" s="46">
        <f t="shared" ca="1" si="27"/>
        <v>0</v>
      </c>
      <c r="AL107" s="46">
        <f t="shared" ca="1" si="27"/>
        <v>77.73170818386231</v>
      </c>
      <c r="AM107" s="46">
        <f t="shared" ca="1" si="27"/>
        <v>0</v>
      </c>
      <c r="AN107" s="46">
        <f t="shared" ca="1" si="27"/>
        <v>0</v>
      </c>
      <c r="AO107" s="46">
        <f t="shared" ca="1" si="27"/>
        <v>38.865854091931155</v>
      </c>
      <c r="AP107" s="46">
        <f t="shared" ca="1" si="27"/>
        <v>0</v>
      </c>
      <c r="AQ107" s="46">
        <f t="shared" ca="1" si="27"/>
        <v>0</v>
      </c>
      <c r="AR107" s="46">
        <f t="shared" ca="1" si="27"/>
        <v>19.432927045965577</v>
      </c>
      <c r="AS107" s="46">
        <f t="shared" ca="1" si="27"/>
        <v>0</v>
      </c>
      <c r="AT107" s="46">
        <f t="shared" ca="1" si="27"/>
        <v>0</v>
      </c>
      <c r="AU107" s="46">
        <f t="shared" ca="1" si="27"/>
        <v>9.7164635229827887</v>
      </c>
      <c r="AV107" s="46">
        <f t="shared" ca="1" si="27"/>
        <v>0</v>
      </c>
      <c r="AW107" s="46">
        <f t="shared" ca="1" si="27"/>
        <v>0</v>
      </c>
      <c r="AX107" s="46">
        <f t="shared" ca="1" si="27"/>
        <v>4.8582317614913944</v>
      </c>
      <c r="AY107" s="46">
        <f t="shared" ca="1" si="27"/>
        <v>0</v>
      </c>
      <c r="AZ107" s="46">
        <f t="shared" ca="1" si="27"/>
        <v>0</v>
      </c>
      <c r="BA107" s="46">
        <f t="shared" ca="1" si="27"/>
        <v>2.4291158807456972</v>
      </c>
      <c r="BB107" s="46">
        <f t="shared" ca="1" si="27"/>
        <v>0</v>
      </c>
      <c r="BC107" s="46">
        <f t="shared" ca="1" si="27"/>
        <v>0</v>
      </c>
      <c r="BD107" s="46">
        <f t="shared" ca="1" si="27"/>
        <v>1.2145579403728486</v>
      </c>
      <c r="BE107" s="46">
        <f t="shared" ca="1" si="27"/>
        <v>0</v>
      </c>
      <c r="BF107" s="46">
        <f t="shared" ca="1" si="27"/>
        <v>0</v>
      </c>
      <c r="BG107" s="46">
        <f t="shared" ca="1" si="27"/>
        <v>0.60727897018642429</v>
      </c>
      <c r="BH107" s="46">
        <f t="shared" ca="1" si="27"/>
        <v>0</v>
      </c>
      <c r="BI107" s="46">
        <f t="shared" ca="1" si="27"/>
        <v>0</v>
      </c>
      <c r="BJ107" s="46">
        <f t="shared" ca="1" si="27"/>
        <v>0.30363948509321215</v>
      </c>
      <c r="BK107" s="46">
        <f t="shared" ca="1" si="27"/>
        <v>0</v>
      </c>
      <c r="BL107" s="46">
        <f t="shared" ca="1" si="27"/>
        <v>0</v>
      </c>
      <c r="BM107" s="46">
        <f t="shared" ca="1" si="27"/>
        <v>0.15181974254660607</v>
      </c>
      <c r="BN107" s="46">
        <f t="shared" ca="1" si="27"/>
        <v>0</v>
      </c>
      <c r="BO107" s="46">
        <f t="shared" ca="1" si="27"/>
        <v>0</v>
      </c>
    </row>
    <row r="108" spans="1:67" ht="16.5" hidden="1" customHeight="1" outlineLevel="1">
      <c r="A108" s="1"/>
      <c r="B108" s="55">
        <f t="shared" si="21"/>
        <v>45808</v>
      </c>
      <c r="C108" s="17" t="s">
        <v>104</v>
      </c>
      <c r="D108" s="46">
        <f t="shared" si="23"/>
        <v>5</v>
      </c>
      <c r="E108" s="16"/>
      <c r="F108" s="51">
        <f t="shared" si="24"/>
        <v>1</v>
      </c>
      <c r="G108" s="16" t="s">
        <v>159</v>
      </c>
      <c r="H108" s="16" t="s">
        <v>155</v>
      </c>
      <c r="I108" s="46">
        <f ca="1">IF(H108=Forecast!$H$195,T108,IF(H108=Forecast!$H$196,BO108,IF(H108=Forecast!$H$197,SUM(T108:BO108),IF(H108=Forecast!$H$198,AVERAGE(T108:BO108),0))))</f>
        <v>7311.8089779763768</v>
      </c>
      <c r="J108" s="16"/>
      <c r="K108" s="16"/>
      <c r="L108" s="16"/>
      <c r="M108" s="16"/>
      <c r="N108" s="16"/>
      <c r="O108" s="16"/>
      <c r="P108" s="16"/>
      <c r="Q108" s="16"/>
      <c r="R108" s="16"/>
      <c r="S108" s="16"/>
      <c r="T108" s="46">
        <f t="shared" ref="T108:BO108" si="28">IF(T$6&lt;$D108,0,INDEX($T$44:$BO$44,,T$6-$D108+1)*INDEX($T$52:$BO$52,,$D108)*IF(T$6=$D108,1,$F108)*T$46)</f>
        <v>0</v>
      </c>
      <c r="U108" s="46">
        <f t="shared" si="28"/>
        <v>0</v>
      </c>
      <c r="V108" s="46">
        <f t="shared" si="28"/>
        <v>0</v>
      </c>
      <c r="W108" s="46">
        <f t="shared" si="28"/>
        <v>0</v>
      </c>
      <c r="X108" s="46">
        <f t="shared" ca="1" si="28"/>
        <v>3656.0160617439792</v>
      </c>
      <c r="Y108" s="46">
        <f t="shared" ca="1" si="28"/>
        <v>0</v>
      </c>
      <c r="Z108" s="46">
        <f t="shared" ca="1" si="28"/>
        <v>0</v>
      </c>
      <c r="AA108" s="46">
        <f t="shared" ca="1" si="28"/>
        <v>1828.0080308719896</v>
      </c>
      <c r="AB108" s="46">
        <f t="shared" ca="1" si="28"/>
        <v>0</v>
      </c>
      <c r="AC108" s="46">
        <f t="shared" ca="1" si="28"/>
        <v>0</v>
      </c>
      <c r="AD108" s="46">
        <f t="shared" ca="1" si="28"/>
        <v>914.0040154359948</v>
      </c>
      <c r="AE108" s="46">
        <f t="shared" ca="1" si="28"/>
        <v>0</v>
      </c>
      <c r="AF108" s="46">
        <f t="shared" ca="1" si="28"/>
        <v>0</v>
      </c>
      <c r="AG108" s="46">
        <f t="shared" ca="1" si="28"/>
        <v>457.0020077179974</v>
      </c>
      <c r="AH108" s="46">
        <f t="shared" ca="1" si="28"/>
        <v>0</v>
      </c>
      <c r="AI108" s="46">
        <f t="shared" ca="1" si="28"/>
        <v>0</v>
      </c>
      <c r="AJ108" s="46">
        <f t="shared" ca="1" si="28"/>
        <v>228.5010038589987</v>
      </c>
      <c r="AK108" s="46">
        <f t="shared" ca="1" si="28"/>
        <v>0</v>
      </c>
      <c r="AL108" s="46">
        <f t="shared" ca="1" si="28"/>
        <v>0</v>
      </c>
      <c r="AM108" s="46">
        <f t="shared" ca="1" si="28"/>
        <v>114.25050192949935</v>
      </c>
      <c r="AN108" s="46">
        <f t="shared" ca="1" si="28"/>
        <v>0</v>
      </c>
      <c r="AO108" s="46">
        <f t="shared" ca="1" si="28"/>
        <v>0</v>
      </c>
      <c r="AP108" s="46">
        <f t="shared" ca="1" si="28"/>
        <v>57.125250964749675</v>
      </c>
      <c r="AQ108" s="46">
        <f t="shared" ca="1" si="28"/>
        <v>0</v>
      </c>
      <c r="AR108" s="46">
        <f t="shared" ca="1" si="28"/>
        <v>0</v>
      </c>
      <c r="AS108" s="46">
        <f t="shared" ca="1" si="28"/>
        <v>28.562625482374838</v>
      </c>
      <c r="AT108" s="46">
        <f t="shared" ca="1" si="28"/>
        <v>0</v>
      </c>
      <c r="AU108" s="46">
        <f t="shared" ca="1" si="28"/>
        <v>0</v>
      </c>
      <c r="AV108" s="46">
        <f t="shared" ca="1" si="28"/>
        <v>14.281312741187419</v>
      </c>
      <c r="AW108" s="46">
        <f t="shared" ca="1" si="28"/>
        <v>0</v>
      </c>
      <c r="AX108" s="46">
        <f t="shared" ca="1" si="28"/>
        <v>0</v>
      </c>
      <c r="AY108" s="46">
        <f t="shared" ca="1" si="28"/>
        <v>7.1406563705937094</v>
      </c>
      <c r="AZ108" s="46">
        <f t="shared" ca="1" si="28"/>
        <v>0</v>
      </c>
      <c r="BA108" s="46">
        <f t="shared" ca="1" si="28"/>
        <v>0</v>
      </c>
      <c r="BB108" s="46">
        <f t="shared" ca="1" si="28"/>
        <v>3.5703281852968547</v>
      </c>
      <c r="BC108" s="46">
        <f t="shared" ca="1" si="28"/>
        <v>0</v>
      </c>
      <c r="BD108" s="46">
        <f t="shared" ca="1" si="28"/>
        <v>0</v>
      </c>
      <c r="BE108" s="46">
        <f t="shared" ca="1" si="28"/>
        <v>1.7851640926484273</v>
      </c>
      <c r="BF108" s="46">
        <f t="shared" ca="1" si="28"/>
        <v>0</v>
      </c>
      <c r="BG108" s="46">
        <f t="shared" ca="1" si="28"/>
        <v>0</v>
      </c>
      <c r="BH108" s="46">
        <f t="shared" ca="1" si="28"/>
        <v>0.89258204632421367</v>
      </c>
      <c r="BI108" s="46">
        <f t="shared" ca="1" si="28"/>
        <v>0</v>
      </c>
      <c r="BJ108" s="46">
        <f t="shared" ca="1" si="28"/>
        <v>0</v>
      </c>
      <c r="BK108" s="46">
        <f t="shared" ca="1" si="28"/>
        <v>0.44629102316210684</v>
      </c>
      <c r="BL108" s="46">
        <f t="shared" ca="1" si="28"/>
        <v>0</v>
      </c>
      <c r="BM108" s="46">
        <f t="shared" ca="1" si="28"/>
        <v>0</v>
      </c>
      <c r="BN108" s="46">
        <f t="shared" ca="1" si="28"/>
        <v>0.22314551158105342</v>
      </c>
      <c r="BO108" s="46">
        <f t="shared" ca="1" si="28"/>
        <v>0</v>
      </c>
    </row>
    <row r="109" spans="1:67" ht="16.5" hidden="1" customHeight="1" outlineLevel="1">
      <c r="A109" s="1"/>
      <c r="B109" s="55">
        <f t="shared" si="21"/>
        <v>45838</v>
      </c>
      <c r="C109" s="17" t="s">
        <v>104</v>
      </c>
      <c r="D109" s="46">
        <f t="shared" si="23"/>
        <v>6</v>
      </c>
      <c r="E109" s="16"/>
      <c r="F109" s="51">
        <f t="shared" si="24"/>
        <v>1</v>
      </c>
      <c r="G109" s="16" t="s">
        <v>159</v>
      </c>
      <c r="H109" s="16" t="s">
        <v>155</v>
      </c>
      <c r="I109" s="46">
        <f ca="1">IF(H109=Forecast!$H$195,T109,IF(H109=Forecast!$H$196,BO109,IF(H109=Forecast!$H$197,SUM(T109:BO109),IF(H109=Forecast!$H$198,AVERAGE(T109:BO109),0))))</f>
        <v>10231.66861673836</v>
      </c>
      <c r="J109" s="16"/>
      <c r="K109" s="16"/>
      <c r="L109" s="16"/>
      <c r="M109" s="16"/>
      <c r="N109" s="16"/>
      <c r="O109" s="16"/>
      <c r="P109" s="16"/>
      <c r="Q109" s="16"/>
      <c r="R109" s="16"/>
      <c r="S109" s="16"/>
      <c r="T109" s="46">
        <f t="shared" ref="T109:BO109" si="29">IF(T$6&lt;$D109,0,INDEX($T$44:$BO$44,,T$6-$D109+1)*INDEX($T$52:$BO$52,,$D109)*IF(T$6=$D109,1,$F109)*T$46)</f>
        <v>0</v>
      </c>
      <c r="U109" s="46">
        <f t="shared" si="29"/>
        <v>0</v>
      </c>
      <c r="V109" s="46">
        <f t="shared" si="29"/>
        <v>0</v>
      </c>
      <c r="W109" s="46">
        <f t="shared" si="29"/>
        <v>0</v>
      </c>
      <c r="X109" s="46">
        <f t="shared" si="29"/>
        <v>0</v>
      </c>
      <c r="Y109" s="46">
        <f t="shared" ca="1" si="29"/>
        <v>5115.9904360069968</v>
      </c>
      <c r="Z109" s="46">
        <f t="shared" ca="1" si="29"/>
        <v>0</v>
      </c>
      <c r="AA109" s="46">
        <f t="shared" ca="1" si="29"/>
        <v>0</v>
      </c>
      <c r="AB109" s="46">
        <f t="shared" ca="1" si="29"/>
        <v>2557.9952180034984</v>
      </c>
      <c r="AC109" s="46">
        <f t="shared" ca="1" si="29"/>
        <v>0</v>
      </c>
      <c r="AD109" s="46">
        <f t="shared" ca="1" si="29"/>
        <v>0</v>
      </c>
      <c r="AE109" s="46">
        <f t="shared" ca="1" si="29"/>
        <v>1278.9976090017492</v>
      </c>
      <c r="AF109" s="46">
        <f t="shared" ca="1" si="29"/>
        <v>0</v>
      </c>
      <c r="AG109" s="46">
        <f t="shared" ca="1" si="29"/>
        <v>0</v>
      </c>
      <c r="AH109" s="46">
        <f t="shared" ca="1" si="29"/>
        <v>639.4988045008746</v>
      </c>
      <c r="AI109" s="46">
        <f t="shared" ca="1" si="29"/>
        <v>0</v>
      </c>
      <c r="AJ109" s="46">
        <f t="shared" ca="1" si="29"/>
        <v>0</v>
      </c>
      <c r="AK109" s="46">
        <f t="shared" ca="1" si="29"/>
        <v>319.7494022504373</v>
      </c>
      <c r="AL109" s="46">
        <f t="shared" ca="1" si="29"/>
        <v>0</v>
      </c>
      <c r="AM109" s="46">
        <f t="shared" ca="1" si="29"/>
        <v>0</v>
      </c>
      <c r="AN109" s="46">
        <f t="shared" ca="1" si="29"/>
        <v>159.87470112521865</v>
      </c>
      <c r="AO109" s="46">
        <f t="shared" ca="1" si="29"/>
        <v>0</v>
      </c>
      <c r="AP109" s="46">
        <f t="shared" ca="1" si="29"/>
        <v>0</v>
      </c>
      <c r="AQ109" s="46">
        <f t="shared" ca="1" si="29"/>
        <v>79.937350562609325</v>
      </c>
      <c r="AR109" s="46">
        <f t="shared" ca="1" si="29"/>
        <v>0</v>
      </c>
      <c r="AS109" s="46">
        <f t="shared" ca="1" si="29"/>
        <v>0</v>
      </c>
      <c r="AT109" s="46">
        <f t="shared" ca="1" si="29"/>
        <v>39.968675281304662</v>
      </c>
      <c r="AU109" s="46">
        <f t="shared" ca="1" si="29"/>
        <v>0</v>
      </c>
      <c r="AV109" s="46">
        <f t="shared" ca="1" si="29"/>
        <v>0</v>
      </c>
      <c r="AW109" s="46">
        <f t="shared" ca="1" si="29"/>
        <v>19.984337640652331</v>
      </c>
      <c r="AX109" s="46">
        <f t="shared" ca="1" si="29"/>
        <v>0</v>
      </c>
      <c r="AY109" s="46">
        <f t="shared" ca="1" si="29"/>
        <v>0</v>
      </c>
      <c r="AZ109" s="46">
        <f t="shared" ca="1" si="29"/>
        <v>9.9921688203261656</v>
      </c>
      <c r="BA109" s="46">
        <f t="shared" ca="1" si="29"/>
        <v>0</v>
      </c>
      <c r="BB109" s="46">
        <f t="shared" ca="1" si="29"/>
        <v>0</v>
      </c>
      <c r="BC109" s="46">
        <f t="shared" ca="1" si="29"/>
        <v>4.9960844101630828</v>
      </c>
      <c r="BD109" s="46">
        <f t="shared" ca="1" si="29"/>
        <v>0</v>
      </c>
      <c r="BE109" s="46">
        <f t="shared" ca="1" si="29"/>
        <v>0</v>
      </c>
      <c r="BF109" s="46">
        <f t="shared" ca="1" si="29"/>
        <v>2.4980422050815414</v>
      </c>
      <c r="BG109" s="46">
        <f t="shared" ca="1" si="29"/>
        <v>0</v>
      </c>
      <c r="BH109" s="46">
        <f t="shared" ca="1" si="29"/>
        <v>0</v>
      </c>
      <c r="BI109" s="46">
        <f t="shared" ca="1" si="29"/>
        <v>1.2490211025407707</v>
      </c>
      <c r="BJ109" s="46">
        <f t="shared" ca="1" si="29"/>
        <v>0</v>
      </c>
      <c r="BK109" s="46">
        <f t="shared" ca="1" si="29"/>
        <v>0</v>
      </c>
      <c r="BL109" s="46">
        <f t="shared" ca="1" si="29"/>
        <v>0.62451055127038535</v>
      </c>
      <c r="BM109" s="46">
        <f t="shared" ca="1" si="29"/>
        <v>0</v>
      </c>
      <c r="BN109" s="46">
        <f t="shared" ca="1" si="29"/>
        <v>0</v>
      </c>
      <c r="BO109" s="46">
        <f t="shared" ca="1" si="29"/>
        <v>0.31225527563519268</v>
      </c>
    </row>
    <row r="110" spans="1:67" ht="16.5" hidden="1" customHeight="1" outlineLevel="1">
      <c r="A110" s="1"/>
      <c r="B110" s="55">
        <f t="shared" si="21"/>
        <v>45869</v>
      </c>
      <c r="C110" s="17" t="s">
        <v>104</v>
      </c>
      <c r="D110" s="46">
        <f t="shared" si="23"/>
        <v>7</v>
      </c>
      <c r="E110" s="16"/>
      <c r="F110" s="51">
        <f t="shared" si="24"/>
        <v>1</v>
      </c>
      <c r="G110" s="16" t="s">
        <v>159</v>
      </c>
      <c r="H110" s="16" t="s">
        <v>155</v>
      </c>
      <c r="I110" s="46">
        <f ca="1">IF(H110=Forecast!$H$195,T110,IF(H110=Forecast!$H$196,BO110,IF(H110=Forecast!$H$197,SUM(T110:BO110),IF(H110=Forecast!$H$198,AVERAGE(T110:BO110),0))))</f>
        <v>13704.232347783909</v>
      </c>
      <c r="J110" s="16"/>
      <c r="K110" s="16"/>
      <c r="L110" s="16"/>
      <c r="M110" s="16"/>
      <c r="N110" s="16"/>
      <c r="O110" s="16"/>
      <c r="P110" s="16"/>
      <c r="Q110" s="16"/>
      <c r="R110" s="16"/>
      <c r="S110" s="16"/>
      <c r="T110" s="46">
        <f t="shared" ref="T110:BO110" si="30">IF(T$6&lt;$D110,0,INDEX($T$44:$BO$44,,T$6-$D110+1)*INDEX($T$52:$BO$52,,$D110)*IF(T$6=$D110,1,$F110)*T$46)</f>
        <v>0</v>
      </c>
      <c r="U110" s="46">
        <f t="shared" si="30"/>
        <v>0</v>
      </c>
      <c r="V110" s="46">
        <f t="shared" si="30"/>
        <v>0</v>
      </c>
      <c r="W110" s="46">
        <f t="shared" si="30"/>
        <v>0</v>
      </c>
      <c r="X110" s="46">
        <f t="shared" si="30"/>
        <v>0</v>
      </c>
      <c r="Y110" s="46">
        <f t="shared" si="30"/>
        <v>0</v>
      </c>
      <c r="Z110" s="46">
        <f t="shared" ca="1" si="30"/>
        <v>6852.5344194009513</v>
      </c>
      <c r="AA110" s="46">
        <f t="shared" ca="1" si="30"/>
        <v>0</v>
      </c>
      <c r="AB110" s="46">
        <f t="shared" ca="1" si="30"/>
        <v>0</v>
      </c>
      <c r="AC110" s="46">
        <f t="shared" ca="1" si="30"/>
        <v>3426.2672097004756</v>
      </c>
      <c r="AD110" s="46">
        <f t="shared" ca="1" si="30"/>
        <v>0</v>
      </c>
      <c r="AE110" s="46">
        <f t="shared" ca="1" si="30"/>
        <v>0</v>
      </c>
      <c r="AF110" s="46">
        <f t="shared" ca="1" si="30"/>
        <v>1713.1336048502378</v>
      </c>
      <c r="AG110" s="46">
        <f t="shared" ca="1" si="30"/>
        <v>0</v>
      </c>
      <c r="AH110" s="46">
        <f t="shared" ca="1" si="30"/>
        <v>0</v>
      </c>
      <c r="AI110" s="46">
        <f t="shared" ca="1" si="30"/>
        <v>856.56680242511891</v>
      </c>
      <c r="AJ110" s="46">
        <f t="shared" ca="1" si="30"/>
        <v>0</v>
      </c>
      <c r="AK110" s="46">
        <f t="shared" ca="1" si="30"/>
        <v>0</v>
      </c>
      <c r="AL110" s="46">
        <f t="shared" ca="1" si="30"/>
        <v>428.28340121255945</v>
      </c>
      <c r="AM110" s="46">
        <f t="shared" ca="1" si="30"/>
        <v>0</v>
      </c>
      <c r="AN110" s="46">
        <f t="shared" ca="1" si="30"/>
        <v>0</v>
      </c>
      <c r="AO110" s="46">
        <f t="shared" ca="1" si="30"/>
        <v>214.14170060627973</v>
      </c>
      <c r="AP110" s="46">
        <f t="shared" ca="1" si="30"/>
        <v>0</v>
      </c>
      <c r="AQ110" s="46">
        <f t="shared" ca="1" si="30"/>
        <v>0</v>
      </c>
      <c r="AR110" s="46">
        <f t="shared" ca="1" si="30"/>
        <v>107.07085030313986</v>
      </c>
      <c r="AS110" s="46">
        <f t="shared" ca="1" si="30"/>
        <v>0</v>
      </c>
      <c r="AT110" s="46">
        <f t="shared" ca="1" si="30"/>
        <v>0</v>
      </c>
      <c r="AU110" s="46">
        <f t="shared" ca="1" si="30"/>
        <v>53.535425151569932</v>
      </c>
      <c r="AV110" s="46">
        <f t="shared" ca="1" si="30"/>
        <v>0</v>
      </c>
      <c r="AW110" s="46">
        <f t="shared" ca="1" si="30"/>
        <v>0</v>
      </c>
      <c r="AX110" s="46">
        <f t="shared" ca="1" si="30"/>
        <v>26.767712575784966</v>
      </c>
      <c r="AY110" s="46">
        <f t="shared" ca="1" si="30"/>
        <v>0</v>
      </c>
      <c r="AZ110" s="46">
        <f t="shared" ca="1" si="30"/>
        <v>0</v>
      </c>
      <c r="BA110" s="46">
        <f t="shared" ca="1" si="30"/>
        <v>13.383856287892483</v>
      </c>
      <c r="BB110" s="46">
        <f t="shared" ca="1" si="30"/>
        <v>0</v>
      </c>
      <c r="BC110" s="46">
        <f t="shared" ca="1" si="30"/>
        <v>0</v>
      </c>
      <c r="BD110" s="46">
        <f t="shared" ca="1" si="30"/>
        <v>6.6919281439462415</v>
      </c>
      <c r="BE110" s="46">
        <f t="shared" ca="1" si="30"/>
        <v>0</v>
      </c>
      <c r="BF110" s="46">
        <f t="shared" ca="1" si="30"/>
        <v>0</v>
      </c>
      <c r="BG110" s="46">
        <f t="shared" ca="1" si="30"/>
        <v>3.3459640719731207</v>
      </c>
      <c r="BH110" s="46">
        <f t="shared" ca="1" si="30"/>
        <v>0</v>
      </c>
      <c r="BI110" s="46">
        <f t="shared" ca="1" si="30"/>
        <v>0</v>
      </c>
      <c r="BJ110" s="46">
        <f t="shared" ca="1" si="30"/>
        <v>1.6729820359865604</v>
      </c>
      <c r="BK110" s="46">
        <f t="shared" ca="1" si="30"/>
        <v>0</v>
      </c>
      <c r="BL110" s="46">
        <f t="shared" ca="1" si="30"/>
        <v>0</v>
      </c>
      <c r="BM110" s="46">
        <f t="shared" ca="1" si="30"/>
        <v>0.83649101799328018</v>
      </c>
      <c r="BN110" s="46">
        <f t="shared" ca="1" si="30"/>
        <v>0</v>
      </c>
      <c r="BO110" s="46">
        <f t="shared" ca="1" si="30"/>
        <v>0</v>
      </c>
    </row>
    <row r="111" spans="1:67" ht="16.5" hidden="1" customHeight="1" outlineLevel="1">
      <c r="A111" s="1"/>
      <c r="B111" s="55">
        <f t="shared" si="21"/>
        <v>45900</v>
      </c>
      <c r="C111" s="17" t="s">
        <v>104</v>
      </c>
      <c r="D111" s="46">
        <f t="shared" si="23"/>
        <v>8</v>
      </c>
      <c r="E111" s="16"/>
      <c r="F111" s="51">
        <f t="shared" si="24"/>
        <v>1</v>
      </c>
      <c r="G111" s="16" t="s">
        <v>159</v>
      </c>
      <c r="H111" s="16" t="s">
        <v>155</v>
      </c>
      <c r="I111" s="46">
        <f ca="1">IF(H111=Forecast!$H$195,T111,IF(H111=Forecast!$H$196,BO111,IF(H111=Forecast!$H$197,SUM(T111:BO111),IF(H111=Forecast!$H$198,AVERAGE(T111:BO111),0))))</f>
        <v>17658.168960647963</v>
      </c>
      <c r="J111" s="16"/>
      <c r="K111" s="16"/>
      <c r="L111" s="16"/>
      <c r="M111" s="16"/>
      <c r="N111" s="16"/>
      <c r="O111" s="16"/>
      <c r="P111" s="16"/>
      <c r="Q111" s="16"/>
      <c r="R111" s="16"/>
      <c r="S111" s="16"/>
      <c r="T111" s="46">
        <f t="shared" ref="T111:BO111" si="31">IF(T$6&lt;$D111,0,INDEX($T$44:$BO$44,,T$6-$D111+1)*INDEX($T$52:$BO$52,,$D111)*IF(T$6=$D111,1,$F111)*T$46)</f>
        <v>0</v>
      </c>
      <c r="U111" s="46">
        <f t="shared" si="31"/>
        <v>0</v>
      </c>
      <c r="V111" s="46">
        <f t="shared" si="31"/>
        <v>0</v>
      </c>
      <c r="W111" s="46">
        <f t="shared" si="31"/>
        <v>0</v>
      </c>
      <c r="X111" s="46">
        <f t="shared" si="31"/>
        <v>0</v>
      </c>
      <c r="Y111" s="46">
        <f t="shared" si="31"/>
        <v>0</v>
      </c>
      <c r="Z111" s="46">
        <f t="shared" si="31"/>
        <v>0</v>
      </c>
      <c r="AA111" s="46">
        <f t="shared" ca="1" si="31"/>
        <v>8829.6233977676929</v>
      </c>
      <c r="AB111" s="46">
        <f t="shared" ca="1" si="31"/>
        <v>0</v>
      </c>
      <c r="AC111" s="46">
        <f t="shared" ca="1" si="31"/>
        <v>0</v>
      </c>
      <c r="AD111" s="46">
        <f t="shared" ca="1" si="31"/>
        <v>4414.8116988838465</v>
      </c>
      <c r="AE111" s="46">
        <f t="shared" ca="1" si="31"/>
        <v>0</v>
      </c>
      <c r="AF111" s="46">
        <f t="shared" ca="1" si="31"/>
        <v>0</v>
      </c>
      <c r="AG111" s="46">
        <f t="shared" ca="1" si="31"/>
        <v>2207.4058494419232</v>
      </c>
      <c r="AH111" s="46">
        <f t="shared" ca="1" si="31"/>
        <v>0</v>
      </c>
      <c r="AI111" s="46">
        <f t="shared" ca="1" si="31"/>
        <v>0</v>
      </c>
      <c r="AJ111" s="46">
        <f t="shared" ca="1" si="31"/>
        <v>1103.7029247209616</v>
      </c>
      <c r="AK111" s="46">
        <f t="shared" ca="1" si="31"/>
        <v>0</v>
      </c>
      <c r="AL111" s="46">
        <f t="shared" ca="1" si="31"/>
        <v>0</v>
      </c>
      <c r="AM111" s="46">
        <f t="shared" ca="1" si="31"/>
        <v>551.85146236048081</v>
      </c>
      <c r="AN111" s="46">
        <f t="shared" ca="1" si="31"/>
        <v>0</v>
      </c>
      <c r="AO111" s="46">
        <f t="shared" ca="1" si="31"/>
        <v>0</v>
      </c>
      <c r="AP111" s="46">
        <f t="shared" ca="1" si="31"/>
        <v>275.9257311802404</v>
      </c>
      <c r="AQ111" s="46">
        <f t="shared" ca="1" si="31"/>
        <v>0</v>
      </c>
      <c r="AR111" s="46">
        <f t="shared" ca="1" si="31"/>
        <v>0</v>
      </c>
      <c r="AS111" s="46">
        <f t="shared" ca="1" si="31"/>
        <v>137.9628655901202</v>
      </c>
      <c r="AT111" s="46">
        <f t="shared" ca="1" si="31"/>
        <v>0</v>
      </c>
      <c r="AU111" s="46">
        <f t="shared" ca="1" si="31"/>
        <v>0</v>
      </c>
      <c r="AV111" s="46">
        <f t="shared" ca="1" si="31"/>
        <v>68.981432795060101</v>
      </c>
      <c r="AW111" s="46">
        <f t="shared" ca="1" si="31"/>
        <v>0</v>
      </c>
      <c r="AX111" s="46">
        <f t="shared" ca="1" si="31"/>
        <v>0</v>
      </c>
      <c r="AY111" s="46">
        <f t="shared" ca="1" si="31"/>
        <v>34.490716397530051</v>
      </c>
      <c r="AZ111" s="46">
        <f t="shared" ca="1" si="31"/>
        <v>0</v>
      </c>
      <c r="BA111" s="46">
        <f t="shared" ca="1" si="31"/>
        <v>0</v>
      </c>
      <c r="BB111" s="46">
        <f t="shared" ca="1" si="31"/>
        <v>17.245358198765025</v>
      </c>
      <c r="BC111" s="46">
        <f t="shared" ca="1" si="31"/>
        <v>0</v>
      </c>
      <c r="BD111" s="46">
        <f t="shared" ca="1" si="31"/>
        <v>0</v>
      </c>
      <c r="BE111" s="46">
        <f t="shared" ca="1" si="31"/>
        <v>8.6226790993825126</v>
      </c>
      <c r="BF111" s="46">
        <f t="shared" ca="1" si="31"/>
        <v>0</v>
      </c>
      <c r="BG111" s="46">
        <f t="shared" ca="1" si="31"/>
        <v>0</v>
      </c>
      <c r="BH111" s="46">
        <f t="shared" ca="1" si="31"/>
        <v>4.3113395496912563</v>
      </c>
      <c r="BI111" s="46">
        <f t="shared" ca="1" si="31"/>
        <v>0</v>
      </c>
      <c r="BJ111" s="46">
        <f t="shared" ca="1" si="31"/>
        <v>0</v>
      </c>
      <c r="BK111" s="46">
        <f t="shared" ca="1" si="31"/>
        <v>2.1556697748456282</v>
      </c>
      <c r="BL111" s="46">
        <f t="shared" ca="1" si="31"/>
        <v>0</v>
      </c>
      <c r="BM111" s="46">
        <f t="shared" ca="1" si="31"/>
        <v>0</v>
      </c>
      <c r="BN111" s="46">
        <f t="shared" ca="1" si="31"/>
        <v>1.0778348874228141</v>
      </c>
      <c r="BO111" s="46">
        <f t="shared" ca="1" si="31"/>
        <v>0</v>
      </c>
    </row>
    <row r="112" spans="1:67" ht="16.5" hidden="1" customHeight="1" outlineLevel="1">
      <c r="A112" s="1"/>
      <c r="B112" s="55">
        <f t="shared" si="21"/>
        <v>45930</v>
      </c>
      <c r="C112" s="17" t="s">
        <v>104</v>
      </c>
      <c r="D112" s="46">
        <f t="shared" si="23"/>
        <v>9</v>
      </c>
      <c r="E112" s="16"/>
      <c r="F112" s="51">
        <f t="shared" si="24"/>
        <v>1</v>
      </c>
      <c r="G112" s="16" t="s">
        <v>159</v>
      </c>
      <c r="H112" s="16" t="s">
        <v>155</v>
      </c>
      <c r="I112" s="46">
        <f ca="1">IF(H112=Forecast!$H$195,T112,IF(H112=Forecast!$H$196,BO112,IF(H112=Forecast!$H$197,SUM(T112:BO112),IF(H112=Forecast!$H$198,AVERAGE(T112:BO112),0))))</f>
        <v>21988.684318831856</v>
      </c>
      <c r="J112" s="16"/>
      <c r="K112" s="16"/>
      <c r="L112" s="16"/>
      <c r="M112" s="16"/>
      <c r="N112" s="16"/>
      <c r="O112" s="16"/>
      <c r="P112" s="16"/>
      <c r="Q112" s="16"/>
      <c r="R112" s="16"/>
      <c r="S112" s="16"/>
      <c r="T112" s="46">
        <f t="shared" ref="T112:BO112" si="32">IF(T$6&lt;$D112,0,INDEX($T$44:$BO$44,,T$6-$D112+1)*INDEX($T$52:$BO$52,,$D112)*IF(T$6=$D112,1,$F112)*T$46)</f>
        <v>0</v>
      </c>
      <c r="U112" s="46">
        <f t="shared" si="32"/>
        <v>0</v>
      </c>
      <c r="V112" s="46">
        <f t="shared" si="32"/>
        <v>0</v>
      </c>
      <c r="W112" s="46">
        <f t="shared" si="32"/>
        <v>0</v>
      </c>
      <c r="X112" s="46">
        <f t="shared" si="32"/>
        <v>0</v>
      </c>
      <c r="Y112" s="46">
        <f t="shared" si="32"/>
        <v>0</v>
      </c>
      <c r="Z112" s="46">
        <f t="shared" si="32"/>
        <v>0</v>
      </c>
      <c r="AA112" s="46">
        <f t="shared" si="32"/>
        <v>0</v>
      </c>
      <c r="AB112" s="46">
        <f t="shared" ca="1" si="32"/>
        <v>10995.01324176711</v>
      </c>
      <c r="AC112" s="46">
        <f t="shared" ca="1" si="32"/>
        <v>0</v>
      </c>
      <c r="AD112" s="46">
        <f t="shared" ca="1" si="32"/>
        <v>0</v>
      </c>
      <c r="AE112" s="46">
        <f t="shared" ca="1" si="32"/>
        <v>5497.5066208835551</v>
      </c>
      <c r="AF112" s="46">
        <f t="shared" ca="1" si="32"/>
        <v>0</v>
      </c>
      <c r="AG112" s="46">
        <f t="shared" ca="1" si="32"/>
        <v>0</v>
      </c>
      <c r="AH112" s="46">
        <f t="shared" ca="1" si="32"/>
        <v>2748.7533104417776</v>
      </c>
      <c r="AI112" s="46">
        <f t="shared" ca="1" si="32"/>
        <v>0</v>
      </c>
      <c r="AJ112" s="46">
        <f t="shared" ca="1" si="32"/>
        <v>0</v>
      </c>
      <c r="AK112" s="46">
        <f t="shared" ca="1" si="32"/>
        <v>1374.3766552208888</v>
      </c>
      <c r="AL112" s="46">
        <f t="shared" ca="1" si="32"/>
        <v>0</v>
      </c>
      <c r="AM112" s="46">
        <f t="shared" ca="1" si="32"/>
        <v>0</v>
      </c>
      <c r="AN112" s="46">
        <f t="shared" ca="1" si="32"/>
        <v>687.18832761044439</v>
      </c>
      <c r="AO112" s="46">
        <f t="shared" ca="1" si="32"/>
        <v>0</v>
      </c>
      <c r="AP112" s="46">
        <f t="shared" ca="1" si="32"/>
        <v>0</v>
      </c>
      <c r="AQ112" s="46">
        <f t="shared" ca="1" si="32"/>
        <v>343.59416380522219</v>
      </c>
      <c r="AR112" s="46">
        <f t="shared" ca="1" si="32"/>
        <v>0</v>
      </c>
      <c r="AS112" s="46">
        <f t="shared" ca="1" si="32"/>
        <v>0</v>
      </c>
      <c r="AT112" s="46">
        <f t="shared" ca="1" si="32"/>
        <v>171.7970819026111</v>
      </c>
      <c r="AU112" s="46">
        <f t="shared" ca="1" si="32"/>
        <v>0</v>
      </c>
      <c r="AV112" s="46">
        <f t="shared" ca="1" si="32"/>
        <v>0</v>
      </c>
      <c r="AW112" s="46">
        <f t="shared" ca="1" si="32"/>
        <v>85.898540951305549</v>
      </c>
      <c r="AX112" s="46">
        <f t="shared" ca="1" si="32"/>
        <v>0</v>
      </c>
      <c r="AY112" s="46">
        <f t="shared" ca="1" si="32"/>
        <v>0</v>
      </c>
      <c r="AZ112" s="46">
        <f t="shared" ca="1" si="32"/>
        <v>42.949270475652774</v>
      </c>
      <c r="BA112" s="46">
        <f t="shared" ca="1" si="32"/>
        <v>0</v>
      </c>
      <c r="BB112" s="46">
        <f t="shared" ca="1" si="32"/>
        <v>0</v>
      </c>
      <c r="BC112" s="46">
        <f t="shared" ca="1" si="32"/>
        <v>21.474635237826387</v>
      </c>
      <c r="BD112" s="46">
        <f t="shared" ca="1" si="32"/>
        <v>0</v>
      </c>
      <c r="BE112" s="46">
        <f t="shared" ca="1" si="32"/>
        <v>0</v>
      </c>
      <c r="BF112" s="46">
        <f t="shared" ca="1" si="32"/>
        <v>10.737317618913194</v>
      </c>
      <c r="BG112" s="46">
        <f t="shared" ca="1" si="32"/>
        <v>0</v>
      </c>
      <c r="BH112" s="46">
        <f t="shared" ca="1" si="32"/>
        <v>0</v>
      </c>
      <c r="BI112" s="46">
        <f t="shared" ca="1" si="32"/>
        <v>5.3686588094565968</v>
      </c>
      <c r="BJ112" s="46">
        <f t="shared" ca="1" si="32"/>
        <v>0</v>
      </c>
      <c r="BK112" s="46">
        <f t="shared" ca="1" si="32"/>
        <v>0</v>
      </c>
      <c r="BL112" s="46">
        <f t="shared" ca="1" si="32"/>
        <v>2.6843294047282984</v>
      </c>
      <c r="BM112" s="46">
        <f t="shared" ca="1" si="32"/>
        <v>0</v>
      </c>
      <c r="BN112" s="46">
        <f t="shared" ca="1" si="32"/>
        <v>0</v>
      </c>
      <c r="BO112" s="46">
        <f t="shared" ca="1" si="32"/>
        <v>1.3421647023641492</v>
      </c>
    </row>
    <row r="113" spans="1:67" ht="16.5" hidden="1" customHeight="1" outlineLevel="1">
      <c r="A113" s="1"/>
      <c r="B113" s="55">
        <f t="shared" si="21"/>
        <v>45961</v>
      </c>
      <c r="C113" s="17" t="s">
        <v>104</v>
      </c>
      <c r="D113" s="46">
        <f t="shared" si="23"/>
        <v>10</v>
      </c>
      <c r="E113" s="16"/>
      <c r="F113" s="51">
        <f t="shared" si="24"/>
        <v>1</v>
      </c>
      <c r="G113" s="16" t="s">
        <v>159</v>
      </c>
      <c r="H113" s="16" t="s">
        <v>155</v>
      </c>
      <c r="I113" s="46">
        <f ca="1">IF(H113=Forecast!$H$195,T113,IF(H113=Forecast!$H$196,BO113,IF(H113=Forecast!$H$197,SUM(T113:BO113),IF(H113=Forecast!$H$198,AVERAGE(T113:BO113),0))))</f>
        <v>26570.719096090565</v>
      </c>
      <c r="J113" s="16"/>
      <c r="K113" s="16"/>
      <c r="L113" s="16"/>
      <c r="M113" s="16"/>
      <c r="N113" s="16"/>
      <c r="O113" s="16"/>
      <c r="P113" s="16"/>
      <c r="Q113" s="16"/>
      <c r="R113" s="16"/>
      <c r="S113" s="16"/>
      <c r="T113" s="46">
        <f t="shared" ref="T113:BO113" si="33">IF(T$6&lt;$D113,0,INDEX($T$44:$BO$44,,T$6-$D113+1)*INDEX($T$52:$BO$52,,$D113)*IF(T$6=$D113,1,$F113)*T$46)</f>
        <v>0</v>
      </c>
      <c r="U113" s="46">
        <f t="shared" si="33"/>
        <v>0</v>
      </c>
      <c r="V113" s="46">
        <f t="shared" si="33"/>
        <v>0</v>
      </c>
      <c r="W113" s="46">
        <f t="shared" si="33"/>
        <v>0</v>
      </c>
      <c r="X113" s="46">
        <f t="shared" si="33"/>
        <v>0</v>
      </c>
      <c r="Y113" s="46">
        <f t="shared" si="33"/>
        <v>0</v>
      </c>
      <c r="Z113" s="46">
        <f t="shared" si="33"/>
        <v>0</v>
      </c>
      <c r="AA113" s="46">
        <f t="shared" si="33"/>
        <v>0</v>
      </c>
      <c r="AB113" s="46">
        <f t="shared" si="33"/>
        <v>0</v>
      </c>
      <c r="AC113" s="46">
        <f t="shared" ca="1" si="33"/>
        <v>13286.981494028441</v>
      </c>
      <c r="AD113" s="46">
        <f t="shared" ca="1" si="33"/>
        <v>0</v>
      </c>
      <c r="AE113" s="46">
        <f t="shared" ca="1" si="33"/>
        <v>0</v>
      </c>
      <c r="AF113" s="46">
        <f t="shared" ca="1" si="33"/>
        <v>6643.4907470142207</v>
      </c>
      <c r="AG113" s="46">
        <f t="shared" ca="1" si="33"/>
        <v>0</v>
      </c>
      <c r="AH113" s="46">
        <f t="shared" ca="1" si="33"/>
        <v>0</v>
      </c>
      <c r="AI113" s="46">
        <f t="shared" ca="1" si="33"/>
        <v>3321.7453735071103</v>
      </c>
      <c r="AJ113" s="46">
        <f t="shared" ca="1" si="33"/>
        <v>0</v>
      </c>
      <c r="AK113" s="46">
        <f t="shared" ca="1" si="33"/>
        <v>0</v>
      </c>
      <c r="AL113" s="46">
        <f t="shared" ca="1" si="33"/>
        <v>1660.8726867535552</v>
      </c>
      <c r="AM113" s="46">
        <f t="shared" ca="1" si="33"/>
        <v>0</v>
      </c>
      <c r="AN113" s="46">
        <f t="shared" ca="1" si="33"/>
        <v>0</v>
      </c>
      <c r="AO113" s="46">
        <f t="shared" ca="1" si="33"/>
        <v>830.43634337677759</v>
      </c>
      <c r="AP113" s="46">
        <f t="shared" ca="1" si="33"/>
        <v>0</v>
      </c>
      <c r="AQ113" s="46">
        <f t="shared" ca="1" si="33"/>
        <v>0</v>
      </c>
      <c r="AR113" s="46">
        <f t="shared" ca="1" si="33"/>
        <v>415.21817168838879</v>
      </c>
      <c r="AS113" s="46">
        <f t="shared" ca="1" si="33"/>
        <v>0</v>
      </c>
      <c r="AT113" s="46">
        <f t="shared" ca="1" si="33"/>
        <v>0</v>
      </c>
      <c r="AU113" s="46">
        <f t="shared" ca="1" si="33"/>
        <v>207.6090858441944</v>
      </c>
      <c r="AV113" s="46">
        <f t="shared" ca="1" si="33"/>
        <v>0</v>
      </c>
      <c r="AW113" s="46">
        <f t="shared" ca="1" si="33"/>
        <v>0</v>
      </c>
      <c r="AX113" s="46">
        <f t="shared" ca="1" si="33"/>
        <v>103.8045429220972</v>
      </c>
      <c r="AY113" s="46">
        <f t="shared" ca="1" si="33"/>
        <v>0</v>
      </c>
      <c r="AZ113" s="46">
        <f t="shared" ca="1" si="33"/>
        <v>0</v>
      </c>
      <c r="BA113" s="46">
        <f t="shared" ca="1" si="33"/>
        <v>51.902271461048599</v>
      </c>
      <c r="BB113" s="46">
        <f t="shared" ca="1" si="33"/>
        <v>0</v>
      </c>
      <c r="BC113" s="46">
        <f t="shared" ca="1" si="33"/>
        <v>0</v>
      </c>
      <c r="BD113" s="46">
        <f t="shared" ca="1" si="33"/>
        <v>25.9511357305243</v>
      </c>
      <c r="BE113" s="46">
        <f t="shared" ca="1" si="33"/>
        <v>0</v>
      </c>
      <c r="BF113" s="46">
        <f t="shared" ca="1" si="33"/>
        <v>0</v>
      </c>
      <c r="BG113" s="46">
        <f t="shared" ca="1" si="33"/>
        <v>12.97556786526215</v>
      </c>
      <c r="BH113" s="46">
        <f t="shared" ca="1" si="33"/>
        <v>0</v>
      </c>
      <c r="BI113" s="46">
        <f t="shared" ca="1" si="33"/>
        <v>0</v>
      </c>
      <c r="BJ113" s="46">
        <f t="shared" ca="1" si="33"/>
        <v>6.4877839326310749</v>
      </c>
      <c r="BK113" s="46">
        <f t="shared" ca="1" si="33"/>
        <v>0</v>
      </c>
      <c r="BL113" s="46">
        <f t="shared" ca="1" si="33"/>
        <v>0</v>
      </c>
      <c r="BM113" s="46">
        <f t="shared" ca="1" si="33"/>
        <v>3.2438919663155374</v>
      </c>
      <c r="BN113" s="46">
        <f t="shared" ca="1" si="33"/>
        <v>0</v>
      </c>
      <c r="BO113" s="46">
        <f t="shared" ca="1" si="33"/>
        <v>0</v>
      </c>
    </row>
    <row r="114" spans="1:67" ht="16.5" hidden="1" customHeight="1" outlineLevel="1">
      <c r="A114" s="1"/>
      <c r="B114" s="55">
        <f t="shared" si="21"/>
        <v>45991</v>
      </c>
      <c r="C114" s="17" t="s">
        <v>104</v>
      </c>
      <c r="D114" s="46">
        <f t="shared" si="23"/>
        <v>11</v>
      </c>
      <c r="E114" s="16"/>
      <c r="F114" s="51">
        <f t="shared" si="24"/>
        <v>1</v>
      </c>
      <c r="G114" s="16" t="s">
        <v>159</v>
      </c>
      <c r="H114" s="16" t="s">
        <v>155</v>
      </c>
      <c r="I114" s="46">
        <f ca="1">IF(H114=Forecast!$H$195,T114,IF(H114=Forecast!$H$196,BO114,IF(H114=Forecast!$H$197,SUM(T114:BO114),IF(H114=Forecast!$H$198,AVERAGE(T114:BO114),0))))</f>
        <v>31278.704141543316</v>
      </c>
      <c r="J114" s="16"/>
      <c r="K114" s="16"/>
      <c r="L114" s="16"/>
      <c r="M114" s="16"/>
      <c r="N114" s="16"/>
      <c r="O114" s="16"/>
      <c r="P114" s="16"/>
      <c r="Q114" s="16"/>
      <c r="R114" s="16"/>
      <c r="S114" s="16"/>
      <c r="T114" s="46">
        <f t="shared" ref="T114:BO114" si="34">IF(T$6&lt;$D114,0,INDEX($T$44:$BO$44,,T$6-$D114+1)*INDEX($T$52:$BO$52,,$D114)*IF(T$6=$D114,1,$F114)*T$46)</f>
        <v>0</v>
      </c>
      <c r="U114" s="46">
        <f t="shared" si="34"/>
        <v>0</v>
      </c>
      <c r="V114" s="46">
        <f t="shared" si="34"/>
        <v>0</v>
      </c>
      <c r="W114" s="46">
        <f t="shared" si="34"/>
        <v>0</v>
      </c>
      <c r="X114" s="46">
        <f t="shared" si="34"/>
        <v>0</v>
      </c>
      <c r="Y114" s="46">
        <f t="shared" si="34"/>
        <v>0</v>
      </c>
      <c r="Z114" s="46">
        <f t="shared" si="34"/>
        <v>0</v>
      </c>
      <c r="AA114" s="46">
        <f t="shared" si="34"/>
        <v>0</v>
      </c>
      <c r="AB114" s="46">
        <f t="shared" si="34"/>
        <v>0</v>
      </c>
      <c r="AC114" s="46">
        <f t="shared" si="34"/>
        <v>0</v>
      </c>
      <c r="AD114" s="46">
        <f t="shared" ca="1" si="34"/>
        <v>15641.26140443919</v>
      </c>
      <c r="AE114" s="46">
        <f t="shared" ca="1" si="34"/>
        <v>0</v>
      </c>
      <c r="AF114" s="46">
        <f t="shared" ca="1" si="34"/>
        <v>0</v>
      </c>
      <c r="AG114" s="46">
        <f t="shared" ca="1" si="34"/>
        <v>7820.6307022195952</v>
      </c>
      <c r="AH114" s="46">
        <f t="shared" ca="1" si="34"/>
        <v>0</v>
      </c>
      <c r="AI114" s="46">
        <f t="shared" ca="1" si="34"/>
        <v>0</v>
      </c>
      <c r="AJ114" s="46">
        <f t="shared" ca="1" si="34"/>
        <v>3910.3153511097976</v>
      </c>
      <c r="AK114" s="46">
        <f t="shared" ca="1" si="34"/>
        <v>0</v>
      </c>
      <c r="AL114" s="46">
        <f t="shared" ca="1" si="34"/>
        <v>0</v>
      </c>
      <c r="AM114" s="46">
        <f t="shared" ca="1" si="34"/>
        <v>1955.1576755548988</v>
      </c>
      <c r="AN114" s="46">
        <f t="shared" ca="1" si="34"/>
        <v>0</v>
      </c>
      <c r="AO114" s="46">
        <f t="shared" ca="1" si="34"/>
        <v>0</v>
      </c>
      <c r="AP114" s="46">
        <f t="shared" ca="1" si="34"/>
        <v>977.57883777744939</v>
      </c>
      <c r="AQ114" s="46">
        <f t="shared" ca="1" si="34"/>
        <v>0</v>
      </c>
      <c r="AR114" s="46">
        <f t="shared" ca="1" si="34"/>
        <v>0</v>
      </c>
      <c r="AS114" s="46">
        <f t="shared" ca="1" si="34"/>
        <v>488.7894188887247</v>
      </c>
      <c r="AT114" s="46">
        <f t="shared" ca="1" si="34"/>
        <v>0</v>
      </c>
      <c r="AU114" s="46">
        <f t="shared" ca="1" si="34"/>
        <v>0</v>
      </c>
      <c r="AV114" s="46">
        <f t="shared" ca="1" si="34"/>
        <v>244.39470944436235</v>
      </c>
      <c r="AW114" s="46">
        <f t="shared" ca="1" si="34"/>
        <v>0</v>
      </c>
      <c r="AX114" s="46">
        <f t="shared" ca="1" si="34"/>
        <v>0</v>
      </c>
      <c r="AY114" s="46">
        <f t="shared" ca="1" si="34"/>
        <v>122.19735472218117</v>
      </c>
      <c r="AZ114" s="46">
        <f t="shared" ca="1" si="34"/>
        <v>0</v>
      </c>
      <c r="BA114" s="46">
        <f t="shared" ca="1" si="34"/>
        <v>0</v>
      </c>
      <c r="BB114" s="46">
        <f t="shared" ca="1" si="34"/>
        <v>61.098677361090587</v>
      </c>
      <c r="BC114" s="46">
        <f t="shared" ca="1" si="34"/>
        <v>0</v>
      </c>
      <c r="BD114" s="46">
        <f t="shared" ca="1" si="34"/>
        <v>0</v>
      </c>
      <c r="BE114" s="46">
        <f t="shared" ca="1" si="34"/>
        <v>30.549338680545294</v>
      </c>
      <c r="BF114" s="46">
        <f t="shared" ca="1" si="34"/>
        <v>0</v>
      </c>
      <c r="BG114" s="46">
        <f t="shared" ca="1" si="34"/>
        <v>0</v>
      </c>
      <c r="BH114" s="46">
        <f t="shared" ca="1" si="34"/>
        <v>15.274669340272647</v>
      </c>
      <c r="BI114" s="46">
        <f t="shared" ca="1" si="34"/>
        <v>0</v>
      </c>
      <c r="BJ114" s="46">
        <f t="shared" ca="1" si="34"/>
        <v>0</v>
      </c>
      <c r="BK114" s="46">
        <f t="shared" ca="1" si="34"/>
        <v>7.6373346701363234</v>
      </c>
      <c r="BL114" s="46">
        <f t="shared" ca="1" si="34"/>
        <v>0</v>
      </c>
      <c r="BM114" s="46">
        <f t="shared" ca="1" si="34"/>
        <v>0</v>
      </c>
      <c r="BN114" s="46">
        <f t="shared" ca="1" si="34"/>
        <v>3.8186673350681617</v>
      </c>
      <c r="BO114" s="46">
        <f t="shared" ca="1" si="34"/>
        <v>0</v>
      </c>
    </row>
    <row r="115" spans="1:67" ht="16.5" hidden="1" customHeight="1" outlineLevel="1">
      <c r="A115" s="1"/>
      <c r="B115" s="55">
        <f t="shared" si="21"/>
        <v>46022</v>
      </c>
      <c r="C115" s="17" t="s">
        <v>104</v>
      </c>
      <c r="D115" s="46">
        <f t="shared" si="23"/>
        <v>12</v>
      </c>
      <c r="E115" s="16"/>
      <c r="F115" s="51">
        <f t="shared" si="24"/>
        <v>1</v>
      </c>
      <c r="G115" s="16" t="s">
        <v>159</v>
      </c>
      <c r="H115" s="16" t="s">
        <v>155</v>
      </c>
      <c r="I115" s="46">
        <f ca="1">IF(H115=Forecast!$H$195,T115,IF(H115=Forecast!$H$196,BO115,IF(H115=Forecast!$H$197,SUM(T115:BO115),IF(H115=Forecast!$H$198,AVERAGE(T115:BO115),0))))</f>
        <v>35989.555970051581</v>
      </c>
      <c r="J115" s="16"/>
      <c r="K115" s="16"/>
      <c r="L115" s="16"/>
      <c r="M115" s="16"/>
      <c r="N115" s="16"/>
      <c r="O115" s="16"/>
      <c r="P115" s="16"/>
      <c r="Q115" s="16"/>
      <c r="R115" s="16"/>
      <c r="S115" s="16"/>
      <c r="T115" s="46">
        <f t="shared" ref="T115:BO115" si="35">IF(T$6&lt;$D115,0,INDEX($T$44:$BO$44,,T$6-$D115+1)*INDEX($T$52:$BO$52,,$D115)*IF(T$6=$D115,1,$F115)*T$46)</f>
        <v>0</v>
      </c>
      <c r="U115" s="46">
        <f t="shared" si="35"/>
        <v>0</v>
      </c>
      <c r="V115" s="46">
        <f t="shared" si="35"/>
        <v>0</v>
      </c>
      <c r="W115" s="46">
        <f t="shared" si="35"/>
        <v>0</v>
      </c>
      <c r="X115" s="46">
        <f t="shared" si="35"/>
        <v>0</v>
      </c>
      <c r="Y115" s="46">
        <f t="shared" si="35"/>
        <v>0</v>
      </c>
      <c r="Z115" s="46">
        <f t="shared" si="35"/>
        <v>0</v>
      </c>
      <c r="AA115" s="46">
        <f t="shared" si="35"/>
        <v>0</v>
      </c>
      <c r="AB115" s="46">
        <f t="shared" si="35"/>
        <v>0</v>
      </c>
      <c r="AC115" s="46">
        <f t="shared" si="35"/>
        <v>0</v>
      </c>
      <c r="AD115" s="46">
        <f t="shared" si="35"/>
        <v>0</v>
      </c>
      <c r="AE115" s="46">
        <f t="shared" ca="1" si="35"/>
        <v>17996.974881373611</v>
      </c>
      <c r="AF115" s="46">
        <f t="shared" ca="1" si="35"/>
        <v>0</v>
      </c>
      <c r="AG115" s="46">
        <f t="shared" ca="1" si="35"/>
        <v>0</v>
      </c>
      <c r="AH115" s="46">
        <f t="shared" ca="1" si="35"/>
        <v>8998.4874406868057</v>
      </c>
      <c r="AI115" s="46">
        <f t="shared" ca="1" si="35"/>
        <v>0</v>
      </c>
      <c r="AJ115" s="46">
        <f t="shared" ca="1" si="35"/>
        <v>0</v>
      </c>
      <c r="AK115" s="46">
        <f t="shared" ca="1" si="35"/>
        <v>4499.2437203434029</v>
      </c>
      <c r="AL115" s="46">
        <f t="shared" ca="1" si="35"/>
        <v>0</v>
      </c>
      <c r="AM115" s="46">
        <f t="shared" ca="1" si="35"/>
        <v>0</v>
      </c>
      <c r="AN115" s="46">
        <f t="shared" ca="1" si="35"/>
        <v>2249.6218601717014</v>
      </c>
      <c r="AO115" s="46">
        <f t="shared" ca="1" si="35"/>
        <v>0</v>
      </c>
      <c r="AP115" s="46">
        <f t="shared" ca="1" si="35"/>
        <v>0</v>
      </c>
      <c r="AQ115" s="46">
        <f t="shared" ca="1" si="35"/>
        <v>1124.8109300858507</v>
      </c>
      <c r="AR115" s="46">
        <f t="shared" ca="1" si="35"/>
        <v>0</v>
      </c>
      <c r="AS115" s="46">
        <f t="shared" ca="1" si="35"/>
        <v>0</v>
      </c>
      <c r="AT115" s="46">
        <f t="shared" ca="1" si="35"/>
        <v>562.40546504292536</v>
      </c>
      <c r="AU115" s="46">
        <f t="shared" ca="1" si="35"/>
        <v>0</v>
      </c>
      <c r="AV115" s="46">
        <f t="shared" ca="1" si="35"/>
        <v>0</v>
      </c>
      <c r="AW115" s="46">
        <f t="shared" ca="1" si="35"/>
        <v>281.20273252146268</v>
      </c>
      <c r="AX115" s="46">
        <f t="shared" ca="1" si="35"/>
        <v>0</v>
      </c>
      <c r="AY115" s="46">
        <f t="shared" ca="1" si="35"/>
        <v>0</v>
      </c>
      <c r="AZ115" s="46">
        <f t="shared" ca="1" si="35"/>
        <v>140.60136626073134</v>
      </c>
      <c r="BA115" s="46">
        <f t="shared" ca="1" si="35"/>
        <v>0</v>
      </c>
      <c r="BB115" s="46">
        <f t="shared" ca="1" si="35"/>
        <v>0</v>
      </c>
      <c r="BC115" s="46">
        <f t="shared" ca="1" si="35"/>
        <v>70.30068313036567</v>
      </c>
      <c r="BD115" s="46">
        <f t="shared" ca="1" si="35"/>
        <v>0</v>
      </c>
      <c r="BE115" s="46">
        <f t="shared" ca="1" si="35"/>
        <v>0</v>
      </c>
      <c r="BF115" s="46">
        <f t="shared" ca="1" si="35"/>
        <v>35.150341565182835</v>
      </c>
      <c r="BG115" s="46">
        <f t="shared" ca="1" si="35"/>
        <v>0</v>
      </c>
      <c r="BH115" s="46">
        <f t="shared" ca="1" si="35"/>
        <v>0</v>
      </c>
      <c r="BI115" s="46">
        <f t="shared" ca="1" si="35"/>
        <v>17.575170782591417</v>
      </c>
      <c r="BJ115" s="46">
        <f t="shared" ca="1" si="35"/>
        <v>0</v>
      </c>
      <c r="BK115" s="46">
        <f t="shared" ca="1" si="35"/>
        <v>0</v>
      </c>
      <c r="BL115" s="46">
        <f t="shared" ca="1" si="35"/>
        <v>8.7875853912957087</v>
      </c>
      <c r="BM115" s="46">
        <f t="shared" ca="1" si="35"/>
        <v>0</v>
      </c>
      <c r="BN115" s="46">
        <f t="shared" ca="1" si="35"/>
        <v>0</v>
      </c>
      <c r="BO115" s="46">
        <f t="shared" ca="1" si="35"/>
        <v>4.3937926956478544</v>
      </c>
    </row>
    <row r="116" spans="1:67" ht="16.5" hidden="1" customHeight="1" outlineLevel="1">
      <c r="A116" s="1"/>
      <c r="B116" s="55">
        <f t="shared" si="21"/>
        <v>46053</v>
      </c>
      <c r="C116" s="17" t="s">
        <v>104</v>
      </c>
      <c r="D116" s="46">
        <f t="shared" si="23"/>
        <v>13</v>
      </c>
      <c r="E116" s="16"/>
      <c r="F116" s="51">
        <f t="shared" si="24"/>
        <v>1</v>
      </c>
      <c r="G116" s="16" t="s">
        <v>159</v>
      </c>
      <c r="H116" s="16" t="s">
        <v>155</v>
      </c>
      <c r="I116" s="46">
        <f ca="1">IF(H116=Forecast!$H$195,T116,IF(H116=Forecast!$H$196,BO116,IF(H116=Forecast!$H$197,SUM(T116:BO116),IF(H116=Forecast!$H$198,AVERAGE(T116:BO116),0))))</f>
        <v>40591.895606399434</v>
      </c>
      <c r="J116" s="16"/>
      <c r="K116" s="16"/>
      <c r="L116" s="16"/>
      <c r="M116" s="16"/>
      <c r="N116" s="16"/>
      <c r="O116" s="16"/>
      <c r="P116" s="16"/>
      <c r="Q116" s="16"/>
      <c r="R116" s="16"/>
      <c r="S116" s="16"/>
      <c r="T116" s="46">
        <f t="shared" ref="T116:BO116" si="36">IF(T$6&lt;$D116,0,INDEX($T$44:$BO$44,,T$6-$D116+1)*INDEX($T$52:$BO$52,,$D116)*IF(T$6=$D116,1,$F116)*T$46)</f>
        <v>0</v>
      </c>
      <c r="U116" s="46">
        <f t="shared" si="36"/>
        <v>0</v>
      </c>
      <c r="V116" s="46">
        <f t="shared" si="36"/>
        <v>0</v>
      </c>
      <c r="W116" s="46">
        <f t="shared" si="36"/>
        <v>0</v>
      </c>
      <c r="X116" s="46">
        <f t="shared" si="36"/>
        <v>0</v>
      </c>
      <c r="Y116" s="46">
        <f t="shared" si="36"/>
        <v>0</v>
      </c>
      <c r="Z116" s="46">
        <f t="shared" si="36"/>
        <v>0</v>
      </c>
      <c r="AA116" s="46">
        <f t="shared" si="36"/>
        <v>0</v>
      </c>
      <c r="AB116" s="46">
        <f t="shared" si="36"/>
        <v>0</v>
      </c>
      <c r="AC116" s="46">
        <f t="shared" si="36"/>
        <v>0</v>
      </c>
      <c r="AD116" s="46">
        <f t="shared" si="36"/>
        <v>0</v>
      </c>
      <c r="AE116" s="46">
        <f t="shared" si="36"/>
        <v>0</v>
      </c>
      <c r="AF116" s="46">
        <f t="shared" ca="1" si="36"/>
        <v>20300.904078609532</v>
      </c>
      <c r="AG116" s="46">
        <f t="shared" ca="1" si="36"/>
        <v>0</v>
      </c>
      <c r="AH116" s="46">
        <f t="shared" ca="1" si="36"/>
        <v>0</v>
      </c>
      <c r="AI116" s="46">
        <f t="shared" ca="1" si="36"/>
        <v>10150.452039304766</v>
      </c>
      <c r="AJ116" s="46">
        <f t="shared" ca="1" si="36"/>
        <v>0</v>
      </c>
      <c r="AK116" s="46">
        <f t="shared" ca="1" si="36"/>
        <v>0</v>
      </c>
      <c r="AL116" s="46">
        <f t="shared" ca="1" si="36"/>
        <v>5075.226019652383</v>
      </c>
      <c r="AM116" s="46">
        <f t="shared" ca="1" si="36"/>
        <v>0</v>
      </c>
      <c r="AN116" s="46">
        <f t="shared" ca="1" si="36"/>
        <v>0</v>
      </c>
      <c r="AO116" s="46">
        <f t="shared" ca="1" si="36"/>
        <v>2537.6130098261915</v>
      </c>
      <c r="AP116" s="46">
        <f t="shared" ca="1" si="36"/>
        <v>0</v>
      </c>
      <c r="AQ116" s="46">
        <f t="shared" ca="1" si="36"/>
        <v>0</v>
      </c>
      <c r="AR116" s="46">
        <f t="shared" ca="1" si="36"/>
        <v>1268.8065049130958</v>
      </c>
      <c r="AS116" s="46">
        <f t="shared" ca="1" si="36"/>
        <v>0</v>
      </c>
      <c r="AT116" s="46">
        <f t="shared" ca="1" si="36"/>
        <v>0</v>
      </c>
      <c r="AU116" s="46">
        <f t="shared" ca="1" si="36"/>
        <v>634.40325245654788</v>
      </c>
      <c r="AV116" s="46">
        <f t="shared" ca="1" si="36"/>
        <v>0</v>
      </c>
      <c r="AW116" s="46">
        <f t="shared" ca="1" si="36"/>
        <v>0</v>
      </c>
      <c r="AX116" s="46">
        <f t="shared" ca="1" si="36"/>
        <v>317.20162622827394</v>
      </c>
      <c r="AY116" s="46">
        <f t="shared" ca="1" si="36"/>
        <v>0</v>
      </c>
      <c r="AZ116" s="46">
        <f t="shared" ca="1" si="36"/>
        <v>0</v>
      </c>
      <c r="BA116" s="46">
        <f t="shared" ca="1" si="36"/>
        <v>158.60081311413697</v>
      </c>
      <c r="BB116" s="46">
        <f t="shared" ca="1" si="36"/>
        <v>0</v>
      </c>
      <c r="BC116" s="46">
        <f t="shared" ca="1" si="36"/>
        <v>0</v>
      </c>
      <c r="BD116" s="46">
        <f t="shared" ca="1" si="36"/>
        <v>79.300406557068484</v>
      </c>
      <c r="BE116" s="46">
        <f t="shared" ca="1" si="36"/>
        <v>0</v>
      </c>
      <c r="BF116" s="46">
        <f t="shared" ca="1" si="36"/>
        <v>0</v>
      </c>
      <c r="BG116" s="46">
        <f t="shared" ca="1" si="36"/>
        <v>39.650203278534242</v>
      </c>
      <c r="BH116" s="46">
        <f t="shared" ca="1" si="36"/>
        <v>0</v>
      </c>
      <c r="BI116" s="46">
        <f t="shared" ca="1" si="36"/>
        <v>0</v>
      </c>
      <c r="BJ116" s="46">
        <f t="shared" ca="1" si="36"/>
        <v>19.825101639267121</v>
      </c>
      <c r="BK116" s="46">
        <f t="shared" ca="1" si="36"/>
        <v>0</v>
      </c>
      <c r="BL116" s="46">
        <f t="shared" ca="1" si="36"/>
        <v>0</v>
      </c>
      <c r="BM116" s="46">
        <f t="shared" ca="1" si="36"/>
        <v>9.9125508196335606</v>
      </c>
      <c r="BN116" s="46">
        <f t="shared" ca="1" si="36"/>
        <v>0</v>
      </c>
      <c r="BO116" s="46">
        <f t="shared" ca="1" si="36"/>
        <v>0</v>
      </c>
    </row>
    <row r="117" spans="1:67" ht="16.5" hidden="1" customHeight="1" outlineLevel="1">
      <c r="A117" s="1"/>
      <c r="B117" s="55">
        <f t="shared" si="21"/>
        <v>46081</v>
      </c>
      <c r="C117" s="17" t="s">
        <v>104</v>
      </c>
      <c r="D117" s="46">
        <f t="shared" si="23"/>
        <v>14</v>
      </c>
      <c r="E117" s="16"/>
      <c r="F117" s="51">
        <f t="shared" si="24"/>
        <v>1</v>
      </c>
      <c r="G117" s="16" t="s">
        <v>159</v>
      </c>
      <c r="H117" s="16" t="s">
        <v>155</v>
      </c>
      <c r="I117" s="46">
        <f ca="1">IF(H117=Forecast!$H$195,T117,IF(H117=Forecast!$H$196,BO117,IF(H117=Forecast!$H$197,SUM(T117:BO117),IF(H117=Forecast!$H$198,AVERAGE(T117:BO117),0))))</f>
        <v>45008.900462154314</v>
      </c>
      <c r="J117" s="16"/>
      <c r="K117" s="16"/>
      <c r="L117" s="16"/>
      <c r="M117" s="16"/>
      <c r="N117" s="16"/>
      <c r="O117" s="16"/>
      <c r="P117" s="16"/>
      <c r="Q117" s="16"/>
      <c r="R117" s="16"/>
      <c r="S117" s="16"/>
      <c r="T117" s="46">
        <f t="shared" ref="T117:BO117" si="37">IF(T$6&lt;$D117,0,INDEX($T$44:$BO$44,,T$6-$D117+1)*INDEX($T$52:$BO$52,,$D117)*IF(T$6=$D117,1,$F117)*T$46)</f>
        <v>0</v>
      </c>
      <c r="U117" s="46">
        <f t="shared" si="37"/>
        <v>0</v>
      </c>
      <c r="V117" s="46">
        <f t="shared" si="37"/>
        <v>0</v>
      </c>
      <c r="W117" s="46">
        <f t="shared" si="37"/>
        <v>0</v>
      </c>
      <c r="X117" s="46">
        <f t="shared" si="37"/>
        <v>0</v>
      </c>
      <c r="Y117" s="46">
        <f t="shared" si="37"/>
        <v>0</v>
      </c>
      <c r="Z117" s="46">
        <f t="shared" si="37"/>
        <v>0</v>
      </c>
      <c r="AA117" s="46">
        <f t="shared" si="37"/>
        <v>0</v>
      </c>
      <c r="AB117" s="46">
        <f t="shared" si="37"/>
        <v>0</v>
      </c>
      <c r="AC117" s="46">
        <f t="shared" si="37"/>
        <v>0</v>
      </c>
      <c r="AD117" s="46">
        <f t="shared" si="37"/>
        <v>0</v>
      </c>
      <c r="AE117" s="46">
        <f t="shared" si="37"/>
        <v>0</v>
      </c>
      <c r="AF117" s="46">
        <f t="shared" si="37"/>
        <v>0</v>
      </c>
      <c r="AG117" s="46">
        <f t="shared" ca="1" si="37"/>
        <v>22509.945823319176</v>
      </c>
      <c r="AH117" s="46">
        <f t="shared" ca="1" si="37"/>
        <v>0</v>
      </c>
      <c r="AI117" s="46">
        <f t="shared" ca="1" si="37"/>
        <v>0</v>
      </c>
      <c r="AJ117" s="46">
        <f t="shared" ca="1" si="37"/>
        <v>11254.972911659588</v>
      </c>
      <c r="AK117" s="46">
        <f t="shared" ca="1" si="37"/>
        <v>0</v>
      </c>
      <c r="AL117" s="46">
        <f t="shared" ca="1" si="37"/>
        <v>0</v>
      </c>
      <c r="AM117" s="46">
        <f t="shared" ca="1" si="37"/>
        <v>5627.4864558297941</v>
      </c>
      <c r="AN117" s="46">
        <f t="shared" ca="1" si="37"/>
        <v>0</v>
      </c>
      <c r="AO117" s="46">
        <f t="shared" ca="1" si="37"/>
        <v>0</v>
      </c>
      <c r="AP117" s="46">
        <f t="shared" ca="1" si="37"/>
        <v>2813.743227914897</v>
      </c>
      <c r="AQ117" s="46">
        <f t="shared" ca="1" si="37"/>
        <v>0</v>
      </c>
      <c r="AR117" s="46">
        <f t="shared" ca="1" si="37"/>
        <v>0</v>
      </c>
      <c r="AS117" s="46">
        <f t="shared" ca="1" si="37"/>
        <v>1406.8716139574485</v>
      </c>
      <c r="AT117" s="46">
        <f t="shared" ca="1" si="37"/>
        <v>0</v>
      </c>
      <c r="AU117" s="46">
        <f t="shared" ca="1" si="37"/>
        <v>0</v>
      </c>
      <c r="AV117" s="46">
        <f t="shared" ca="1" si="37"/>
        <v>703.43580697872426</v>
      </c>
      <c r="AW117" s="46">
        <f t="shared" ca="1" si="37"/>
        <v>0</v>
      </c>
      <c r="AX117" s="46">
        <f t="shared" ca="1" si="37"/>
        <v>0</v>
      </c>
      <c r="AY117" s="46">
        <f t="shared" ca="1" si="37"/>
        <v>351.71790348936213</v>
      </c>
      <c r="AZ117" s="46">
        <f t="shared" ca="1" si="37"/>
        <v>0</v>
      </c>
      <c r="BA117" s="46">
        <f t="shared" ca="1" si="37"/>
        <v>0</v>
      </c>
      <c r="BB117" s="46">
        <f t="shared" ca="1" si="37"/>
        <v>175.85895174468106</v>
      </c>
      <c r="BC117" s="46">
        <f t="shared" ca="1" si="37"/>
        <v>0</v>
      </c>
      <c r="BD117" s="46">
        <f t="shared" ca="1" si="37"/>
        <v>0</v>
      </c>
      <c r="BE117" s="46">
        <f t="shared" ca="1" si="37"/>
        <v>87.929475872340532</v>
      </c>
      <c r="BF117" s="46">
        <f t="shared" ca="1" si="37"/>
        <v>0</v>
      </c>
      <c r="BG117" s="46">
        <f t="shared" ca="1" si="37"/>
        <v>0</v>
      </c>
      <c r="BH117" s="46">
        <f t="shared" ca="1" si="37"/>
        <v>43.964737936170266</v>
      </c>
      <c r="BI117" s="46">
        <f t="shared" ca="1" si="37"/>
        <v>0</v>
      </c>
      <c r="BJ117" s="46">
        <f t="shared" ca="1" si="37"/>
        <v>0</v>
      </c>
      <c r="BK117" s="46">
        <f t="shared" ca="1" si="37"/>
        <v>21.982368968085133</v>
      </c>
      <c r="BL117" s="46">
        <f t="shared" ca="1" si="37"/>
        <v>0</v>
      </c>
      <c r="BM117" s="46">
        <f t="shared" ca="1" si="37"/>
        <v>0</v>
      </c>
      <c r="BN117" s="46">
        <f t="shared" ca="1" si="37"/>
        <v>10.991184484042567</v>
      </c>
      <c r="BO117" s="46">
        <f t="shared" ca="1" si="37"/>
        <v>0</v>
      </c>
    </row>
    <row r="118" spans="1:67" ht="16.5" hidden="1" customHeight="1" outlineLevel="1">
      <c r="A118" s="1"/>
      <c r="B118" s="55">
        <f t="shared" si="21"/>
        <v>46112</v>
      </c>
      <c r="C118" s="17" t="s">
        <v>104</v>
      </c>
      <c r="D118" s="46">
        <f t="shared" si="23"/>
        <v>15</v>
      </c>
      <c r="E118" s="16"/>
      <c r="F118" s="51">
        <f t="shared" si="24"/>
        <v>1</v>
      </c>
      <c r="G118" s="16" t="s">
        <v>159</v>
      </c>
      <c r="H118" s="16" t="s">
        <v>155</v>
      </c>
      <c r="I118" s="46">
        <f ca="1">IF(H118=Forecast!$H$195,T118,IF(H118=Forecast!$H$196,BO118,IF(H118=Forecast!$H$197,SUM(T118:BO118),IF(H118=Forecast!$H$198,AVERAGE(T118:BO118),0))))</f>
        <v>49171.895305953971</v>
      </c>
      <c r="J118" s="16"/>
      <c r="K118" s="16"/>
      <c r="L118" s="16"/>
      <c r="M118" s="16"/>
      <c r="N118" s="16"/>
      <c r="O118" s="16"/>
      <c r="P118" s="16"/>
      <c r="Q118" s="16"/>
      <c r="R118" s="16"/>
      <c r="S118" s="16"/>
      <c r="T118" s="46">
        <f t="shared" ref="T118:BO118" si="38">IF(T$6&lt;$D118,0,INDEX($T$44:$BO$44,,T$6-$D118+1)*INDEX($T$52:$BO$52,,$D118)*IF(T$6=$D118,1,$F118)*T$46)</f>
        <v>0</v>
      </c>
      <c r="U118" s="46">
        <f t="shared" si="38"/>
        <v>0</v>
      </c>
      <c r="V118" s="46">
        <f t="shared" si="38"/>
        <v>0</v>
      </c>
      <c r="W118" s="46">
        <f t="shared" si="38"/>
        <v>0</v>
      </c>
      <c r="X118" s="46">
        <f t="shared" si="38"/>
        <v>0</v>
      </c>
      <c r="Y118" s="46">
        <f t="shared" si="38"/>
        <v>0</v>
      </c>
      <c r="Z118" s="46">
        <f t="shared" si="38"/>
        <v>0</v>
      </c>
      <c r="AA118" s="46">
        <f t="shared" si="38"/>
        <v>0</v>
      </c>
      <c r="AB118" s="46">
        <f t="shared" si="38"/>
        <v>0</v>
      </c>
      <c r="AC118" s="46">
        <f t="shared" si="38"/>
        <v>0</v>
      </c>
      <c r="AD118" s="46">
        <f t="shared" si="38"/>
        <v>0</v>
      </c>
      <c r="AE118" s="46">
        <f t="shared" si="38"/>
        <v>0</v>
      </c>
      <c r="AF118" s="46">
        <f t="shared" si="38"/>
        <v>0</v>
      </c>
      <c r="AG118" s="46">
        <f t="shared" si="38"/>
        <v>0</v>
      </c>
      <c r="AH118" s="46">
        <f t="shared" ca="1" si="38"/>
        <v>24591.951547397737</v>
      </c>
      <c r="AI118" s="46">
        <f t="shared" ca="1" si="38"/>
        <v>0</v>
      </c>
      <c r="AJ118" s="46">
        <f t="shared" ca="1" si="38"/>
        <v>0</v>
      </c>
      <c r="AK118" s="46">
        <f t="shared" ca="1" si="38"/>
        <v>12295.975773698869</v>
      </c>
      <c r="AL118" s="46">
        <f t="shared" ca="1" si="38"/>
        <v>0</v>
      </c>
      <c r="AM118" s="46">
        <f t="shared" ca="1" si="38"/>
        <v>0</v>
      </c>
      <c r="AN118" s="46">
        <f t="shared" ca="1" si="38"/>
        <v>6147.9878868494343</v>
      </c>
      <c r="AO118" s="46">
        <f t="shared" ca="1" si="38"/>
        <v>0</v>
      </c>
      <c r="AP118" s="46">
        <f t="shared" ca="1" si="38"/>
        <v>0</v>
      </c>
      <c r="AQ118" s="46">
        <f t="shared" ca="1" si="38"/>
        <v>3073.9939434247171</v>
      </c>
      <c r="AR118" s="46">
        <f t="shared" ca="1" si="38"/>
        <v>0</v>
      </c>
      <c r="AS118" s="46">
        <f t="shared" ca="1" si="38"/>
        <v>0</v>
      </c>
      <c r="AT118" s="46">
        <f t="shared" ca="1" si="38"/>
        <v>1536.9969717123586</v>
      </c>
      <c r="AU118" s="46">
        <f t="shared" ca="1" si="38"/>
        <v>0</v>
      </c>
      <c r="AV118" s="46">
        <f t="shared" ca="1" si="38"/>
        <v>0</v>
      </c>
      <c r="AW118" s="46">
        <f t="shared" ca="1" si="38"/>
        <v>768.49848585617929</v>
      </c>
      <c r="AX118" s="46">
        <f t="shared" ca="1" si="38"/>
        <v>0</v>
      </c>
      <c r="AY118" s="46">
        <f t="shared" ca="1" si="38"/>
        <v>0</v>
      </c>
      <c r="AZ118" s="46">
        <f t="shared" ca="1" si="38"/>
        <v>384.24924292808964</v>
      </c>
      <c r="BA118" s="46">
        <f t="shared" ca="1" si="38"/>
        <v>0</v>
      </c>
      <c r="BB118" s="46">
        <f t="shared" ca="1" si="38"/>
        <v>0</v>
      </c>
      <c r="BC118" s="46">
        <f t="shared" ca="1" si="38"/>
        <v>192.12462146404482</v>
      </c>
      <c r="BD118" s="46">
        <f t="shared" ca="1" si="38"/>
        <v>0</v>
      </c>
      <c r="BE118" s="46">
        <f t="shared" ca="1" si="38"/>
        <v>0</v>
      </c>
      <c r="BF118" s="46">
        <f t="shared" ca="1" si="38"/>
        <v>96.062310732022411</v>
      </c>
      <c r="BG118" s="46">
        <f t="shared" ca="1" si="38"/>
        <v>0</v>
      </c>
      <c r="BH118" s="46">
        <f t="shared" ca="1" si="38"/>
        <v>0</v>
      </c>
      <c r="BI118" s="46">
        <f t="shared" ca="1" si="38"/>
        <v>48.031155366011205</v>
      </c>
      <c r="BJ118" s="46">
        <f t="shared" ca="1" si="38"/>
        <v>0</v>
      </c>
      <c r="BK118" s="46">
        <f t="shared" ca="1" si="38"/>
        <v>0</v>
      </c>
      <c r="BL118" s="46">
        <f t="shared" ca="1" si="38"/>
        <v>24.015577683005603</v>
      </c>
      <c r="BM118" s="46">
        <f t="shared" ca="1" si="38"/>
        <v>0</v>
      </c>
      <c r="BN118" s="46">
        <f t="shared" ca="1" si="38"/>
        <v>0</v>
      </c>
      <c r="BO118" s="46">
        <f t="shared" ca="1" si="38"/>
        <v>12.007788841502801</v>
      </c>
    </row>
    <row r="119" spans="1:67" ht="16.5" hidden="1" customHeight="1" outlineLevel="1">
      <c r="A119" s="1"/>
      <c r="B119" s="55">
        <f t="shared" si="21"/>
        <v>46142</v>
      </c>
      <c r="C119" s="17" t="s">
        <v>104</v>
      </c>
      <c r="D119" s="46">
        <f t="shared" si="23"/>
        <v>16</v>
      </c>
      <c r="E119" s="16"/>
      <c r="F119" s="51">
        <f t="shared" si="24"/>
        <v>1</v>
      </c>
      <c r="G119" s="16" t="s">
        <v>159</v>
      </c>
      <c r="H119" s="16" t="s">
        <v>155</v>
      </c>
      <c r="I119" s="46">
        <f ca="1">IF(H119=Forecast!$H$195,T119,IF(H119=Forecast!$H$196,BO119,IF(H119=Forecast!$H$197,SUM(T119:BO119),IF(H119=Forecast!$H$198,AVERAGE(T119:BO119),0))))</f>
        <v>53024.778743758921</v>
      </c>
      <c r="J119" s="16"/>
      <c r="K119" s="16"/>
      <c r="L119" s="16"/>
      <c r="M119" s="16"/>
      <c r="N119" s="16"/>
      <c r="O119" s="16"/>
      <c r="P119" s="16"/>
      <c r="Q119" s="16"/>
      <c r="R119" s="16"/>
      <c r="S119" s="16"/>
      <c r="T119" s="46">
        <f t="shared" ref="T119:BO119" si="39">IF(T$6&lt;$D119,0,INDEX($T$44:$BO$44,,T$6-$D119+1)*INDEX($T$52:$BO$52,,$D119)*IF(T$6=$D119,1,$F119)*T$46)</f>
        <v>0</v>
      </c>
      <c r="U119" s="46">
        <f t="shared" si="39"/>
        <v>0</v>
      </c>
      <c r="V119" s="46">
        <f t="shared" si="39"/>
        <v>0</v>
      </c>
      <c r="W119" s="46">
        <f t="shared" si="39"/>
        <v>0</v>
      </c>
      <c r="X119" s="46">
        <f t="shared" si="39"/>
        <v>0</v>
      </c>
      <c r="Y119" s="46">
        <f t="shared" si="39"/>
        <v>0</v>
      </c>
      <c r="Z119" s="46">
        <f t="shared" si="39"/>
        <v>0</v>
      </c>
      <c r="AA119" s="46">
        <f t="shared" si="39"/>
        <v>0</v>
      </c>
      <c r="AB119" s="46">
        <f t="shared" si="39"/>
        <v>0</v>
      </c>
      <c r="AC119" s="46">
        <f t="shared" si="39"/>
        <v>0</v>
      </c>
      <c r="AD119" s="46">
        <f t="shared" si="39"/>
        <v>0</v>
      </c>
      <c r="AE119" s="46">
        <f t="shared" si="39"/>
        <v>0</v>
      </c>
      <c r="AF119" s="46">
        <f t="shared" si="39"/>
        <v>0</v>
      </c>
      <c r="AG119" s="46">
        <f t="shared" si="39"/>
        <v>0</v>
      </c>
      <c r="AH119" s="46">
        <f t="shared" si="39"/>
        <v>0</v>
      </c>
      <c r="AI119" s="46">
        <f t="shared" ca="1" si="39"/>
        <v>26525.341198636608</v>
      </c>
      <c r="AJ119" s="46">
        <f t="shared" ca="1" si="39"/>
        <v>0</v>
      </c>
      <c r="AK119" s="46">
        <f t="shared" ca="1" si="39"/>
        <v>0</v>
      </c>
      <c r="AL119" s="46">
        <f t="shared" ca="1" si="39"/>
        <v>13262.670599318304</v>
      </c>
      <c r="AM119" s="46">
        <f t="shared" ca="1" si="39"/>
        <v>0</v>
      </c>
      <c r="AN119" s="46">
        <f t="shared" ca="1" si="39"/>
        <v>0</v>
      </c>
      <c r="AO119" s="46">
        <f t="shared" ca="1" si="39"/>
        <v>6631.335299659152</v>
      </c>
      <c r="AP119" s="46">
        <f t="shared" ca="1" si="39"/>
        <v>0</v>
      </c>
      <c r="AQ119" s="46">
        <f t="shared" ca="1" si="39"/>
        <v>0</v>
      </c>
      <c r="AR119" s="46">
        <f t="shared" ca="1" si="39"/>
        <v>3315.667649829576</v>
      </c>
      <c r="AS119" s="46">
        <f t="shared" ca="1" si="39"/>
        <v>0</v>
      </c>
      <c r="AT119" s="46">
        <f t="shared" ca="1" si="39"/>
        <v>0</v>
      </c>
      <c r="AU119" s="46">
        <f t="shared" ca="1" si="39"/>
        <v>1657.833824914788</v>
      </c>
      <c r="AV119" s="46">
        <f t="shared" ca="1" si="39"/>
        <v>0</v>
      </c>
      <c r="AW119" s="46">
        <f t="shared" ca="1" si="39"/>
        <v>0</v>
      </c>
      <c r="AX119" s="46">
        <f t="shared" ca="1" si="39"/>
        <v>828.91691245739401</v>
      </c>
      <c r="AY119" s="46">
        <f t="shared" ca="1" si="39"/>
        <v>0</v>
      </c>
      <c r="AZ119" s="46">
        <f t="shared" ca="1" si="39"/>
        <v>0</v>
      </c>
      <c r="BA119" s="46">
        <f t="shared" ca="1" si="39"/>
        <v>414.458456228697</v>
      </c>
      <c r="BB119" s="46">
        <f t="shared" ca="1" si="39"/>
        <v>0</v>
      </c>
      <c r="BC119" s="46">
        <f t="shared" ca="1" si="39"/>
        <v>0</v>
      </c>
      <c r="BD119" s="46">
        <f t="shared" ca="1" si="39"/>
        <v>207.2292281143485</v>
      </c>
      <c r="BE119" s="46">
        <f t="shared" ca="1" si="39"/>
        <v>0</v>
      </c>
      <c r="BF119" s="46">
        <f t="shared" ca="1" si="39"/>
        <v>0</v>
      </c>
      <c r="BG119" s="46">
        <f t="shared" ca="1" si="39"/>
        <v>103.61461405717425</v>
      </c>
      <c r="BH119" s="46">
        <f t="shared" ca="1" si="39"/>
        <v>0</v>
      </c>
      <c r="BI119" s="46">
        <f t="shared" ca="1" si="39"/>
        <v>0</v>
      </c>
      <c r="BJ119" s="46">
        <f t="shared" ca="1" si="39"/>
        <v>51.807307028587125</v>
      </c>
      <c r="BK119" s="46">
        <f t="shared" ca="1" si="39"/>
        <v>0</v>
      </c>
      <c r="BL119" s="46">
        <f t="shared" ca="1" si="39"/>
        <v>0</v>
      </c>
      <c r="BM119" s="46">
        <f t="shared" ca="1" si="39"/>
        <v>25.903653514293563</v>
      </c>
      <c r="BN119" s="46">
        <f t="shared" ca="1" si="39"/>
        <v>0</v>
      </c>
      <c r="BO119" s="46">
        <f t="shared" ca="1" si="39"/>
        <v>0</v>
      </c>
    </row>
    <row r="120" spans="1:67" ht="16.5" hidden="1" customHeight="1" outlineLevel="1">
      <c r="A120" s="1"/>
      <c r="B120" s="55">
        <f t="shared" si="21"/>
        <v>46173</v>
      </c>
      <c r="C120" s="17" t="s">
        <v>104</v>
      </c>
      <c r="D120" s="46">
        <f t="shared" si="23"/>
        <v>17</v>
      </c>
      <c r="E120" s="16"/>
      <c r="F120" s="51">
        <f t="shared" si="24"/>
        <v>1</v>
      </c>
      <c r="G120" s="16" t="s">
        <v>159</v>
      </c>
      <c r="H120" s="16" t="s">
        <v>155</v>
      </c>
      <c r="I120" s="46">
        <f ca="1">IF(H120=Forecast!$H$195,T120,IF(H120=Forecast!$H$196,BO120,IF(H120=Forecast!$H$197,SUM(T120:BO120),IF(H120=Forecast!$H$198,AVERAGE(T120:BO120),0))))</f>
        <v>56568.21142099487</v>
      </c>
      <c r="J120" s="16"/>
      <c r="K120" s="16"/>
      <c r="L120" s="16"/>
      <c r="M120" s="16"/>
      <c r="N120" s="16"/>
      <c r="O120" s="16"/>
      <c r="P120" s="16"/>
      <c r="Q120" s="16"/>
      <c r="R120" s="16"/>
      <c r="S120" s="16"/>
      <c r="T120" s="46">
        <f t="shared" ref="T120:BO120" si="40">IF(T$6&lt;$D120,0,INDEX($T$44:$BO$44,,T$6-$D120+1)*INDEX($T$52:$BO$52,,$D120)*IF(T$6=$D120,1,$F120)*T$46)</f>
        <v>0</v>
      </c>
      <c r="U120" s="46">
        <f t="shared" si="40"/>
        <v>0</v>
      </c>
      <c r="V120" s="46">
        <f t="shared" si="40"/>
        <v>0</v>
      </c>
      <c r="W120" s="46">
        <f t="shared" si="40"/>
        <v>0</v>
      </c>
      <c r="X120" s="46">
        <f t="shared" si="40"/>
        <v>0</v>
      </c>
      <c r="Y120" s="46">
        <f t="shared" si="40"/>
        <v>0</v>
      </c>
      <c r="Z120" s="46">
        <f t="shared" si="40"/>
        <v>0</v>
      </c>
      <c r="AA120" s="46">
        <f t="shared" si="40"/>
        <v>0</v>
      </c>
      <c r="AB120" s="46">
        <f t="shared" si="40"/>
        <v>0</v>
      </c>
      <c r="AC120" s="46">
        <f t="shared" si="40"/>
        <v>0</v>
      </c>
      <c r="AD120" s="46">
        <f t="shared" si="40"/>
        <v>0</v>
      </c>
      <c r="AE120" s="46">
        <f t="shared" si="40"/>
        <v>0</v>
      </c>
      <c r="AF120" s="46">
        <f t="shared" si="40"/>
        <v>0</v>
      </c>
      <c r="AG120" s="46">
        <f t="shared" si="40"/>
        <v>0</v>
      </c>
      <c r="AH120" s="46">
        <f t="shared" si="40"/>
        <v>0</v>
      </c>
      <c r="AI120" s="46">
        <f t="shared" si="40"/>
        <v>0</v>
      </c>
      <c r="AJ120" s="46">
        <f t="shared" ca="1" si="40"/>
        <v>28297.923055739495</v>
      </c>
      <c r="AK120" s="46">
        <f t="shared" ca="1" si="40"/>
        <v>0</v>
      </c>
      <c r="AL120" s="46">
        <f t="shared" ca="1" si="40"/>
        <v>0</v>
      </c>
      <c r="AM120" s="46">
        <f t="shared" ca="1" si="40"/>
        <v>14148.961527869747</v>
      </c>
      <c r="AN120" s="46">
        <f t="shared" ca="1" si="40"/>
        <v>0</v>
      </c>
      <c r="AO120" s="46">
        <f t="shared" ca="1" si="40"/>
        <v>0</v>
      </c>
      <c r="AP120" s="46">
        <f t="shared" ca="1" si="40"/>
        <v>7074.4807639348737</v>
      </c>
      <c r="AQ120" s="46">
        <f t="shared" ca="1" si="40"/>
        <v>0</v>
      </c>
      <c r="AR120" s="46">
        <f t="shared" ca="1" si="40"/>
        <v>0</v>
      </c>
      <c r="AS120" s="46">
        <f t="shared" ca="1" si="40"/>
        <v>3537.2403819674369</v>
      </c>
      <c r="AT120" s="46">
        <f t="shared" ca="1" si="40"/>
        <v>0</v>
      </c>
      <c r="AU120" s="46">
        <f t="shared" ca="1" si="40"/>
        <v>0</v>
      </c>
      <c r="AV120" s="46">
        <f t="shared" ca="1" si="40"/>
        <v>1768.6201909837184</v>
      </c>
      <c r="AW120" s="46">
        <f t="shared" ca="1" si="40"/>
        <v>0</v>
      </c>
      <c r="AX120" s="46">
        <f t="shared" ca="1" si="40"/>
        <v>0</v>
      </c>
      <c r="AY120" s="46">
        <f t="shared" ca="1" si="40"/>
        <v>884.31009549185922</v>
      </c>
      <c r="AZ120" s="46">
        <f t="shared" ca="1" si="40"/>
        <v>0</v>
      </c>
      <c r="BA120" s="46">
        <f t="shared" ca="1" si="40"/>
        <v>0</v>
      </c>
      <c r="BB120" s="46">
        <f t="shared" ca="1" si="40"/>
        <v>442.15504774592961</v>
      </c>
      <c r="BC120" s="46">
        <f t="shared" ca="1" si="40"/>
        <v>0</v>
      </c>
      <c r="BD120" s="46">
        <f t="shared" ca="1" si="40"/>
        <v>0</v>
      </c>
      <c r="BE120" s="46">
        <f t="shared" ca="1" si="40"/>
        <v>221.0775238729648</v>
      </c>
      <c r="BF120" s="46">
        <f t="shared" ca="1" si="40"/>
        <v>0</v>
      </c>
      <c r="BG120" s="46">
        <f t="shared" ca="1" si="40"/>
        <v>0</v>
      </c>
      <c r="BH120" s="46">
        <f t="shared" ca="1" si="40"/>
        <v>110.5387619364824</v>
      </c>
      <c r="BI120" s="46">
        <f t="shared" ca="1" si="40"/>
        <v>0</v>
      </c>
      <c r="BJ120" s="46">
        <f t="shared" ca="1" si="40"/>
        <v>0</v>
      </c>
      <c r="BK120" s="46">
        <f t="shared" ca="1" si="40"/>
        <v>55.269380968241201</v>
      </c>
      <c r="BL120" s="46">
        <f t="shared" ca="1" si="40"/>
        <v>0</v>
      </c>
      <c r="BM120" s="46">
        <f t="shared" ca="1" si="40"/>
        <v>0</v>
      </c>
      <c r="BN120" s="46">
        <f t="shared" ca="1" si="40"/>
        <v>27.6346904841206</v>
      </c>
      <c r="BO120" s="46">
        <f t="shared" ca="1" si="40"/>
        <v>0</v>
      </c>
    </row>
    <row r="121" spans="1:67" ht="16.5" hidden="1" customHeight="1" outlineLevel="1">
      <c r="A121" s="1"/>
      <c r="B121" s="55">
        <f t="shared" si="21"/>
        <v>46203</v>
      </c>
      <c r="C121" s="17" t="s">
        <v>104</v>
      </c>
      <c r="D121" s="46">
        <f t="shared" si="23"/>
        <v>18</v>
      </c>
      <c r="E121" s="16"/>
      <c r="F121" s="51">
        <f t="shared" si="24"/>
        <v>1</v>
      </c>
      <c r="G121" s="16" t="s">
        <v>159</v>
      </c>
      <c r="H121" s="16" t="s">
        <v>155</v>
      </c>
      <c r="I121" s="46">
        <f ca="1">IF(H121=Forecast!$H$195,T121,IF(H121=Forecast!$H$196,BO121,IF(H121=Forecast!$H$197,SUM(T121:BO121),IF(H121=Forecast!$H$198,AVERAGE(T121:BO121),0))))</f>
        <v>59781.403546491609</v>
      </c>
      <c r="J121" s="16"/>
      <c r="K121" s="16"/>
      <c r="L121" s="16"/>
      <c r="M121" s="16"/>
      <c r="N121" s="16"/>
      <c r="O121" s="16"/>
      <c r="P121" s="16"/>
      <c r="Q121" s="16"/>
      <c r="R121" s="16"/>
      <c r="S121" s="16"/>
      <c r="T121" s="46">
        <f t="shared" ref="T121:BO121" si="41">IF(T$6&lt;$D121,0,INDEX($T$44:$BO$44,,T$6-$D121+1)*INDEX($T$52:$BO$52,,$D121)*IF(T$6=$D121,1,$F121)*T$46)</f>
        <v>0</v>
      </c>
      <c r="U121" s="46">
        <f t="shared" si="41"/>
        <v>0</v>
      </c>
      <c r="V121" s="46">
        <f t="shared" si="41"/>
        <v>0</v>
      </c>
      <c r="W121" s="46">
        <f t="shared" si="41"/>
        <v>0</v>
      </c>
      <c r="X121" s="46">
        <f t="shared" si="41"/>
        <v>0</v>
      </c>
      <c r="Y121" s="46">
        <f t="shared" si="41"/>
        <v>0</v>
      </c>
      <c r="Z121" s="46">
        <f t="shared" si="41"/>
        <v>0</v>
      </c>
      <c r="AA121" s="46">
        <f t="shared" si="41"/>
        <v>0</v>
      </c>
      <c r="AB121" s="46">
        <f t="shared" si="41"/>
        <v>0</v>
      </c>
      <c r="AC121" s="46">
        <f t="shared" si="41"/>
        <v>0</v>
      </c>
      <c r="AD121" s="46">
        <f t="shared" si="41"/>
        <v>0</v>
      </c>
      <c r="AE121" s="46">
        <f t="shared" si="41"/>
        <v>0</v>
      </c>
      <c r="AF121" s="46">
        <f t="shared" si="41"/>
        <v>0</v>
      </c>
      <c r="AG121" s="46">
        <f t="shared" si="41"/>
        <v>0</v>
      </c>
      <c r="AH121" s="46">
        <f t="shared" si="41"/>
        <v>0</v>
      </c>
      <c r="AI121" s="46">
        <f t="shared" si="41"/>
        <v>0</v>
      </c>
      <c r="AJ121" s="46">
        <f t="shared" si="41"/>
        <v>0</v>
      </c>
      <c r="AK121" s="46">
        <f t="shared" ca="1" si="41"/>
        <v>29905.303972451104</v>
      </c>
      <c r="AL121" s="46">
        <f t="shared" ca="1" si="41"/>
        <v>0</v>
      </c>
      <c r="AM121" s="46">
        <f t="shared" ca="1" si="41"/>
        <v>0</v>
      </c>
      <c r="AN121" s="46">
        <f t="shared" ca="1" si="41"/>
        <v>14952.651986225552</v>
      </c>
      <c r="AO121" s="46">
        <f t="shared" ca="1" si="41"/>
        <v>0</v>
      </c>
      <c r="AP121" s="46">
        <f t="shared" ca="1" si="41"/>
        <v>0</v>
      </c>
      <c r="AQ121" s="46">
        <f t="shared" ca="1" si="41"/>
        <v>7476.3259931127759</v>
      </c>
      <c r="AR121" s="46">
        <f t="shared" ca="1" si="41"/>
        <v>0</v>
      </c>
      <c r="AS121" s="46">
        <f t="shared" ca="1" si="41"/>
        <v>0</v>
      </c>
      <c r="AT121" s="46">
        <f t="shared" ca="1" si="41"/>
        <v>3738.162996556388</v>
      </c>
      <c r="AU121" s="46">
        <f t="shared" ca="1" si="41"/>
        <v>0</v>
      </c>
      <c r="AV121" s="46">
        <f t="shared" ca="1" si="41"/>
        <v>0</v>
      </c>
      <c r="AW121" s="46">
        <f t="shared" ca="1" si="41"/>
        <v>1869.081498278194</v>
      </c>
      <c r="AX121" s="46">
        <f t="shared" ca="1" si="41"/>
        <v>0</v>
      </c>
      <c r="AY121" s="46">
        <f t="shared" ca="1" si="41"/>
        <v>0</v>
      </c>
      <c r="AZ121" s="46">
        <f t="shared" ca="1" si="41"/>
        <v>934.54074913909699</v>
      </c>
      <c r="BA121" s="46">
        <f t="shared" ca="1" si="41"/>
        <v>0</v>
      </c>
      <c r="BB121" s="46">
        <f t="shared" ca="1" si="41"/>
        <v>0</v>
      </c>
      <c r="BC121" s="46">
        <f t="shared" ca="1" si="41"/>
        <v>467.27037456954849</v>
      </c>
      <c r="BD121" s="46">
        <f t="shared" ca="1" si="41"/>
        <v>0</v>
      </c>
      <c r="BE121" s="46">
        <f t="shared" ca="1" si="41"/>
        <v>0</v>
      </c>
      <c r="BF121" s="46">
        <f t="shared" ca="1" si="41"/>
        <v>233.63518728477425</v>
      </c>
      <c r="BG121" s="46">
        <f t="shared" ca="1" si="41"/>
        <v>0</v>
      </c>
      <c r="BH121" s="46">
        <f t="shared" ca="1" si="41"/>
        <v>0</v>
      </c>
      <c r="BI121" s="46">
        <f t="shared" ca="1" si="41"/>
        <v>116.81759364238712</v>
      </c>
      <c r="BJ121" s="46">
        <f t="shared" ca="1" si="41"/>
        <v>0</v>
      </c>
      <c r="BK121" s="46">
        <f t="shared" ca="1" si="41"/>
        <v>0</v>
      </c>
      <c r="BL121" s="46">
        <f t="shared" ca="1" si="41"/>
        <v>58.408796821193562</v>
      </c>
      <c r="BM121" s="46">
        <f t="shared" ca="1" si="41"/>
        <v>0</v>
      </c>
      <c r="BN121" s="46">
        <f t="shared" ca="1" si="41"/>
        <v>0</v>
      </c>
      <c r="BO121" s="46">
        <f t="shared" ca="1" si="41"/>
        <v>29.204398410596781</v>
      </c>
    </row>
    <row r="122" spans="1:67" ht="16.5" hidden="1" customHeight="1" outlineLevel="1">
      <c r="A122" s="1"/>
      <c r="B122" s="55">
        <f t="shared" si="21"/>
        <v>46234</v>
      </c>
      <c r="C122" s="17" t="s">
        <v>104</v>
      </c>
      <c r="D122" s="46">
        <f t="shared" si="23"/>
        <v>19</v>
      </c>
      <c r="E122" s="16"/>
      <c r="F122" s="51">
        <f t="shared" si="24"/>
        <v>1</v>
      </c>
      <c r="G122" s="16" t="s">
        <v>159</v>
      </c>
      <c r="H122" s="16" t="s">
        <v>155</v>
      </c>
      <c r="I122" s="46">
        <f ca="1">IF(H122=Forecast!$H$195,T122,IF(H122=Forecast!$H$196,BO122,IF(H122=Forecast!$H$197,SUM(T122:BO122),IF(H122=Forecast!$H$198,AVERAGE(T122:BO122),0))))</f>
        <v>62637.14101413406</v>
      </c>
      <c r="J122" s="16"/>
      <c r="K122" s="16"/>
      <c r="L122" s="16"/>
      <c r="M122" s="16"/>
      <c r="N122" s="16"/>
      <c r="O122" s="16"/>
      <c r="P122" s="16"/>
      <c r="Q122" s="16"/>
      <c r="R122" s="16"/>
      <c r="S122" s="16"/>
      <c r="T122" s="46">
        <f t="shared" ref="T122:BO122" si="42">IF(T$6&lt;$D122,0,INDEX($T$44:$BO$44,,T$6-$D122+1)*INDEX($T$52:$BO$52,,$D122)*IF(T$6=$D122,1,$F122)*T$46)</f>
        <v>0</v>
      </c>
      <c r="U122" s="46">
        <f t="shared" si="42"/>
        <v>0</v>
      </c>
      <c r="V122" s="46">
        <f t="shared" si="42"/>
        <v>0</v>
      </c>
      <c r="W122" s="46">
        <f t="shared" si="42"/>
        <v>0</v>
      </c>
      <c r="X122" s="46">
        <f t="shared" si="42"/>
        <v>0</v>
      </c>
      <c r="Y122" s="46">
        <f t="shared" si="42"/>
        <v>0</v>
      </c>
      <c r="Z122" s="46">
        <f t="shared" si="42"/>
        <v>0</v>
      </c>
      <c r="AA122" s="46">
        <f t="shared" si="42"/>
        <v>0</v>
      </c>
      <c r="AB122" s="46">
        <f t="shared" si="42"/>
        <v>0</v>
      </c>
      <c r="AC122" s="46">
        <f t="shared" si="42"/>
        <v>0</v>
      </c>
      <c r="AD122" s="46">
        <f t="shared" si="42"/>
        <v>0</v>
      </c>
      <c r="AE122" s="46">
        <f t="shared" si="42"/>
        <v>0</v>
      </c>
      <c r="AF122" s="46">
        <f t="shared" si="42"/>
        <v>0</v>
      </c>
      <c r="AG122" s="46">
        <f t="shared" si="42"/>
        <v>0</v>
      </c>
      <c r="AH122" s="46">
        <f t="shared" si="42"/>
        <v>0</v>
      </c>
      <c r="AI122" s="46">
        <f t="shared" si="42"/>
        <v>0</v>
      </c>
      <c r="AJ122" s="46">
        <f t="shared" si="42"/>
        <v>0</v>
      </c>
      <c r="AK122" s="46">
        <f t="shared" si="42"/>
        <v>0</v>
      </c>
      <c r="AL122" s="46">
        <f t="shared" ca="1" si="42"/>
        <v>31349.18494549036</v>
      </c>
      <c r="AM122" s="46">
        <f t="shared" ca="1" si="42"/>
        <v>0</v>
      </c>
      <c r="AN122" s="46">
        <f t="shared" ca="1" si="42"/>
        <v>0</v>
      </c>
      <c r="AO122" s="46">
        <f t="shared" ca="1" si="42"/>
        <v>15674.59247274518</v>
      </c>
      <c r="AP122" s="46">
        <f t="shared" ca="1" si="42"/>
        <v>0</v>
      </c>
      <c r="AQ122" s="46">
        <f t="shared" ca="1" si="42"/>
        <v>0</v>
      </c>
      <c r="AR122" s="46">
        <f t="shared" ca="1" si="42"/>
        <v>7837.2962363725901</v>
      </c>
      <c r="AS122" s="46">
        <f t="shared" ca="1" si="42"/>
        <v>0</v>
      </c>
      <c r="AT122" s="46">
        <f t="shared" ca="1" si="42"/>
        <v>0</v>
      </c>
      <c r="AU122" s="46">
        <f t="shared" ca="1" si="42"/>
        <v>3918.6481181862951</v>
      </c>
      <c r="AV122" s="46">
        <f t="shared" ca="1" si="42"/>
        <v>0</v>
      </c>
      <c r="AW122" s="46">
        <f t="shared" ca="1" si="42"/>
        <v>0</v>
      </c>
      <c r="AX122" s="46">
        <f t="shared" ca="1" si="42"/>
        <v>1959.3240590931475</v>
      </c>
      <c r="AY122" s="46">
        <f t="shared" ca="1" si="42"/>
        <v>0</v>
      </c>
      <c r="AZ122" s="46">
        <f t="shared" ca="1" si="42"/>
        <v>0</v>
      </c>
      <c r="BA122" s="46">
        <f t="shared" ca="1" si="42"/>
        <v>979.66202954657376</v>
      </c>
      <c r="BB122" s="46">
        <f t="shared" ca="1" si="42"/>
        <v>0</v>
      </c>
      <c r="BC122" s="46">
        <f t="shared" ca="1" si="42"/>
        <v>0</v>
      </c>
      <c r="BD122" s="46">
        <f t="shared" ca="1" si="42"/>
        <v>489.83101477328688</v>
      </c>
      <c r="BE122" s="46">
        <f t="shared" ca="1" si="42"/>
        <v>0</v>
      </c>
      <c r="BF122" s="46">
        <f t="shared" ca="1" si="42"/>
        <v>0</v>
      </c>
      <c r="BG122" s="46">
        <f t="shared" ca="1" si="42"/>
        <v>244.91550738664344</v>
      </c>
      <c r="BH122" s="46">
        <f t="shared" ca="1" si="42"/>
        <v>0</v>
      </c>
      <c r="BI122" s="46">
        <f t="shared" ca="1" si="42"/>
        <v>0</v>
      </c>
      <c r="BJ122" s="46">
        <f t="shared" ca="1" si="42"/>
        <v>122.45775369332172</v>
      </c>
      <c r="BK122" s="46">
        <f t="shared" ca="1" si="42"/>
        <v>0</v>
      </c>
      <c r="BL122" s="46">
        <f t="shared" ca="1" si="42"/>
        <v>0</v>
      </c>
      <c r="BM122" s="46">
        <f t="shared" ca="1" si="42"/>
        <v>61.22887684666086</v>
      </c>
      <c r="BN122" s="46">
        <f t="shared" ca="1" si="42"/>
        <v>0</v>
      </c>
      <c r="BO122" s="46">
        <f t="shared" ca="1" si="42"/>
        <v>0</v>
      </c>
    </row>
    <row r="123" spans="1:67" ht="16.5" hidden="1" customHeight="1" outlineLevel="1">
      <c r="A123" s="1"/>
      <c r="B123" s="55">
        <f t="shared" si="21"/>
        <v>46265</v>
      </c>
      <c r="C123" s="17" t="s">
        <v>104</v>
      </c>
      <c r="D123" s="46">
        <f t="shared" si="23"/>
        <v>20</v>
      </c>
      <c r="E123" s="16"/>
      <c r="F123" s="51">
        <f t="shared" si="24"/>
        <v>1</v>
      </c>
      <c r="G123" s="16" t="s">
        <v>159</v>
      </c>
      <c r="H123" s="16" t="s">
        <v>155</v>
      </c>
      <c r="I123" s="46">
        <f ca="1">IF(H123=Forecast!$H$195,T123,IF(H123=Forecast!$H$196,BO123,IF(H123=Forecast!$H$197,SUM(T123:BO123),IF(H123=Forecast!$H$198,AVERAGE(T123:BO123),0))))</f>
        <v>65207.738182091933</v>
      </c>
      <c r="J123" s="16"/>
      <c r="K123" s="16"/>
      <c r="L123" s="16"/>
      <c r="M123" s="16"/>
      <c r="N123" s="16"/>
      <c r="O123" s="16"/>
      <c r="P123" s="16"/>
      <c r="Q123" s="16"/>
      <c r="R123" s="16"/>
      <c r="S123" s="16"/>
      <c r="T123" s="46">
        <f t="shared" ref="T123:BO123" si="43">IF(T$6&lt;$D123,0,INDEX($T$44:$BO$44,,T$6-$D123+1)*INDEX($T$52:$BO$52,,$D123)*IF(T$6=$D123,1,$F123)*T$46)</f>
        <v>0</v>
      </c>
      <c r="U123" s="46">
        <f t="shared" si="43"/>
        <v>0</v>
      </c>
      <c r="V123" s="46">
        <f t="shared" si="43"/>
        <v>0</v>
      </c>
      <c r="W123" s="46">
        <f t="shared" si="43"/>
        <v>0</v>
      </c>
      <c r="X123" s="46">
        <f t="shared" si="43"/>
        <v>0</v>
      </c>
      <c r="Y123" s="46">
        <f t="shared" si="43"/>
        <v>0</v>
      </c>
      <c r="Z123" s="46">
        <f t="shared" si="43"/>
        <v>0</v>
      </c>
      <c r="AA123" s="46">
        <f t="shared" si="43"/>
        <v>0</v>
      </c>
      <c r="AB123" s="46">
        <f t="shared" si="43"/>
        <v>0</v>
      </c>
      <c r="AC123" s="46">
        <f t="shared" si="43"/>
        <v>0</v>
      </c>
      <c r="AD123" s="46">
        <f t="shared" si="43"/>
        <v>0</v>
      </c>
      <c r="AE123" s="46">
        <f t="shared" si="43"/>
        <v>0</v>
      </c>
      <c r="AF123" s="46">
        <f t="shared" si="43"/>
        <v>0</v>
      </c>
      <c r="AG123" s="46">
        <f t="shared" si="43"/>
        <v>0</v>
      </c>
      <c r="AH123" s="46">
        <f t="shared" si="43"/>
        <v>0</v>
      </c>
      <c r="AI123" s="46">
        <f t="shared" si="43"/>
        <v>0</v>
      </c>
      <c r="AJ123" s="46">
        <f t="shared" si="43"/>
        <v>0</v>
      </c>
      <c r="AK123" s="46">
        <f t="shared" si="43"/>
        <v>0</v>
      </c>
      <c r="AL123" s="46">
        <f t="shared" si="43"/>
        <v>0</v>
      </c>
      <c r="AM123" s="46">
        <f t="shared" ca="1" si="43"/>
        <v>32635.739930822161</v>
      </c>
      <c r="AN123" s="46">
        <f t="shared" ca="1" si="43"/>
        <v>0</v>
      </c>
      <c r="AO123" s="46">
        <f t="shared" ca="1" si="43"/>
        <v>0</v>
      </c>
      <c r="AP123" s="46">
        <f t="shared" ca="1" si="43"/>
        <v>16317.869965411081</v>
      </c>
      <c r="AQ123" s="46">
        <f t="shared" ca="1" si="43"/>
        <v>0</v>
      </c>
      <c r="AR123" s="46">
        <f t="shared" ca="1" si="43"/>
        <v>0</v>
      </c>
      <c r="AS123" s="46">
        <f t="shared" ca="1" si="43"/>
        <v>8158.9349827055403</v>
      </c>
      <c r="AT123" s="46">
        <f t="shared" ca="1" si="43"/>
        <v>0</v>
      </c>
      <c r="AU123" s="46">
        <f t="shared" ca="1" si="43"/>
        <v>0</v>
      </c>
      <c r="AV123" s="46">
        <f t="shared" ca="1" si="43"/>
        <v>4079.4674913527701</v>
      </c>
      <c r="AW123" s="46">
        <f t="shared" ca="1" si="43"/>
        <v>0</v>
      </c>
      <c r="AX123" s="46">
        <f t="shared" ca="1" si="43"/>
        <v>0</v>
      </c>
      <c r="AY123" s="46">
        <f t="shared" ca="1" si="43"/>
        <v>2039.7337456763851</v>
      </c>
      <c r="AZ123" s="46">
        <f t="shared" ca="1" si="43"/>
        <v>0</v>
      </c>
      <c r="BA123" s="46">
        <f t="shared" ca="1" si="43"/>
        <v>0</v>
      </c>
      <c r="BB123" s="46">
        <f t="shared" ca="1" si="43"/>
        <v>1019.8668728381925</v>
      </c>
      <c r="BC123" s="46">
        <f t="shared" ca="1" si="43"/>
        <v>0</v>
      </c>
      <c r="BD123" s="46">
        <f t="shared" ca="1" si="43"/>
        <v>0</v>
      </c>
      <c r="BE123" s="46">
        <f t="shared" ca="1" si="43"/>
        <v>509.93343641909627</v>
      </c>
      <c r="BF123" s="46">
        <f t="shared" ca="1" si="43"/>
        <v>0</v>
      </c>
      <c r="BG123" s="46">
        <f t="shared" ca="1" si="43"/>
        <v>0</v>
      </c>
      <c r="BH123" s="46">
        <f t="shared" ca="1" si="43"/>
        <v>254.96671820954813</v>
      </c>
      <c r="BI123" s="46">
        <f t="shared" ca="1" si="43"/>
        <v>0</v>
      </c>
      <c r="BJ123" s="46">
        <f t="shared" ca="1" si="43"/>
        <v>0</v>
      </c>
      <c r="BK123" s="46">
        <f t="shared" ca="1" si="43"/>
        <v>127.48335910477407</v>
      </c>
      <c r="BL123" s="46">
        <f t="shared" ca="1" si="43"/>
        <v>0</v>
      </c>
      <c r="BM123" s="46">
        <f t="shared" ca="1" si="43"/>
        <v>0</v>
      </c>
      <c r="BN123" s="46">
        <f t="shared" ca="1" si="43"/>
        <v>63.741679552387033</v>
      </c>
      <c r="BO123" s="46">
        <f t="shared" ca="1" si="43"/>
        <v>0</v>
      </c>
    </row>
    <row r="124" spans="1:67" ht="16.5" hidden="1" customHeight="1" outlineLevel="1">
      <c r="A124" s="1"/>
      <c r="B124" s="55">
        <f t="shared" si="21"/>
        <v>46295</v>
      </c>
      <c r="C124" s="17" t="s">
        <v>104</v>
      </c>
      <c r="D124" s="46">
        <f t="shared" si="23"/>
        <v>21</v>
      </c>
      <c r="E124" s="16"/>
      <c r="F124" s="51">
        <f t="shared" si="24"/>
        <v>1</v>
      </c>
      <c r="G124" s="16" t="s">
        <v>159</v>
      </c>
      <c r="H124" s="16" t="s">
        <v>155</v>
      </c>
      <c r="I124" s="46">
        <f ca="1">IF(H124=Forecast!$H$195,T124,IF(H124=Forecast!$H$196,BO124,IF(H124=Forecast!$H$197,SUM(T124:BO124),IF(H124=Forecast!$H$198,AVERAGE(T124:BO124),0))))</f>
        <v>67482.417401609608</v>
      </c>
      <c r="J124" s="16"/>
      <c r="K124" s="16"/>
      <c r="L124" s="16"/>
      <c r="M124" s="16"/>
      <c r="N124" s="16"/>
      <c r="O124" s="16"/>
      <c r="P124" s="16"/>
      <c r="Q124" s="16"/>
      <c r="R124" s="16"/>
      <c r="S124" s="16"/>
      <c r="T124" s="46">
        <f t="shared" ref="T124:BO124" si="44">IF(T$6&lt;$D124,0,INDEX($T$44:$BO$44,,T$6-$D124+1)*INDEX($T$52:$BO$52,,$D124)*IF(T$6=$D124,1,$F124)*T$46)</f>
        <v>0</v>
      </c>
      <c r="U124" s="46">
        <f t="shared" si="44"/>
        <v>0</v>
      </c>
      <c r="V124" s="46">
        <f t="shared" si="44"/>
        <v>0</v>
      </c>
      <c r="W124" s="46">
        <f t="shared" si="44"/>
        <v>0</v>
      </c>
      <c r="X124" s="46">
        <f t="shared" si="44"/>
        <v>0</v>
      </c>
      <c r="Y124" s="46">
        <f t="shared" si="44"/>
        <v>0</v>
      </c>
      <c r="Z124" s="46">
        <f t="shared" si="44"/>
        <v>0</v>
      </c>
      <c r="AA124" s="46">
        <f t="shared" si="44"/>
        <v>0</v>
      </c>
      <c r="AB124" s="46">
        <f t="shared" si="44"/>
        <v>0</v>
      </c>
      <c r="AC124" s="46">
        <f t="shared" si="44"/>
        <v>0</v>
      </c>
      <c r="AD124" s="46">
        <f t="shared" si="44"/>
        <v>0</v>
      </c>
      <c r="AE124" s="46">
        <f t="shared" si="44"/>
        <v>0</v>
      </c>
      <c r="AF124" s="46">
        <f t="shared" si="44"/>
        <v>0</v>
      </c>
      <c r="AG124" s="46">
        <f t="shared" si="44"/>
        <v>0</v>
      </c>
      <c r="AH124" s="46">
        <f t="shared" si="44"/>
        <v>0</v>
      </c>
      <c r="AI124" s="46">
        <f t="shared" si="44"/>
        <v>0</v>
      </c>
      <c r="AJ124" s="46">
        <f t="shared" si="44"/>
        <v>0</v>
      </c>
      <c r="AK124" s="46">
        <f t="shared" si="44"/>
        <v>0</v>
      </c>
      <c r="AL124" s="46">
        <f t="shared" si="44"/>
        <v>0</v>
      </c>
      <c r="AM124" s="46">
        <f t="shared" si="44"/>
        <v>0</v>
      </c>
      <c r="AN124" s="46">
        <f t="shared" ca="1" si="44"/>
        <v>33774.191309505499</v>
      </c>
      <c r="AO124" s="46">
        <f t="shared" ca="1" si="44"/>
        <v>0</v>
      </c>
      <c r="AP124" s="46">
        <f t="shared" ca="1" si="44"/>
        <v>0</v>
      </c>
      <c r="AQ124" s="46">
        <f t="shared" ca="1" si="44"/>
        <v>16887.095654752749</v>
      </c>
      <c r="AR124" s="46">
        <f t="shared" ca="1" si="44"/>
        <v>0</v>
      </c>
      <c r="AS124" s="46">
        <f t="shared" ca="1" si="44"/>
        <v>0</v>
      </c>
      <c r="AT124" s="46">
        <f t="shared" ca="1" si="44"/>
        <v>8443.5478273763747</v>
      </c>
      <c r="AU124" s="46">
        <f t="shared" ca="1" si="44"/>
        <v>0</v>
      </c>
      <c r="AV124" s="46">
        <f t="shared" ca="1" si="44"/>
        <v>0</v>
      </c>
      <c r="AW124" s="46">
        <f t="shared" ca="1" si="44"/>
        <v>4221.7739136881873</v>
      </c>
      <c r="AX124" s="46">
        <f t="shared" ca="1" si="44"/>
        <v>0</v>
      </c>
      <c r="AY124" s="46">
        <f t="shared" ca="1" si="44"/>
        <v>0</v>
      </c>
      <c r="AZ124" s="46">
        <f t="shared" ca="1" si="44"/>
        <v>2110.8869568440937</v>
      </c>
      <c r="BA124" s="46">
        <f t="shared" ca="1" si="44"/>
        <v>0</v>
      </c>
      <c r="BB124" s="46">
        <f t="shared" ca="1" si="44"/>
        <v>0</v>
      </c>
      <c r="BC124" s="46">
        <f t="shared" ca="1" si="44"/>
        <v>1055.4434784220468</v>
      </c>
      <c r="BD124" s="46">
        <f t="shared" ca="1" si="44"/>
        <v>0</v>
      </c>
      <c r="BE124" s="46">
        <f t="shared" ca="1" si="44"/>
        <v>0</v>
      </c>
      <c r="BF124" s="46">
        <f t="shared" ca="1" si="44"/>
        <v>527.72173921102342</v>
      </c>
      <c r="BG124" s="46">
        <f t="shared" ca="1" si="44"/>
        <v>0</v>
      </c>
      <c r="BH124" s="46">
        <f t="shared" ca="1" si="44"/>
        <v>0</v>
      </c>
      <c r="BI124" s="46">
        <f t="shared" ca="1" si="44"/>
        <v>263.86086960551171</v>
      </c>
      <c r="BJ124" s="46">
        <f t="shared" ca="1" si="44"/>
        <v>0</v>
      </c>
      <c r="BK124" s="46">
        <f t="shared" ca="1" si="44"/>
        <v>0</v>
      </c>
      <c r="BL124" s="46">
        <f t="shared" ca="1" si="44"/>
        <v>131.93043480275585</v>
      </c>
      <c r="BM124" s="46">
        <f t="shared" ca="1" si="44"/>
        <v>0</v>
      </c>
      <c r="BN124" s="46">
        <f t="shared" ca="1" si="44"/>
        <v>0</v>
      </c>
      <c r="BO124" s="46">
        <f t="shared" ca="1" si="44"/>
        <v>65.965217401377927</v>
      </c>
    </row>
    <row r="125" spans="1:67" ht="16.5" hidden="1" customHeight="1" outlineLevel="1">
      <c r="A125" s="1"/>
      <c r="B125" s="55">
        <f t="shared" si="21"/>
        <v>46326</v>
      </c>
      <c r="C125" s="17" t="s">
        <v>104</v>
      </c>
      <c r="D125" s="46">
        <f t="shared" si="23"/>
        <v>22</v>
      </c>
      <c r="E125" s="16"/>
      <c r="F125" s="51">
        <f t="shared" si="24"/>
        <v>1</v>
      </c>
      <c r="G125" s="16" t="s">
        <v>159</v>
      </c>
      <c r="H125" s="16" t="s">
        <v>155</v>
      </c>
      <c r="I125" s="46">
        <f ca="1">IF(H125=Forecast!$H$195,T125,IF(H125=Forecast!$H$196,BO125,IF(H125=Forecast!$H$197,SUM(T125:BO125),IF(H125=Forecast!$H$198,AVERAGE(T125:BO125),0))))</f>
        <v>69415.420190849967</v>
      </c>
      <c r="J125" s="16"/>
      <c r="K125" s="16"/>
      <c r="L125" s="16"/>
      <c r="M125" s="16"/>
      <c r="N125" s="16"/>
      <c r="O125" s="16"/>
      <c r="P125" s="16"/>
      <c r="Q125" s="16"/>
      <c r="R125" s="16"/>
      <c r="S125" s="16"/>
      <c r="T125" s="46">
        <f t="shared" ref="T125:BO125" si="45">IF(T$6&lt;$D125,0,INDEX($T$44:$BO$44,,T$6-$D125+1)*INDEX($T$52:$BO$52,,$D125)*IF(T$6=$D125,1,$F125)*T$46)</f>
        <v>0</v>
      </c>
      <c r="U125" s="46">
        <f t="shared" si="45"/>
        <v>0</v>
      </c>
      <c r="V125" s="46">
        <f t="shared" si="45"/>
        <v>0</v>
      </c>
      <c r="W125" s="46">
        <f t="shared" si="45"/>
        <v>0</v>
      </c>
      <c r="X125" s="46">
        <f t="shared" si="45"/>
        <v>0</v>
      </c>
      <c r="Y125" s="46">
        <f t="shared" si="45"/>
        <v>0</v>
      </c>
      <c r="Z125" s="46">
        <f t="shared" si="45"/>
        <v>0</v>
      </c>
      <c r="AA125" s="46">
        <f t="shared" si="45"/>
        <v>0</v>
      </c>
      <c r="AB125" s="46">
        <f t="shared" si="45"/>
        <v>0</v>
      </c>
      <c r="AC125" s="46">
        <f t="shared" si="45"/>
        <v>0</v>
      </c>
      <c r="AD125" s="46">
        <f t="shared" si="45"/>
        <v>0</v>
      </c>
      <c r="AE125" s="46">
        <f t="shared" si="45"/>
        <v>0</v>
      </c>
      <c r="AF125" s="46">
        <f t="shared" si="45"/>
        <v>0</v>
      </c>
      <c r="AG125" s="46">
        <f t="shared" si="45"/>
        <v>0</v>
      </c>
      <c r="AH125" s="46">
        <f t="shared" si="45"/>
        <v>0</v>
      </c>
      <c r="AI125" s="46">
        <f t="shared" si="45"/>
        <v>0</v>
      </c>
      <c r="AJ125" s="46">
        <f t="shared" si="45"/>
        <v>0</v>
      </c>
      <c r="AK125" s="46">
        <f t="shared" si="45"/>
        <v>0</v>
      </c>
      <c r="AL125" s="46">
        <f t="shared" si="45"/>
        <v>0</v>
      </c>
      <c r="AM125" s="46">
        <f t="shared" si="45"/>
        <v>0</v>
      </c>
      <c r="AN125" s="46">
        <f t="shared" si="45"/>
        <v>0</v>
      </c>
      <c r="AO125" s="46">
        <f t="shared" ca="1" si="45"/>
        <v>34775.631250210557</v>
      </c>
      <c r="AP125" s="46">
        <f t="shared" ca="1" si="45"/>
        <v>0</v>
      </c>
      <c r="AQ125" s="46">
        <f t="shared" ca="1" si="45"/>
        <v>0</v>
      </c>
      <c r="AR125" s="46">
        <f t="shared" ca="1" si="45"/>
        <v>17387.815625105279</v>
      </c>
      <c r="AS125" s="46">
        <f t="shared" ca="1" si="45"/>
        <v>0</v>
      </c>
      <c r="AT125" s="46">
        <f t="shared" ca="1" si="45"/>
        <v>0</v>
      </c>
      <c r="AU125" s="46">
        <f t="shared" ca="1" si="45"/>
        <v>8693.9078125526394</v>
      </c>
      <c r="AV125" s="46">
        <f t="shared" ca="1" si="45"/>
        <v>0</v>
      </c>
      <c r="AW125" s="46">
        <f t="shared" ca="1" si="45"/>
        <v>0</v>
      </c>
      <c r="AX125" s="46">
        <f t="shared" ca="1" si="45"/>
        <v>4346.9539062763197</v>
      </c>
      <c r="AY125" s="46">
        <f t="shared" ca="1" si="45"/>
        <v>0</v>
      </c>
      <c r="AZ125" s="46">
        <f t="shared" ca="1" si="45"/>
        <v>0</v>
      </c>
      <c r="BA125" s="46">
        <f t="shared" ca="1" si="45"/>
        <v>2173.4769531381598</v>
      </c>
      <c r="BB125" s="46">
        <f t="shared" ca="1" si="45"/>
        <v>0</v>
      </c>
      <c r="BC125" s="46">
        <f t="shared" ca="1" si="45"/>
        <v>0</v>
      </c>
      <c r="BD125" s="46">
        <f t="shared" ca="1" si="45"/>
        <v>1086.7384765690799</v>
      </c>
      <c r="BE125" s="46">
        <f t="shared" ca="1" si="45"/>
        <v>0</v>
      </c>
      <c r="BF125" s="46">
        <f t="shared" ca="1" si="45"/>
        <v>0</v>
      </c>
      <c r="BG125" s="46">
        <f t="shared" ca="1" si="45"/>
        <v>543.36923828453996</v>
      </c>
      <c r="BH125" s="46">
        <f t="shared" ca="1" si="45"/>
        <v>0</v>
      </c>
      <c r="BI125" s="46">
        <f t="shared" ca="1" si="45"/>
        <v>0</v>
      </c>
      <c r="BJ125" s="46">
        <f t="shared" ca="1" si="45"/>
        <v>271.68461914226998</v>
      </c>
      <c r="BK125" s="46">
        <f t="shared" ca="1" si="45"/>
        <v>0</v>
      </c>
      <c r="BL125" s="46">
        <f t="shared" ca="1" si="45"/>
        <v>0</v>
      </c>
      <c r="BM125" s="46">
        <f t="shared" ca="1" si="45"/>
        <v>135.84230957113499</v>
      </c>
      <c r="BN125" s="46">
        <f t="shared" ca="1" si="45"/>
        <v>0</v>
      </c>
      <c r="BO125" s="46">
        <f t="shared" ca="1" si="45"/>
        <v>0</v>
      </c>
    </row>
    <row r="126" spans="1:67" ht="16.5" hidden="1" customHeight="1" outlineLevel="1">
      <c r="A126" s="1"/>
      <c r="B126" s="55">
        <f t="shared" si="21"/>
        <v>46356</v>
      </c>
      <c r="C126" s="17" t="s">
        <v>104</v>
      </c>
      <c r="D126" s="46">
        <f t="shared" si="23"/>
        <v>23</v>
      </c>
      <c r="E126" s="16"/>
      <c r="F126" s="51">
        <f t="shared" si="24"/>
        <v>1</v>
      </c>
      <c r="G126" s="16" t="s">
        <v>159</v>
      </c>
      <c r="H126" s="16" t="s">
        <v>155</v>
      </c>
      <c r="I126" s="46">
        <f ca="1">IF(H126=Forecast!$H$195,T126,IF(H126=Forecast!$H$196,BO126,IF(H126=Forecast!$H$197,SUM(T126:BO126),IF(H126=Forecast!$H$198,AVERAGE(T126:BO126),0))))</f>
        <v>71164.923756944845</v>
      </c>
      <c r="J126" s="16"/>
      <c r="K126" s="16"/>
      <c r="L126" s="16"/>
      <c r="M126" s="16"/>
      <c r="N126" s="16"/>
      <c r="O126" s="16"/>
      <c r="P126" s="16"/>
      <c r="Q126" s="16"/>
      <c r="R126" s="16"/>
      <c r="S126" s="16"/>
      <c r="T126" s="46">
        <f t="shared" ref="T126:BO126" si="46">IF(T$6&lt;$D126,0,INDEX($T$44:$BO$44,,T$6-$D126+1)*INDEX($T$52:$BO$52,,$D126)*IF(T$6=$D126,1,$F126)*T$46)</f>
        <v>0</v>
      </c>
      <c r="U126" s="46">
        <f t="shared" si="46"/>
        <v>0</v>
      </c>
      <c r="V126" s="46">
        <f t="shared" si="46"/>
        <v>0</v>
      </c>
      <c r="W126" s="46">
        <f t="shared" si="46"/>
        <v>0</v>
      </c>
      <c r="X126" s="46">
        <f t="shared" si="46"/>
        <v>0</v>
      </c>
      <c r="Y126" s="46">
        <f t="shared" si="46"/>
        <v>0</v>
      </c>
      <c r="Z126" s="46">
        <f t="shared" si="46"/>
        <v>0</v>
      </c>
      <c r="AA126" s="46">
        <f t="shared" si="46"/>
        <v>0</v>
      </c>
      <c r="AB126" s="46">
        <f t="shared" si="46"/>
        <v>0</v>
      </c>
      <c r="AC126" s="46">
        <f t="shared" si="46"/>
        <v>0</v>
      </c>
      <c r="AD126" s="46">
        <f t="shared" si="46"/>
        <v>0</v>
      </c>
      <c r="AE126" s="46">
        <f t="shared" si="46"/>
        <v>0</v>
      </c>
      <c r="AF126" s="46">
        <f t="shared" si="46"/>
        <v>0</v>
      </c>
      <c r="AG126" s="46">
        <f t="shared" si="46"/>
        <v>0</v>
      </c>
      <c r="AH126" s="46">
        <f t="shared" si="46"/>
        <v>0</v>
      </c>
      <c r="AI126" s="46">
        <f t="shared" si="46"/>
        <v>0</v>
      </c>
      <c r="AJ126" s="46">
        <f t="shared" si="46"/>
        <v>0</v>
      </c>
      <c r="AK126" s="46">
        <f t="shared" si="46"/>
        <v>0</v>
      </c>
      <c r="AL126" s="46">
        <f t="shared" si="46"/>
        <v>0</v>
      </c>
      <c r="AM126" s="46">
        <f t="shared" si="46"/>
        <v>0</v>
      </c>
      <c r="AN126" s="46">
        <f t="shared" si="46"/>
        <v>0</v>
      </c>
      <c r="AO126" s="46">
        <f t="shared" si="46"/>
        <v>0</v>
      </c>
      <c r="AP126" s="46">
        <f t="shared" ca="1" si="46"/>
        <v>35652.094876277653</v>
      </c>
      <c r="AQ126" s="46">
        <f t="shared" ca="1" si="46"/>
        <v>0</v>
      </c>
      <c r="AR126" s="46">
        <f t="shared" ca="1" si="46"/>
        <v>0</v>
      </c>
      <c r="AS126" s="46">
        <f t="shared" ca="1" si="46"/>
        <v>17826.047438138827</v>
      </c>
      <c r="AT126" s="46">
        <f t="shared" ca="1" si="46"/>
        <v>0</v>
      </c>
      <c r="AU126" s="46">
        <f t="shared" ca="1" si="46"/>
        <v>0</v>
      </c>
      <c r="AV126" s="46">
        <f t="shared" ca="1" si="46"/>
        <v>8913.0237190694133</v>
      </c>
      <c r="AW126" s="46">
        <f t="shared" ca="1" si="46"/>
        <v>0</v>
      </c>
      <c r="AX126" s="46">
        <f t="shared" ca="1" si="46"/>
        <v>0</v>
      </c>
      <c r="AY126" s="46">
        <f t="shared" ca="1" si="46"/>
        <v>4456.5118595347067</v>
      </c>
      <c r="AZ126" s="46">
        <f t="shared" ca="1" si="46"/>
        <v>0</v>
      </c>
      <c r="BA126" s="46">
        <f t="shared" ca="1" si="46"/>
        <v>0</v>
      </c>
      <c r="BB126" s="46">
        <f t="shared" ca="1" si="46"/>
        <v>2228.2559297673533</v>
      </c>
      <c r="BC126" s="46">
        <f t="shared" ca="1" si="46"/>
        <v>0</v>
      </c>
      <c r="BD126" s="46">
        <f t="shared" ca="1" si="46"/>
        <v>0</v>
      </c>
      <c r="BE126" s="46">
        <f t="shared" ca="1" si="46"/>
        <v>1114.1279648836767</v>
      </c>
      <c r="BF126" s="46">
        <f t="shared" ca="1" si="46"/>
        <v>0</v>
      </c>
      <c r="BG126" s="46">
        <f t="shared" ca="1" si="46"/>
        <v>0</v>
      </c>
      <c r="BH126" s="46">
        <f t="shared" ca="1" si="46"/>
        <v>557.06398244183833</v>
      </c>
      <c r="BI126" s="46">
        <f t="shared" ca="1" si="46"/>
        <v>0</v>
      </c>
      <c r="BJ126" s="46">
        <f t="shared" ca="1" si="46"/>
        <v>0</v>
      </c>
      <c r="BK126" s="46">
        <f t="shared" ca="1" si="46"/>
        <v>278.53199122091917</v>
      </c>
      <c r="BL126" s="46">
        <f t="shared" ca="1" si="46"/>
        <v>0</v>
      </c>
      <c r="BM126" s="46">
        <f t="shared" ca="1" si="46"/>
        <v>0</v>
      </c>
      <c r="BN126" s="46">
        <f t="shared" ca="1" si="46"/>
        <v>139.26599561045958</v>
      </c>
      <c r="BO126" s="46">
        <f t="shared" ca="1" si="46"/>
        <v>0</v>
      </c>
    </row>
    <row r="127" spans="1:67" ht="16.5" hidden="1" customHeight="1" outlineLevel="1">
      <c r="A127" s="1"/>
      <c r="B127" s="55">
        <f t="shared" si="21"/>
        <v>46387</v>
      </c>
      <c r="C127" s="17" t="s">
        <v>104</v>
      </c>
      <c r="D127" s="46">
        <f t="shared" si="23"/>
        <v>24</v>
      </c>
      <c r="E127" s="16"/>
      <c r="F127" s="51">
        <f t="shared" si="24"/>
        <v>1</v>
      </c>
      <c r="G127" s="16" t="s">
        <v>159</v>
      </c>
      <c r="H127" s="16" t="s">
        <v>155</v>
      </c>
      <c r="I127" s="46">
        <f ca="1">IF(H127=Forecast!$H$195,T127,IF(H127=Forecast!$H$196,BO127,IF(H127=Forecast!$H$197,SUM(T127:BO127),IF(H127=Forecast!$H$198,AVERAGE(T127:BO127),0))))</f>
        <v>72689.481188400809</v>
      </c>
      <c r="J127" s="16"/>
      <c r="K127" s="16"/>
      <c r="L127" s="16"/>
      <c r="M127" s="16"/>
      <c r="N127" s="16"/>
      <c r="O127" s="16"/>
      <c r="P127" s="16"/>
      <c r="Q127" s="16"/>
      <c r="R127" s="16"/>
      <c r="S127" s="16"/>
      <c r="T127" s="46">
        <f t="shared" ref="T127:BO127" si="47">IF(T$6&lt;$D127,0,INDEX($T$44:$BO$44,,T$6-$D127+1)*INDEX($T$52:$BO$52,,$D127)*IF(T$6=$D127,1,$F127)*T$46)</f>
        <v>0</v>
      </c>
      <c r="U127" s="46">
        <f t="shared" si="47"/>
        <v>0</v>
      </c>
      <c r="V127" s="46">
        <f t="shared" si="47"/>
        <v>0</v>
      </c>
      <c r="W127" s="46">
        <f t="shared" si="47"/>
        <v>0</v>
      </c>
      <c r="X127" s="46">
        <f t="shared" si="47"/>
        <v>0</v>
      </c>
      <c r="Y127" s="46">
        <f t="shared" si="47"/>
        <v>0</v>
      </c>
      <c r="Z127" s="46">
        <f t="shared" si="47"/>
        <v>0</v>
      </c>
      <c r="AA127" s="46">
        <f t="shared" si="47"/>
        <v>0</v>
      </c>
      <c r="AB127" s="46">
        <f t="shared" si="47"/>
        <v>0</v>
      </c>
      <c r="AC127" s="46">
        <f t="shared" si="47"/>
        <v>0</v>
      </c>
      <c r="AD127" s="46">
        <f t="shared" si="47"/>
        <v>0</v>
      </c>
      <c r="AE127" s="46">
        <f t="shared" si="47"/>
        <v>0</v>
      </c>
      <c r="AF127" s="46">
        <f t="shared" si="47"/>
        <v>0</v>
      </c>
      <c r="AG127" s="46">
        <f t="shared" si="47"/>
        <v>0</v>
      </c>
      <c r="AH127" s="46">
        <f t="shared" si="47"/>
        <v>0</v>
      </c>
      <c r="AI127" s="46">
        <f t="shared" si="47"/>
        <v>0</v>
      </c>
      <c r="AJ127" s="46">
        <f t="shared" si="47"/>
        <v>0</v>
      </c>
      <c r="AK127" s="46">
        <f t="shared" si="47"/>
        <v>0</v>
      </c>
      <c r="AL127" s="46">
        <f t="shared" si="47"/>
        <v>0</v>
      </c>
      <c r="AM127" s="46">
        <f t="shared" si="47"/>
        <v>0</v>
      </c>
      <c r="AN127" s="46">
        <f t="shared" si="47"/>
        <v>0</v>
      </c>
      <c r="AO127" s="46">
        <f t="shared" si="47"/>
        <v>0</v>
      </c>
      <c r="AP127" s="46">
        <f t="shared" si="47"/>
        <v>0</v>
      </c>
      <c r="AQ127" s="46">
        <f t="shared" ca="1" si="47"/>
        <v>36415.865331175359</v>
      </c>
      <c r="AR127" s="46">
        <f t="shared" ca="1" si="47"/>
        <v>0</v>
      </c>
      <c r="AS127" s="46">
        <f t="shared" ca="1" si="47"/>
        <v>0</v>
      </c>
      <c r="AT127" s="46">
        <f t="shared" ca="1" si="47"/>
        <v>18207.932665587679</v>
      </c>
      <c r="AU127" s="46">
        <f t="shared" ca="1" si="47"/>
        <v>0</v>
      </c>
      <c r="AV127" s="46">
        <f t="shared" ca="1" si="47"/>
        <v>0</v>
      </c>
      <c r="AW127" s="46">
        <f t="shared" ca="1" si="47"/>
        <v>9103.9663327938397</v>
      </c>
      <c r="AX127" s="46">
        <f t="shared" ca="1" si="47"/>
        <v>0</v>
      </c>
      <c r="AY127" s="46">
        <f t="shared" ca="1" si="47"/>
        <v>0</v>
      </c>
      <c r="AZ127" s="46">
        <f t="shared" ca="1" si="47"/>
        <v>4551.9831663969198</v>
      </c>
      <c r="BA127" s="46">
        <f t="shared" ca="1" si="47"/>
        <v>0</v>
      </c>
      <c r="BB127" s="46">
        <f t="shared" ca="1" si="47"/>
        <v>0</v>
      </c>
      <c r="BC127" s="46">
        <f t="shared" ca="1" si="47"/>
        <v>2275.9915831984599</v>
      </c>
      <c r="BD127" s="46">
        <f t="shared" ca="1" si="47"/>
        <v>0</v>
      </c>
      <c r="BE127" s="46">
        <f t="shared" ca="1" si="47"/>
        <v>0</v>
      </c>
      <c r="BF127" s="46">
        <f t="shared" ca="1" si="47"/>
        <v>1137.99579159923</v>
      </c>
      <c r="BG127" s="46">
        <f t="shared" ca="1" si="47"/>
        <v>0</v>
      </c>
      <c r="BH127" s="46">
        <f t="shared" ca="1" si="47"/>
        <v>0</v>
      </c>
      <c r="BI127" s="46">
        <f t="shared" ca="1" si="47"/>
        <v>568.99789579961498</v>
      </c>
      <c r="BJ127" s="46">
        <f t="shared" ca="1" si="47"/>
        <v>0</v>
      </c>
      <c r="BK127" s="46">
        <f t="shared" ca="1" si="47"/>
        <v>0</v>
      </c>
      <c r="BL127" s="46">
        <f t="shared" ca="1" si="47"/>
        <v>284.49894789980749</v>
      </c>
      <c r="BM127" s="46">
        <f t="shared" ca="1" si="47"/>
        <v>0</v>
      </c>
      <c r="BN127" s="46">
        <f t="shared" ca="1" si="47"/>
        <v>0</v>
      </c>
      <c r="BO127" s="46">
        <f t="shared" ca="1" si="47"/>
        <v>142.24947394990375</v>
      </c>
    </row>
    <row r="128" spans="1:67" ht="16.5" hidden="1" customHeight="1" outlineLevel="1">
      <c r="A128" s="1"/>
      <c r="B128" s="55">
        <f t="shared" si="21"/>
        <v>46418</v>
      </c>
      <c r="C128" s="17" t="s">
        <v>104</v>
      </c>
      <c r="D128" s="46">
        <f t="shared" si="23"/>
        <v>25</v>
      </c>
      <c r="E128" s="16"/>
      <c r="F128" s="51">
        <f t="shared" si="24"/>
        <v>1</v>
      </c>
      <c r="G128" s="16" t="s">
        <v>159</v>
      </c>
      <c r="H128" s="16" t="s">
        <v>155</v>
      </c>
      <c r="I128" s="46">
        <f ca="1">IF(H128=Forecast!$H$195,T128,IF(H128=Forecast!$H$196,BO128,IF(H128=Forecast!$H$197,SUM(T128:BO128),IF(H128=Forecast!$H$198,AVERAGE(T128:BO128),0))))</f>
        <v>73868.276592917115</v>
      </c>
      <c r="J128" s="16"/>
      <c r="K128" s="16"/>
      <c r="L128" s="16"/>
      <c r="M128" s="16"/>
      <c r="N128" s="16"/>
      <c r="O128" s="16"/>
      <c r="P128" s="16"/>
      <c r="Q128" s="16"/>
      <c r="R128" s="16"/>
      <c r="S128" s="16"/>
      <c r="T128" s="46">
        <f t="shared" ref="T128:BO128" si="48">IF(T$6&lt;$D128,0,INDEX($T$44:$BO$44,,T$6-$D128+1)*INDEX($T$52:$BO$52,,$D128)*IF(T$6=$D128,1,$F128)*T$46)</f>
        <v>0</v>
      </c>
      <c r="U128" s="46">
        <f t="shared" si="48"/>
        <v>0</v>
      </c>
      <c r="V128" s="46">
        <f t="shared" si="48"/>
        <v>0</v>
      </c>
      <c r="W128" s="46">
        <f t="shared" si="48"/>
        <v>0</v>
      </c>
      <c r="X128" s="46">
        <f t="shared" si="48"/>
        <v>0</v>
      </c>
      <c r="Y128" s="46">
        <f t="shared" si="48"/>
        <v>0</v>
      </c>
      <c r="Z128" s="46">
        <f t="shared" si="48"/>
        <v>0</v>
      </c>
      <c r="AA128" s="46">
        <f t="shared" si="48"/>
        <v>0</v>
      </c>
      <c r="AB128" s="46">
        <f t="shared" si="48"/>
        <v>0</v>
      </c>
      <c r="AC128" s="46">
        <f t="shared" si="48"/>
        <v>0</v>
      </c>
      <c r="AD128" s="46">
        <f t="shared" si="48"/>
        <v>0</v>
      </c>
      <c r="AE128" s="46">
        <f t="shared" si="48"/>
        <v>0</v>
      </c>
      <c r="AF128" s="46">
        <f t="shared" si="48"/>
        <v>0</v>
      </c>
      <c r="AG128" s="46">
        <f t="shared" si="48"/>
        <v>0</v>
      </c>
      <c r="AH128" s="46">
        <f t="shared" si="48"/>
        <v>0</v>
      </c>
      <c r="AI128" s="46">
        <f t="shared" si="48"/>
        <v>0</v>
      </c>
      <c r="AJ128" s="46">
        <f t="shared" si="48"/>
        <v>0</v>
      </c>
      <c r="AK128" s="46">
        <f t="shared" si="48"/>
        <v>0</v>
      </c>
      <c r="AL128" s="46">
        <f t="shared" si="48"/>
        <v>0</v>
      </c>
      <c r="AM128" s="46">
        <f t="shared" si="48"/>
        <v>0</v>
      </c>
      <c r="AN128" s="46">
        <f t="shared" si="48"/>
        <v>0</v>
      </c>
      <c r="AO128" s="46">
        <f t="shared" si="48"/>
        <v>0</v>
      </c>
      <c r="AP128" s="46">
        <f t="shared" si="48"/>
        <v>0</v>
      </c>
      <c r="AQ128" s="46">
        <f t="shared" si="48"/>
        <v>0</v>
      </c>
      <c r="AR128" s="46">
        <f t="shared" ca="1" si="48"/>
        <v>37078.978054483887</v>
      </c>
      <c r="AS128" s="46">
        <f t="shared" ca="1" si="48"/>
        <v>0</v>
      </c>
      <c r="AT128" s="46">
        <f t="shared" ca="1" si="48"/>
        <v>0</v>
      </c>
      <c r="AU128" s="46">
        <f t="shared" ca="1" si="48"/>
        <v>18539.489027241943</v>
      </c>
      <c r="AV128" s="46">
        <f t="shared" ca="1" si="48"/>
        <v>0</v>
      </c>
      <c r="AW128" s="46">
        <f t="shared" ca="1" si="48"/>
        <v>0</v>
      </c>
      <c r="AX128" s="46">
        <f t="shared" ca="1" si="48"/>
        <v>9269.7445136209717</v>
      </c>
      <c r="AY128" s="46">
        <f t="shared" ca="1" si="48"/>
        <v>0</v>
      </c>
      <c r="AZ128" s="46">
        <f t="shared" ca="1" si="48"/>
        <v>0</v>
      </c>
      <c r="BA128" s="46">
        <f t="shared" ca="1" si="48"/>
        <v>4634.8722568104859</v>
      </c>
      <c r="BB128" s="46">
        <f t="shared" ca="1" si="48"/>
        <v>0</v>
      </c>
      <c r="BC128" s="46">
        <f t="shared" ca="1" si="48"/>
        <v>0</v>
      </c>
      <c r="BD128" s="46">
        <f t="shared" ca="1" si="48"/>
        <v>2317.4361284052429</v>
      </c>
      <c r="BE128" s="46">
        <f t="shared" ca="1" si="48"/>
        <v>0</v>
      </c>
      <c r="BF128" s="46">
        <f t="shared" ca="1" si="48"/>
        <v>0</v>
      </c>
      <c r="BG128" s="46">
        <f t="shared" ca="1" si="48"/>
        <v>1158.7180642026215</v>
      </c>
      <c r="BH128" s="46">
        <f t="shared" ca="1" si="48"/>
        <v>0</v>
      </c>
      <c r="BI128" s="46">
        <f t="shared" ca="1" si="48"/>
        <v>0</v>
      </c>
      <c r="BJ128" s="46">
        <f t="shared" ca="1" si="48"/>
        <v>579.35903210131073</v>
      </c>
      <c r="BK128" s="46">
        <f t="shared" ca="1" si="48"/>
        <v>0</v>
      </c>
      <c r="BL128" s="46">
        <f t="shared" ca="1" si="48"/>
        <v>0</v>
      </c>
      <c r="BM128" s="46">
        <f t="shared" ca="1" si="48"/>
        <v>289.67951605065537</v>
      </c>
      <c r="BN128" s="46">
        <f t="shared" ca="1" si="48"/>
        <v>0</v>
      </c>
      <c r="BO128" s="46">
        <f t="shared" ca="1" si="48"/>
        <v>0</v>
      </c>
    </row>
    <row r="129" spans="1:67" ht="16.5" hidden="1" customHeight="1" outlineLevel="1">
      <c r="A129" s="1"/>
      <c r="B129" s="55">
        <f t="shared" si="21"/>
        <v>46446</v>
      </c>
      <c r="C129" s="17" t="s">
        <v>104</v>
      </c>
      <c r="D129" s="46">
        <f t="shared" si="23"/>
        <v>26</v>
      </c>
      <c r="E129" s="16"/>
      <c r="F129" s="51">
        <f t="shared" si="24"/>
        <v>1</v>
      </c>
      <c r="G129" s="16" t="s">
        <v>159</v>
      </c>
      <c r="H129" s="16" t="s">
        <v>155</v>
      </c>
      <c r="I129" s="46">
        <f ca="1">IF(H129=Forecast!$H$195,T129,IF(H129=Forecast!$H$196,BO129,IF(H129=Forecast!$H$197,SUM(T129:BO129),IF(H129=Forecast!$H$198,AVERAGE(T129:BO129),0))))</f>
        <v>75011.611910376872</v>
      </c>
      <c r="J129" s="16"/>
      <c r="K129" s="16"/>
      <c r="L129" s="16"/>
      <c r="M129" s="16"/>
      <c r="N129" s="16"/>
      <c r="O129" s="16"/>
      <c r="P129" s="16"/>
      <c r="Q129" s="16"/>
      <c r="R129" s="16"/>
      <c r="S129" s="16"/>
      <c r="T129" s="46">
        <f t="shared" ref="T129:BO129" si="49">IF(T$6&lt;$D129,0,INDEX($T$44:$BO$44,,T$6-$D129+1)*INDEX($T$52:$BO$52,,$D129)*IF(T$6=$D129,1,$F129)*T$46)</f>
        <v>0</v>
      </c>
      <c r="U129" s="46">
        <f t="shared" si="49"/>
        <v>0</v>
      </c>
      <c r="V129" s="46">
        <f t="shared" si="49"/>
        <v>0</v>
      </c>
      <c r="W129" s="46">
        <f t="shared" si="49"/>
        <v>0</v>
      </c>
      <c r="X129" s="46">
        <f t="shared" si="49"/>
        <v>0</v>
      </c>
      <c r="Y129" s="46">
        <f t="shared" si="49"/>
        <v>0</v>
      </c>
      <c r="Z129" s="46">
        <f t="shared" si="49"/>
        <v>0</v>
      </c>
      <c r="AA129" s="46">
        <f t="shared" si="49"/>
        <v>0</v>
      </c>
      <c r="AB129" s="46">
        <f t="shared" si="49"/>
        <v>0</v>
      </c>
      <c r="AC129" s="46">
        <f t="shared" si="49"/>
        <v>0</v>
      </c>
      <c r="AD129" s="46">
        <f t="shared" si="49"/>
        <v>0</v>
      </c>
      <c r="AE129" s="46">
        <f t="shared" si="49"/>
        <v>0</v>
      </c>
      <c r="AF129" s="46">
        <f t="shared" si="49"/>
        <v>0</v>
      </c>
      <c r="AG129" s="46">
        <f t="shared" si="49"/>
        <v>0</v>
      </c>
      <c r="AH129" s="46">
        <f t="shared" si="49"/>
        <v>0</v>
      </c>
      <c r="AI129" s="46">
        <f t="shared" si="49"/>
        <v>0</v>
      </c>
      <c r="AJ129" s="46">
        <f t="shared" si="49"/>
        <v>0</v>
      </c>
      <c r="AK129" s="46">
        <f t="shared" si="49"/>
        <v>0</v>
      </c>
      <c r="AL129" s="46">
        <f t="shared" si="49"/>
        <v>0</v>
      </c>
      <c r="AM129" s="46">
        <f t="shared" si="49"/>
        <v>0</v>
      </c>
      <c r="AN129" s="46">
        <f t="shared" si="49"/>
        <v>0</v>
      </c>
      <c r="AO129" s="46">
        <f t="shared" si="49"/>
        <v>0</v>
      </c>
      <c r="AP129" s="46">
        <f t="shared" si="49"/>
        <v>0</v>
      </c>
      <c r="AQ129" s="46">
        <f t="shared" si="49"/>
        <v>0</v>
      </c>
      <c r="AR129" s="46">
        <f t="shared" si="49"/>
        <v>0</v>
      </c>
      <c r="AS129" s="46">
        <f t="shared" ca="1" si="49"/>
        <v>37652.887547169572</v>
      </c>
      <c r="AT129" s="46">
        <f t="shared" ca="1" si="49"/>
        <v>0</v>
      </c>
      <c r="AU129" s="46">
        <f t="shared" ca="1" si="49"/>
        <v>0</v>
      </c>
      <c r="AV129" s="46">
        <f t="shared" ca="1" si="49"/>
        <v>18826.443773584786</v>
      </c>
      <c r="AW129" s="46">
        <f t="shared" ca="1" si="49"/>
        <v>0</v>
      </c>
      <c r="AX129" s="46">
        <f t="shared" ca="1" si="49"/>
        <v>0</v>
      </c>
      <c r="AY129" s="46">
        <f t="shared" ca="1" si="49"/>
        <v>9413.221886792393</v>
      </c>
      <c r="AZ129" s="46">
        <f t="shared" ca="1" si="49"/>
        <v>0</v>
      </c>
      <c r="BA129" s="46">
        <f t="shared" ca="1" si="49"/>
        <v>0</v>
      </c>
      <c r="BB129" s="46">
        <f t="shared" ca="1" si="49"/>
        <v>4706.6109433961965</v>
      </c>
      <c r="BC129" s="46">
        <f t="shared" ca="1" si="49"/>
        <v>0</v>
      </c>
      <c r="BD129" s="46">
        <f t="shared" ca="1" si="49"/>
        <v>0</v>
      </c>
      <c r="BE129" s="46">
        <f t="shared" ca="1" si="49"/>
        <v>2353.3054716980982</v>
      </c>
      <c r="BF129" s="46">
        <f t="shared" ca="1" si="49"/>
        <v>0</v>
      </c>
      <c r="BG129" s="46">
        <f t="shared" ca="1" si="49"/>
        <v>0</v>
      </c>
      <c r="BH129" s="46">
        <f t="shared" ca="1" si="49"/>
        <v>1176.6527358490491</v>
      </c>
      <c r="BI129" s="46">
        <f t="shared" ca="1" si="49"/>
        <v>0</v>
      </c>
      <c r="BJ129" s="46">
        <f t="shared" ca="1" si="49"/>
        <v>0</v>
      </c>
      <c r="BK129" s="46">
        <f t="shared" ca="1" si="49"/>
        <v>588.32636792452456</v>
      </c>
      <c r="BL129" s="46">
        <f t="shared" ca="1" si="49"/>
        <v>0</v>
      </c>
      <c r="BM129" s="46">
        <f t="shared" ca="1" si="49"/>
        <v>0</v>
      </c>
      <c r="BN129" s="46">
        <f t="shared" ca="1" si="49"/>
        <v>294.16318396226228</v>
      </c>
      <c r="BO129" s="46">
        <f t="shared" ca="1" si="49"/>
        <v>0</v>
      </c>
    </row>
    <row r="130" spans="1:67" ht="16.5" hidden="1" customHeight="1" outlineLevel="1">
      <c r="A130" s="1"/>
      <c r="B130" s="55">
        <f t="shared" si="21"/>
        <v>46477</v>
      </c>
      <c r="C130" s="17" t="s">
        <v>104</v>
      </c>
      <c r="D130" s="46">
        <f t="shared" si="23"/>
        <v>27</v>
      </c>
      <c r="E130" s="16"/>
      <c r="F130" s="51">
        <f t="shared" si="24"/>
        <v>1</v>
      </c>
      <c r="G130" s="16" t="s">
        <v>159</v>
      </c>
      <c r="H130" s="16" t="s">
        <v>155</v>
      </c>
      <c r="I130" s="46">
        <f ca="1">IF(H130=Forecast!$H$195,T130,IF(H130=Forecast!$H$196,BO130,IF(H130=Forecast!$H$197,SUM(T130:BO130),IF(H130=Forecast!$H$198,AVERAGE(T130:BO130),0))))</f>
        <v>75998.48902070873</v>
      </c>
      <c r="J130" s="16"/>
      <c r="K130" s="16"/>
      <c r="L130" s="16"/>
      <c r="M130" s="16"/>
      <c r="N130" s="16"/>
      <c r="O130" s="16"/>
      <c r="P130" s="16"/>
      <c r="Q130" s="16"/>
      <c r="R130" s="16"/>
      <c r="S130" s="16"/>
      <c r="T130" s="46">
        <f t="shared" ref="T130:BO130" si="50">IF(T$6&lt;$D130,0,INDEX($T$44:$BO$44,,T$6-$D130+1)*INDEX($T$52:$BO$52,,$D130)*IF(T$6=$D130,1,$F130)*T$46)</f>
        <v>0</v>
      </c>
      <c r="U130" s="46">
        <f t="shared" si="50"/>
        <v>0</v>
      </c>
      <c r="V130" s="46">
        <f t="shared" si="50"/>
        <v>0</v>
      </c>
      <c r="W130" s="46">
        <f t="shared" si="50"/>
        <v>0</v>
      </c>
      <c r="X130" s="46">
        <f t="shared" si="50"/>
        <v>0</v>
      </c>
      <c r="Y130" s="46">
        <f t="shared" si="50"/>
        <v>0</v>
      </c>
      <c r="Z130" s="46">
        <f t="shared" si="50"/>
        <v>0</v>
      </c>
      <c r="AA130" s="46">
        <f t="shared" si="50"/>
        <v>0</v>
      </c>
      <c r="AB130" s="46">
        <f t="shared" si="50"/>
        <v>0</v>
      </c>
      <c r="AC130" s="46">
        <f t="shared" si="50"/>
        <v>0</v>
      </c>
      <c r="AD130" s="46">
        <f t="shared" si="50"/>
        <v>0</v>
      </c>
      <c r="AE130" s="46">
        <f t="shared" si="50"/>
        <v>0</v>
      </c>
      <c r="AF130" s="46">
        <f t="shared" si="50"/>
        <v>0</v>
      </c>
      <c r="AG130" s="46">
        <f t="shared" si="50"/>
        <v>0</v>
      </c>
      <c r="AH130" s="46">
        <f t="shared" si="50"/>
        <v>0</v>
      </c>
      <c r="AI130" s="46">
        <f t="shared" si="50"/>
        <v>0</v>
      </c>
      <c r="AJ130" s="46">
        <f t="shared" si="50"/>
        <v>0</v>
      </c>
      <c r="AK130" s="46">
        <f t="shared" si="50"/>
        <v>0</v>
      </c>
      <c r="AL130" s="46">
        <f t="shared" si="50"/>
        <v>0</v>
      </c>
      <c r="AM130" s="46">
        <f t="shared" si="50"/>
        <v>0</v>
      </c>
      <c r="AN130" s="46">
        <f t="shared" si="50"/>
        <v>0</v>
      </c>
      <c r="AO130" s="46">
        <f t="shared" si="50"/>
        <v>0</v>
      </c>
      <c r="AP130" s="46">
        <f t="shared" si="50"/>
        <v>0</v>
      </c>
      <c r="AQ130" s="46">
        <f t="shared" si="50"/>
        <v>0</v>
      </c>
      <c r="AR130" s="46">
        <f t="shared" si="50"/>
        <v>0</v>
      </c>
      <c r="AS130" s="46">
        <f t="shared" si="50"/>
        <v>0</v>
      </c>
      <c r="AT130" s="46">
        <f t="shared" ca="1" si="50"/>
        <v>38148.261155493004</v>
      </c>
      <c r="AU130" s="46">
        <f t="shared" ca="1" si="50"/>
        <v>0</v>
      </c>
      <c r="AV130" s="46">
        <f t="shared" ca="1" si="50"/>
        <v>0</v>
      </c>
      <c r="AW130" s="46">
        <f t="shared" ca="1" si="50"/>
        <v>19074.130577746502</v>
      </c>
      <c r="AX130" s="46">
        <f t="shared" ca="1" si="50"/>
        <v>0</v>
      </c>
      <c r="AY130" s="46">
        <f t="shared" ca="1" si="50"/>
        <v>0</v>
      </c>
      <c r="AZ130" s="46">
        <f t="shared" ca="1" si="50"/>
        <v>9537.0652888732511</v>
      </c>
      <c r="BA130" s="46">
        <f t="shared" ca="1" si="50"/>
        <v>0</v>
      </c>
      <c r="BB130" s="46">
        <f t="shared" ca="1" si="50"/>
        <v>0</v>
      </c>
      <c r="BC130" s="46">
        <f t="shared" ca="1" si="50"/>
        <v>4768.5326444366256</v>
      </c>
      <c r="BD130" s="46">
        <f t="shared" ca="1" si="50"/>
        <v>0</v>
      </c>
      <c r="BE130" s="46">
        <f t="shared" ca="1" si="50"/>
        <v>0</v>
      </c>
      <c r="BF130" s="46">
        <f t="shared" ca="1" si="50"/>
        <v>2384.2663222183128</v>
      </c>
      <c r="BG130" s="46">
        <f t="shared" ca="1" si="50"/>
        <v>0</v>
      </c>
      <c r="BH130" s="46">
        <f t="shared" ca="1" si="50"/>
        <v>0</v>
      </c>
      <c r="BI130" s="46">
        <f t="shared" ca="1" si="50"/>
        <v>1192.1331611091564</v>
      </c>
      <c r="BJ130" s="46">
        <f t="shared" ca="1" si="50"/>
        <v>0</v>
      </c>
      <c r="BK130" s="46">
        <f t="shared" ca="1" si="50"/>
        <v>0</v>
      </c>
      <c r="BL130" s="46">
        <f t="shared" ca="1" si="50"/>
        <v>596.0665805545782</v>
      </c>
      <c r="BM130" s="46">
        <f t="shared" ca="1" si="50"/>
        <v>0</v>
      </c>
      <c r="BN130" s="46">
        <f t="shared" ca="1" si="50"/>
        <v>0</v>
      </c>
      <c r="BO130" s="46">
        <f t="shared" ca="1" si="50"/>
        <v>298.0332902772891</v>
      </c>
    </row>
    <row r="131" spans="1:67" ht="16.5" hidden="1" customHeight="1" outlineLevel="1">
      <c r="A131" s="1"/>
      <c r="B131" s="55">
        <f t="shared" si="21"/>
        <v>46507</v>
      </c>
      <c r="C131" s="17" t="s">
        <v>104</v>
      </c>
      <c r="D131" s="46">
        <f t="shared" si="23"/>
        <v>28</v>
      </c>
      <c r="E131" s="16"/>
      <c r="F131" s="51">
        <f t="shared" si="24"/>
        <v>1</v>
      </c>
      <c r="G131" s="16" t="s">
        <v>159</v>
      </c>
      <c r="H131" s="16" t="s">
        <v>155</v>
      </c>
      <c r="I131" s="46">
        <f ca="1">IF(H131=Forecast!$H$195,T131,IF(H131=Forecast!$H$196,BO131,IF(H131=Forecast!$H$197,SUM(T131:BO131),IF(H131=Forecast!$H$198,AVERAGE(T131:BO131),0))))</f>
        <v>76547.004529137601</v>
      </c>
      <c r="J131" s="16"/>
      <c r="K131" s="16"/>
      <c r="L131" s="16"/>
      <c r="M131" s="16"/>
      <c r="N131" s="16"/>
      <c r="O131" s="16"/>
      <c r="P131" s="16"/>
      <c r="Q131" s="16"/>
      <c r="R131" s="16"/>
      <c r="S131" s="16"/>
      <c r="T131" s="46">
        <f t="shared" ref="T131:BO131" si="51">IF(T$6&lt;$D131,0,INDEX($T$44:$BO$44,,T$6-$D131+1)*INDEX($T$52:$BO$52,,$D131)*IF(T$6=$D131,1,$F131)*T$46)</f>
        <v>0</v>
      </c>
      <c r="U131" s="46">
        <f t="shared" si="51"/>
        <v>0</v>
      </c>
      <c r="V131" s="46">
        <f t="shared" si="51"/>
        <v>0</v>
      </c>
      <c r="W131" s="46">
        <f t="shared" si="51"/>
        <v>0</v>
      </c>
      <c r="X131" s="46">
        <f t="shared" si="51"/>
        <v>0</v>
      </c>
      <c r="Y131" s="46">
        <f t="shared" si="51"/>
        <v>0</v>
      </c>
      <c r="Z131" s="46">
        <f t="shared" si="51"/>
        <v>0</v>
      </c>
      <c r="AA131" s="46">
        <f t="shared" si="51"/>
        <v>0</v>
      </c>
      <c r="AB131" s="46">
        <f t="shared" si="51"/>
        <v>0</v>
      </c>
      <c r="AC131" s="46">
        <f t="shared" si="51"/>
        <v>0</v>
      </c>
      <c r="AD131" s="46">
        <f t="shared" si="51"/>
        <v>0</v>
      </c>
      <c r="AE131" s="46">
        <f t="shared" si="51"/>
        <v>0</v>
      </c>
      <c r="AF131" s="46">
        <f t="shared" si="51"/>
        <v>0</v>
      </c>
      <c r="AG131" s="46">
        <f t="shared" si="51"/>
        <v>0</v>
      </c>
      <c r="AH131" s="46">
        <f t="shared" si="51"/>
        <v>0</v>
      </c>
      <c r="AI131" s="46">
        <f t="shared" si="51"/>
        <v>0</v>
      </c>
      <c r="AJ131" s="46">
        <f t="shared" si="51"/>
        <v>0</v>
      </c>
      <c r="AK131" s="46">
        <f t="shared" si="51"/>
        <v>0</v>
      </c>
      <c r="AL131" s="46">
        <f t="shared" si="51"/>
        <v>0</v>
      </c>
      <c r="AM131" s="46">
        <f t="shared" si="51"/>
        <v>0</v>
      </c>
      <c r="AN131" s="46">
        <f t="shared" si="51"/>
        <v>0</v>
      </c>
      <c r="AO131" s="46">
        <f t="shared" si="51"/>
        <v>0</v>
      </c>
      <c r="AP131" s="46">
        <f t="shared" si="51"/>
        <v>0</v>
      </c>
      <c r="AQ131" s="46">
        <f t="shared" si="51"/>
        <v>0</v>
      </c>
      <c r="AR131" s="46">
        <f t="shared" si="51"/>
        <v>0</v>
      </c>
      <c r="AS131" s="46">
        <f t="shared" si="51"/>
        <v>0</v>
      </c>
      <c r="AT131" s="46">
        <f t="shared" si="51"/>
        <v>0</v>
      </c>
      <c r="AU131" s="46">
        <f t="shared" ca="1" si="51"/>
        <v>38574.868424132335</v>
      </c>
      <c r="AV131" s="46">
        <f t="shared" ca="1" si="51"/>
        <v>0</v>
      </c>
      <c r="AW131" s="46">
        <f t="shared" ca="1" si="51"/>
        <v>0</v>
      </c>
      <c r="AX131" s="46">
        <f t="shared" ca="1" si="51"/>
        <v>19287.434212066168</v>
      </c>
      <c r="AY131" s="46">
        <f t="shared" ca="1" si="51"/>
        <v>0</v>
      </c>
      <c r="AZ131" s="46">
        <f t="shared" ca="1" si="51"/>
        <v>0</v>
      </c>
      <c r="BA131" s="46">
        <f t="shared" ca="1" si="51"/>
        <v>9643.7171060330838</v>
      </c>
      <c r="BB131" s="46">
        <f t="shared" ca="1" si="51"/>
        <v>0</v>
      </c>
      <c r="BC131" s="46">
        <f t="shared" ca="1" si="51"/>
        <v>0</v>
      </c>
      <c r="BD131" s="46">
        <f t="shared" ca="1" si="51"/>
        <v>4821.8585530165419</v>
      </c>
      <c r="BE131" s="46">
        <f t="shared" ca="1" si="51"/>
        <v>0</v>
      </c>
      <c r="BF131" s="46">
        <f t="shared" ca="1" si="51"/>
        <v>0</v>
      </c>
      <c r="BG131" s="46">
        <f t="shared" ca="1" si="51"/>
        <v>2410.929276508271</v>
      </c>
      <c r="BH131" s="46">
        <f t="shared" ca="1" si="51"/>
        <v>0</v>
      </c>
      <c r="BI131" s="46">
        <f t="shared" ca="1" si="51"/>
        <v>0</v>
      </c>
      <c r="BJ131" s="46">
        <f t="shared" ca="1" si="51"/>
        <v>1205.4646382541355</v>
      </c>
      <c r="BK131" s="46">
        <f t="shared" ca="1" si="51"/>
        <v>0</v>
      </c>
      <c r="BL131" s="46">
        <f t="shared" ca="1" si="51"/>
        <v>0</v>
      </c>
      <c r="BM131" s="46">
        <f t="shared" ca="1" si="51"/>
        <v>602.73231912706774</v>
      </c>
      <c r="BN131" s="46">
        <f t="shared" ca="1" si="51"/>
        <v>0</v>
      </c>
      <c r="BO131" s="46">
        <f t="shared" ca="1" si="51"/>
        <v>0</v>
      </c>
    </row>
    <row r="132" spans="1:67" ht="16.5" hidden="1" customHeight="1" outlineLevel="1">
      <c r="A132" s="1"/>
      <c r="B132" s="55">
        <f t="shared" si="21"/>
        <v>46538</v>
      </c>
      <c r="C132" s="17" t="s">
        <v>104</v>
      </c>
      <c r="D132" s="46">
        <f t="shared" si="23"/>
        <v>29</v>
      </c>
      <c r="E132" s="16"/>
      <c r="F132" s="51">
        <f t="shared" si="24"/>
        <v>1</v>
      </c>
      <c r="G132" s="16" t="s">
        <v>159</v>
      </c>
      <c r="H132" s="16" t="s">
        <v>155</v>
      </c>
      <c r="I132" s="46">
        <f ca="1">IF(H132=Forecast!$H$195,T132,IF(H132=Forecast!$H$196,BO132,IF(H132=Forecast!$H$197,SUM(T132:BO132),IF(H132=Forecast!$H$198,AVERAGE(T132:BO132),0))))</f>
        <v>77274.61783064183</v>
      </c>
      <c r="J132" s="16"/>
      <c r="K132" s="16"/>
      <c r="L132" s="16"/>
      <c r="M132" s="16"/>
      <c r="N132" s="16"/>
      <c r="O132" s="16"/>
      <c r="P132" s="16"/>
      <c r="Q132" s="16"/>
      <c r="R132" s="16"/>
      <c r="S132" s="16"/>
      <c r="T132" s="46">
        <f t="shared" ref="T132:BO132" si="52">IF(T$6&lt;$D132,0,INDEX($T$44:$BO$44,,T$6-$D132+1)*INDEX($T$52:$BO$52,,$D132)*IF(T$6=$D132,1,$F132)*T$46)</f>
        <v>0</v>
      </c>
      <c r="U132" s="46">
        <f t="shared" si="52"/>
        <v>0</v>
      </c>
      <c r="V132" s="46">
        <f t="shared" si="52"/>
        <v>0</v>
      </c>
      <c r="W132" s="46">
        <f t="shared" si="52"/>
        <v>0</v>
      </c>
      <c r="X132" s="46">
        <f t="shared" si="52"/>
        <v>0</v>
      </c>
      <c r="Y132" s="46">
        <f t="shared" si="52"/>
        <v>0</v>
      </c>
      <c r="Z132" s="46">
        <f t="shared" si="52"/>
        <v>0</v>
      </c>
      <c r="AA132" s="46">
        <f t="shared" si="52"/>
        <v>0</v>
      </c>
      <c r="AB132" s="46">
        <f t="shared" si="52"/>
        <v>0</v>
      </c>
      <c r="AC132" s="46">
        <f t="shared" si="52"/>
        <v>0</v>
      </c>
      <c r="AD132" s="46">
        <f t="shared" si="52"/>
        <v>0</v>
      </c>
      <c r="AE132" s="46">
        <f t="shared" si="52"/>
        <v>0</v>
      </c>
      <c r="AF132" s="46">
        <f t="shared" si="52"/>
        <v>0</v>
      </c>
      <c r="AG132" s="46">
        <f t="shared" si="52"/>
        <v>0</v>
      </c>
      <c r="AH132" s="46">
        <f t="shared" si="52"/>
        <v>0</v>
      </c>
      <c r="AI132" s="46">
        <f t="shared" si="52"/>
        <v>0</v>
      </c>
      <c r="AJ132" s="46">
        <f t="shared" si="52"/>
        <v>0</v>
      </c>
      <c r="AK132" s="46">
        <f t="shared" si="52"/>
        <v>0</v>
      </c>
      <c r="AL132" s="46">
        <f t="shared" si="52"/>
        <v>0</v>
      </c>
      <c r="AM132" s="46">
        <f t="shared" si="52"/>
        <v>0</v>
      </c>
      <c r="AN132" s="46">
        <f t="shared" si="52"/>
        <v>0</v>
      </c>
      <c r="AO132" s="46">
        <f t="shared" si="52"/>
        <v>0</v>
      </c>
      <c r="AP132" s="46">
        <f t="shared" si="52"/>
        <v>0</v>
      </c>
      <c r="AQ132" s="46">
        <f t="shared" si="52"/>
        <v>0</v>
      </c>
      <c r="AR132" s="46">
        <f t="shared" si="52"/>
        <v>0</v>
      </c>
      <c r="AS132" s="46">
        <f t="shared" si="52"/>
        <v>0</v>
      </c>
      <c r="AT132" s="46">
        <f t="shared" si="52"/>
        <v>0</v>
      </c>
      <c r="AU132" s="46">
        <f t="shared" si="52"/>
        <v>0</v>
      </c>
      <c r="AV132" s="46">
        <f t="shared" ca="1" si="52"/>
        <v>38941.539694181709</v>
      </c>
      <c r="AW132" s="46">
        <f t="shared" ca="1" si="52"/>
        <v>0</v>
      </c>
      <c r="AX132" s="46">
        <f t="shared" ca="1" si="52"/>
        <v>0</v>
      </c>
      <c r="AY132" s="46">
        <f t="shared" ca="1" si="52"/>
        <v>19470.769847090854</v>
      </c>
      <c r="AZ132" s="46">
        <f t="shared" ca="1" si="52"/>
        <v>0</v>
      </c>
      <c r="BA132" s="46">
        <f t="shared" ca="1" si="52"/>
        <v>0</v>
      </c>
      <c r="BB132" s="46">
        <f t="shared" ca="1" si="52"/>
        <v>9735.3849235454272</v>
      </c>
      <c r="BC132" s="46">
        <f t="shared" ca="1" si="52"/>
        <v>0</v>
      </c>
      <c r="BD132" s="46">
        <f t="shared" ca="1" si="52"/>
        <v>0</v>
      </c>
      <c r="BE132" s="46">
        <f t="shared" ca="1" si="52"/>
        <v>4867.6924617727136</v>
      </c>
      <c r="BF132" s="46">
        <f t="shared" ca="1" si="52"/>
        <v>0</v>
      </c>
      <c r="BG132" s="46">
        <f t="shared" ca="1" si="52"/>
        <v>0</v>
      </c>
      <c r="BH132" s="46">
        <f t="shared" ca="1" si="52"/>
        <v>2433.8462308863568</v>
      </c>
      <c r="BI132" s="46">
        <f t="shared" ca="1" si="52"/>
        <v>0</v>
      </c>
      <c r="BJ132" s="46">
        <f t="shared" ca="1" si="52"/>
        <v>0</v>
      </c>
      <c r="BK132" s="46">
        <f t="shared" ca="1" si="52"/>
        <v>1216.9231154431784</v>
      </c>
      <c r="BL132" s="46">
        <f t="shared" ca="1" si="52"/>
        <v>0</v>
      </c>
      <c r="BM132" s="46">
        <f t="shared" ca="1" si="52"/>
        <v>0</v>
      </c>
      <c r="BN132" s="46">
        <f t="shared" ca="1" si="52"/>
        <v>608.4615577215892</v>
      </c>
      <c r="BO132" s="46">
        <f t="shared" ca="1" si="52"/>
        <v>0</v>
      </c>
    </row>
    <row r="133" spans="1:67" ht="16.5" hidden="1" customHeight="1" outlineLevel="1">
      <c r="A133" s="1"/>
      <c r="B133" s="55">
        <f t="shared" si="21"/>
        <v>46568</v>
      </c>
      <c r="C133" s="17" t="s">
        <v>104</v>
      </c>
      <c r="D133" s="46">
        <f t="shared" si="23"/>
        <v>30</v>
      </c>
      <c r="E133" s="16"/>
      <c r="F133" s="51">
        <f t="shared" si="24"/>
        <v>1</v>
      </c>
      <c r="G133" s="16" t="s">
        <v>159</v>
      </c>
      <c r="H133" s="16" t="s">
        <v>155</v>
      </c>
      <c r="I133" s="46">
        <f ca="1">IF(H133=Forecast!$H$195,T133,IF(H133=Forecast!$H$196,BO133,IF(H133=Forecast!$H$197,SUM(T133:BO133),IF(H133=Forecast!$H$198,AVERAGE(T133:BO133),0))))</f>
        <v>77898.967981583439</v>
      </c>
      <c r="J133" s="16"/>
      <c r="K133" s="16"/>
      <c r="L133" s="16"/>
      <c r="M133" s="16"/>
      <c r="N133" s="16"/>
      <c r="O133" s="16"/>
      <c r="P133" s="16"/>
      <c r="Q133" s="16"/>
      <c r="R133" s="16"/>
      <c r="S133" s="16"/>
      <c r="T133" s="46">
        <f t="shared" ref="T133:BO133" si="53">IF(T$6&lt;$D133,0,INDEX($T$44:$BO$44,,T$6-$D133+1)*INDEX($T$52:$BO$52,,$D133)*IF(T$6=$D133,1,$F133)*T$46)</f>
        <v>0</v>
      </c>
      <c r="U133" s="46">
        <f t="shared" si="53"/>
        <v>0</v>
      </c>
      <c r="V133" s="46">
        <f t="shared" si="53"/>
        <v>0</v>
      </c>
      <c r="W133" s="46">
        <f t="shared" si="53"/>
        <v>0</v>
      </c>
      <c r="X133" s="46">
        <f t="shared" si="53"/>
        <v>0</v>
      </c>
      <c r="Y133" s="46">
        <f t="shared" si="53"/>
        <v>0</v>
      </c>
      <c r="Z133" s="46">
        <f t="shared" si="53"/>
        <v>0</v>
      </c>
      <c r="AA133" s="46">
        <f t="shared" si="53"/>
        <v>0</v>
      </c>
      <c r="AB133" s="46">
        <f t="shared" si="53"/>
        <v>0</v>
      </c>
      <c r="AC133" s="46">
        <f t="shared" si="53"/>
        <v>0</v>
      </c>
      <c r="AD133" s="46">
        <f t="shared" si="53"/>
        <v>0</v>
      </c>
      <c r="AE133" s="46">
        <f t="shared" si="53"/>
        <v>0</v>
      </c>
      <c r="AF133" s="46">
        <f t="shared" si="53"/>
        <v>0</v>
      </c>
      <c r="AG133" s="46">
        <f t="shared" si="53"/>
        <v>0</v>
      </c>
      <c r="AH133" s="46">
        <f t="shared" si="53"/>
        <v>0</v>
      </c>
      <c r="AI133" s="46">
        <f t="shared" si="53"/>
        <v>0</v>
      </c>
      <c r="AJ133" s="46">
        <f t="shared" si="53"/>
        <v>0</v>
      </c>
      <c r="AK133" s="46">
        <f t="shared" si="53"/>
        <v>0</v>
      </c>
      <c r="AL133" s="46">
        <f t="shared" si="53"/>
        <v>0</v>
      </c>
      <c r="AM133" s="46">
        <f t="shared" si="53"/>
        <v>0</v>
      </c>
      <c r="AN133" s="46">
        <f t="shared" si="53"/>
        <v>0</v>
      </c>
      <c r="AO133" s="46">
        <f t="shared" si="53"/>
        <v>0</v>
      </c>
      <c r="AP133" s="46">
        <f t="shared" si="53"/>
        <v>0</v>
      </c>
      <c r="AQ133" s="46">
        <f t="shared" si="53"/>
        <v>0</v>
      </c>
      <c r="AR133" s="46">
        <f t="shared" si="53"/>
        <v>0</v>
      </c>
      <c r="AS133" s="46">
        <f t="shared" si="53"/>
        <v>0</v>
      </c>
      <c r="AT133" s="46">
        <f t="shared" si="53"/>
        <v>0</v>
      </c>
      <c r="AU133" s="46">
        <f t="shared" si="53"/>
        <v>0</v>
      </c>
      <c r="AV133" s="46">
        <f t="shared" si="53"/>
        <v>0</v>
      </c>
      <c r="AW133" s="46">
        <f t="shared" ca="1" si="53"/>
        <v>39256.172841112915</v>
      </c>
      <c r="AX133" s="46">
        <f t="shared" ca="1" si="53"/>
        <v>0</v>
      </c>
      <c r="AY133" s="46">
        <f t="shared" ca="1" si="53"/>
        <v>0</v>
      </c>
      <c r="AZ133" s="46">
        <f t="shared" ca="1" si="53"/>
        <v>19628.086420556458</v>
      </c>
      <c r="BA133" s="46">
        <f t="shared" ca="1" si="53"/>
        <v>0</v>
      </c>
      <c r="BB133" s="46">
        <f t="shared" ca="1" si="53"/>
        <v>0</v>
      </c>
      <c r="BC133" s="46">
        <f t="shared" ca="1" si="53"/>
        <v>9814.0432102782288</v>
      </c>
      <c r="BD133" s="46">
        <f t="shared" ca="1" si="53"/>
        <v>0</v>
      </c>
      <c r="BE133" s="46">
        <f t="shared" ca="1" si="53"/>
        <v>0</v>
      </c>
      <c r="BF133" s="46">
        <f t="shared" ca="1" si="53"/>
        <v>4907.0216051391144</v>
      </c>
      <c r="BG133" s="46">
        <f t="shared" ca="1" si="53"/>
        <v>0</v>
      </c>
      <c r="BH133" s="46">
        <f t="shared" ca="1" si="53"/>
        <v>0</v>
      </c>
      <c r="BI133" s="46">
        <f t="shared" ca="1" si="53"/>
        <v>2453.5108025695572</v>
      </c>
      <c r="BJ133" s="46">
        <f t="shared" ca="1" si="53"/>
        <v>0</v>
      </c>
      <c r="BK133" s="46">
        <f t="shared" ca="1" si="53"/>
        <v>0</v>
      </c>
      <c r="BL133" s="46">
        <f t="shared" ca="1" si="53"/>
        <v>1226.7554012847786</v>
      </c>
      <c r="BM133" s="46">
        <f t="shared" ca="1" si="53"/>
        <v>0</v>
      </c>
      <c r="BN133" s="46">
        <f t="shared" ca="1" si="53"/>
        <v>0</v>
      </c>
      <c r="BO133" s="46">
        <f t="shared" ca="1" si="53"/>
        <v>613.3777006423893</v>
      </c>
    </row>
    <row r="134" spans="1:67" ht="16.5" hidden="1" customHeight="1" outlineLevel="1">
      <c r="A134" s="1"/>
      <c r="B134" s="55">
        <f t="shared" si="21"/>
        <v>46599</v>
      </c>
      <c r="C134" s="17" t="s">
        <v>104</v>
      </c>
      <c r="D134" s="46">
        <f t="shared" si="23"/>
        <v>31</v>
      </c>
      <c r="E134" s="16"/>
      <c r="F134" s="51">
        <f t="shared" si="24"/>
        <v>1</v>
      </c>
      <c r="G134" s="16" t="s">
        <v>159</v>
      </c>
      <c r="H134" s="16" t="s">
        <v>155</v>
      </c>
      <c r="I134" s="46">
        <f ca="1">IF(H134=Forecast!$H$195,T134,IF(H134=Forecast!$H$196,BO134,IF(H134=Forecast!$H$197,SUM(T134:BO134),IF(H134=Forecast!$H$198,AVERAGE(T134:BO134),0))))</f>
        <v>77816.363264558793</v>
      </c>
      <c r="J134" s="16"/>
      <c r="K134" s="16"/>
      <c r="L134" s="16"/>
      <c r="M134" s="16"/>
      <c r="N134" s="16"/>
      <c r="O134" s="16"/>
      <c r="P134" s="16"/>
      <c r="Q134" s="16"/>
      <c r="R134" s="16"/>
      <c r="S134" s="16"/>
      <c r="T134" s="46">
        <f t="shared" ref="T134:BO134" si="54">IF(T$6&lt;$D134,0,INDEX($T$44:$BO$44,,T$6-$D134+1)*INDEX($T$52:$BO$52,,$D134)*IF(T$6=$D134,1,$F134)*T$46)</f>
        <v>0</v>
      </c>
      <c r="U134" s="46">
        <f t="shared" si="54"/>
        <v>0</v>
      </c>
      <c r="V134" s="46">
        <f t="shared" si="54"/>
        <v>0</v>
      </c>
      <c r="W134" s="46">
        <f t="shared" si="54"/>
        <v>0</v>
      </c>
      <c r="X134" s="46">
        <f t="shared" si="54"/>
        <v>0</v>
      </c>
      <c r="Y134" s="46">
        <f t="shared" si="54"/>
        <v>0</v>
      </c>
      <c r="Z134" s="46">
        <f t="shared" si="54"/>
        <v>0</v>
      </c>
      <c r="AA134" s="46">
        <f t="shared" si="54"/>
        <v>0</v>
      </c>
      <c r="AB134" s="46">
        <f t="shared" si="54"/>
        <v>0</v>
      </c>
      <c r="AC134" s="46">
        <f t="shared" si="54"/>
        <v>0</v>
      </c>
      <c r="AD134" s="46">
        <f t="shared" si="54"/>
        <v>0</v>
      </c>
      <c r="AE134" s="46">
        <f t="shared" si="54"/>
        <v>0</v>
      </c>
      <c r="AF134" s="46">
        <f t="shared" si="54"/>
        <v>0</v>
      </c>
      <c r="AG134" s="46">
        <f t="shared" si="54"/>
        <v>0</v>
      </c>
      <c r="AH134" s="46">
        <f t="shared" si="54"/>
        <v>0</v>
      </c>
      <c r="AI134" s="46">
        <f t="shared" si="54"/>
        <v>0</v>
      </c>
      <c r="AJ134" s="46">
        <f t="shared" si="54"/>
        <v>0</v>
      </c>
      <c r="AK134" s="46">
        <f t="shared" si="54"/>
        <v>0</v>
      </c>
      <c r="AL134" s="46">
        <f t="shared" si="54"/>
        <v>0</v>
      </c>
      <c r="AM134" s="46">
        <f t="shared" si="54"/>
        <v>0</v>
      </c>
      <c r="AN134" s="46">
        <f t="shared" si="54"/>
        <v>0</v>
      </c>
      <c r="AO134" s="46">
        <f t="shared" si="54"/>
        <v>0</v>
      </c>
      <c r="AP134" s="46">
        <f t="shared" si="54"/>
        <v>0</v>
      </c>
      <c r="AQ134" s="46">
        <f t="shared" si="54"/>
        <v>0</v>
      </c>
      <c r="AR134" s="46">
        <f t="shared" si="54"/>
        <v>0</v>
      </c>
      <c r="AS134" s="46">
        <f t="shared" si="54"/>
        <v>0</v>
      </c>
      <c r="AT134" s="46">
        <f t="shared" si="54"/>
        <v>0</v>
      </c>
      <c r="AU134" s="46">
        <f t="shared" si="54"/>
        <v>0</v>
      </c>
      <c r="AV134" s="46">
        <f t="shared" si="54"/>
        <v>0</v>
      </c>
      <c r="AW134" s="46">
        <f t="shared" si="54"/>
        <v>0</v>
      </c>
      <c r="AX134" s="46">
        <f t="shared" ca="1" si="54"/>
        <v>39525.77181691875</v>
      </c>
      <c r="AY134" s="46">
        <f t="shared" ca="1" si="54"/>
        <v>0</v>
      </c>
      <c r="AZ134" s="46">
        <f t="shared" ca="1" si="54"/>
        <v>0</v>
      </c>
      <c r="BA134" s="46">
        <f t="shared" ca="1" si="54"/>
        <v>19762.885908459375</v>
      </c>
      <c r="BB134" s="46">
        <f t="shared" ca="1" si="54"/>
        <v>0</v>
      </c>
      <c r="BC134" s="46">
        <f t="shared" ca="1" si="54"/>
        <v>0</v>
      </c>
      <c r="BD134" s="46">
        <f t="shared" ca="1" si="54"/>
        <v>9881.4429542296875</v>
      </c>
      <c r="BE134" s="46">
        <f t="shared" ca="1" si="54"/>
        <v>0</v>
      </c>
      <c r="BF134" s="46">
        <f t="shared" ca="1" si="54"/>
        <v>0</v>
      </c>
      <c r="BG134" s="46">
        <f t="shared" ca="1" si="54"/>
        <v>4940.7214771148438</v>
      </c>
      <c r="BH134" s="46">
        <f t="shared" ca="1" si="54"/>
        <v>0</v>
      </c>
      <c r="BI134" s="46">
        <f t="shared" ca="1" si="54"/>
        <v>0</v>
      </c>
      <c r="BJ134" s="46">
        <f t="shared" ca="1" si="54"/>
        <v>2470.3607385574219</v>
      </c>
      <c r="BK134" s="46">
        <f t="shared" ca="1" si="54"/>
        <v>0</v>
      </c>
      <c r="BL134" s="46">
        <f t="shared" ca="1" si="54"/>
        <v>0</v>
      </c>
      <c r="BM134" s="46">
        <f t="shared" ca="1" si="54"/>
        <v>1235.1803692787109</v>
      </c>
      <c r="BN134" s="46">
        <f t="shared" ca="1" si="54"/>
        <v>0</v>
      </c>
      <c r="BO134" s="46">
        <f t="shared" ca="1" si="54"/>
        <v>0</v>
      </c>
    </row>
    <row r="135" spans="1:67" ht="16.5" hidden="1" customHeight="1" outlineLevel="1">
      <c r="A135" s="1"/>
      <c r="B135" s="55">
        <f t="shared" si="21"/>
        <v>46630</v>
      </c>
      <c r="C135" s="17" t="s">
        <v>104</v>
      </c>
      <c r="D135" s="46">
        <f t="shared" si="23"/>
        <v>32</v>
      </c>
      <c r="E135" s="16"/>
      <c r="F135" s="51">
        <f t="shared" si="24"/>
        <v>1</v>
      </c>
      <c r="G135" s="16" t="s">
        <v>159</v>
      </c>
      <c r="H135" s="16" t="s">
        <v>155</v>
      </c>
      <c r="I135" s="46">
        <f ca="1">IF(H135=Forecast!$H$195,T135,IF(H135=Forecast!$H$196,BO135,IF(H135=Forecast!$H$197,SUM(T135:BO135),IF(H135=Forecast!$H$198,AVERAGE(T135:BO135),0))))</f>
        <v>78270.618704427485</v>
      </c>
      <c r="J135" s="16"/>
      <c r="K135" s="16"/>
      <c r="L135" s="16"/>
      <c r="M135" s="16"/>
      <c r="N135" s="16"/>
      <c r="O135" s="16"/>
      <c r="P135" s="16"/>
      <c r="Q135" s="16"/>
      <c r="R135" s="16"/>
      <c r="S135" s="16"/>
      <c r="T135" s="46">
        <f t="shared" ref="T135:BO135" si="55">IF(T$6&lt;$D135,0,INDEX($T$44:$BO$44,,T$6-$D135+1)*INDEX($T$52:$BO$52,,$D135)*IF(T$6=$D135,1,$F135)*T$46)</f>
        <v>0</v>
      </c>
      <c r="U135" s="46">
        <f t="shared" si="55"/>
        <v>0</v>
      </c>
      <c r="V135" s="46">
        <f t="shared" si="55"/>
        <v>0</v>
      </c>
      <c r="W135" s="46">
        <f t="shared" si="55"/>
        <v>0</v>
      </c>
      <c r="X135" s="46">
        <f t="shared" si="55"/>
        <v>0</v>
      </c>
      <c r="Y135" s="46">
        <f t="shared" si="55"/>
        <v>0</v>
      </c>
      <c r="Z135" s="46">
        <f t="shared" si="55"/>
        <v>0</v>
      </c>
      <c r="AA135" s="46">
        <f t="shared" si="55"/>
        <v>0</v>
      </c>
      <c r="AB135" s="46">
        <f t="shared" si="55"/>
        <v>0</v>
      </c>
      <c r="AC135" s="46">
        <f t="shared" si="55"/>
        <v>0</v>
      </c>
      <c r="AD135" s="46">
        <f t="shared" si="55"/>
        <v>0</v>
      </c>
      <c r="AE135" s="46">
        <f t="shared" si="55"/>
        <v>0</v>
      </c>
      <c r="AF135" s="46">
        <f t="shared" si="55"/>
        <v>0</v>
      </c>
      <c r="AG135" s="46">
        <f t="shared" si="55"/>
        <v>0</v>
      </c>
      <c r="AH135" s="46">
        <f t="shared" si="55"/>
        <v>0</v>
      </c>
      <c r="AI135" s="46">
        <f t="shared" si="55"/>
        <v>0</v>
      </c>
      <c r="AJ135" s="46">
        <f t="shared" si="55"/>
        <v>0</v>
      </c>
      <c r="AK135" s="46">
        <f t="shared" si="55"/>
        <v>0</v>
      </c>
      <c r="AL135" s="46">
        <f t="shared" si="55"/>
        <v>0</v>
      </c>
      <c r="AM135" s="46">
        <f t="shared" si="55"/>
        <v>0</v>
      </c>
      <c r="AN135" s="46">
        <f t="shared" si="55"/>
        <v>0</v>
      </c>
      <c r="AO135" s="46">
        <f t="shared" si="55"/>
        <v>0</v>
      </c>
      <c r="AP135" s="46">
        <f t="shared" si="55"/>
        <v>0</v>
      </c>
      <c r="AQ135" s="46">
        <f t="shared" si="55"/>
        <v>0</v>
      </c>
      <c r="AR135" s="46">
        <f t="shared" si="55"/>
        <v>0</v>
      </c>
      <c r="AS135" s="46">
        <f t="shared" si="55"/>
        <v>0</v>
      </c>
      <c r="AT135" s="46">
        <f t="shared" si="55"/>
        <v>0</v>
      </c>
      <c r="AU135" s="46">
        <f t="shared" si="55"/>
        <v>0</v>
      </c>
      <c r="AV135" s="46">
        <f t="shared" si="55"/>
        <v>0</v>
      </c>
      <c r="AW135" s="46">
        <f t="shared" si="55"/>
        <v>0</v>
      </c>
      <c r="AX135" s="46">
        <f t="shared" si="55"/>
        <v>0</v>
      </c>
      <c r="AY135" s="46">
        <f t="shared" ca="1" si="55"/>
        <v>39756.504738756812</v>
      </c>
      <c r="AZ135" s="46">
        <f t="shared" ca="1" si="55"/>
        <v>0</v>
      </c>
      <c r="BA135" s="46">
        <f t="shared" ca="1" si="55"/>
        <v>0</v>
      </c>
      <c r="BB135" s="46">
        <f t="shared" ca="1" si="55"/>
        <v>19878.252369378406</v>
      </c>
      <c r="BC135" s="46">
        <f t="shared" ca="1" si="55"/>
        <v>0</v>
      </c>
      <c r="BD135" s="46">
        <f t="shared" ca="1" si="55"/>
        <v>0</v>
      </c>
      <c r="BE135" s="46">
        <f t="shared" ca="1" si="55"/>
        <v>9939.126184689203</v>
      </c>
      <c r="BF135" s="46">
        <f t="shared" ca="1" si="55"/>
        <v>0</v>
      </c>
      <c r="BG135" s="46">
        <f t="shared" ca="1" si="55"/>
        <v>0</v>
      </c>
      <c r="BH135" s="46">
        <f t="shared" ca="1" si="55"/>
        <v>4969.5630923446015</v>
      </c>
      <c r="BI135" s="46">
        <f t="shared" ca="1" si="55"/>
        <v>0</v>
      </c>
      <c r="BJ135" s="46">
        <f t="shared" ca="1" si="55"/>
        <v>0</v>
      </c>
      <c r="BK135" s="46">
        <f t="shared" ca="1" si="55"/>
        <v>2484.7815461723008</v>
      </c>
      <c r="BL135" s="46">
        <f t="shared" ca="1" si="55"/>
        <v>0</v>
      </c>
      <c r="BM135" s="46">
        <f t="shared" ca="1" si="55"/>
        <v>0</v>
      </c>
      <c r="BN135" s="46">
        <f t="shared" ca="1" si="55"/>
        <v>1242.3907730861504</v>
      </c>
      <c r="BO135" s="46">
        <f t="shared" ca="1" si="55"/>
        <v>0</v>
      </c>
    </row>
    <row r="136" spans="1:67" ht="16.5" hidden="1" customHeight="1" outlineLevel="1">
      <c r="A136" s="1"/>
      <c r="B136" s="55">
        <f t="shared" si="21"/>
        <v>46660</v>
      </c>
      <c r="C136" s="17" t="s">
        <v>104</v>
      </c>
      <c r="D136" s="46">
        <f t="shared" si="23"/>
        <v>33</v>
      </c>
      <c r="E136" s="16"/>
      <c r="F136" s="51">
        <f t="shared" si="24"/>
        <v>1</v>
      </c>
      <c r="G136" s="16" t="s">
        <v>159</v>
      </c>
      <c r="H136" s="16" t="s">
        <v>155</v>
      </c>
      <c r="I136" s="46">
        <f ca="1">IF(H136=Forecast!$H$195,T136,IF(H136=Forecast!$H$196,BO136,IF(H136=Forecast!$H$197,SUM(T136:BO136),IF(H136=Forecast!$H$198,AVERAGE(T136:BO136),0))))</f>
        <v>78658.98979903094</v>
      </c>
      <c r="J136" s="16"/>
      <c r="K136" s="16"/>
      <c r="L136" s="16"/>
      <c r="M136" s="16"/>
      <c r="N136" s="16"/>
      <c r="O136" s="16"/>
      <c r="P136" s="16"/>
      <c r="Q136" s="16"/>
      <c r="R136" s="16"/>
      <c r="S136" s="16"/>
      <c r="T136" s="46">
        <f t="shared" ref="T136:BO136" si="56">IF(T$6&lt;$D136,0,INDEX($T$44:$BO$44,,T$6-$D136+1)*INDEX($T$52:$BO$52,,$D136)*IF(T$6=$D136,1,$F136)*T$46)</f>
        <v>0</v>
      </c>
      <c r="U136" s="46">
        <f t="shared" si="56"/>
        <v>0</v>
      </c>
      <c r="V136" s="46">
        <f t="shared" si="56"/>
        <v>0</v>
      </c>
      <c r="W136" s="46">
        <f t="shared" si="56"/>
        <v>0</v>
      </c>
      <c r="X136" s="46">
        <f t="shared" si="56"/>
        <v>0</v>
      </c>
      <c r="Y136" s="46">
        <f t="shared" si="56"/>
        <v>0</v>
      </c>
      <c r="Z136" s="46">
        <f t="shared" si="56"/>
        <v>0</v>
      </c>
      <c r="AA136" s="46">
        <f t="shared" si="56"/>
        <v>0</v>
      </c>
      <c r="AB136" s="46">
        <f t="shared" si="56"/>
        <v>0</v>
      </c>
      <c r="AC136" s="46">
        <f t="shared" si="56"/>
        <v>0</v>
      </c>
      <c r="AD136" s="46">
        <f t="shared" si="56"/>
        <v>0</v>
      </c>
      <c r="AE136" s="46">
        <f t="shared" si="56"/>
        <v>0</v>
      </c>
      <c r="AF136" s="46">
        <f t="shared" si="56"/>
        <v>0</v>
      </c>
      <c r="AG136" s="46">
        <f t="shared" si="56"/>
        <v>0</v>
      </c>
      <c r="AH136" s="46">
        <f t="shared" si="56"/>
        <v>0</v>
      </c>
      <c r="AI136" s="46">
        <f t="shared" si="56"/>
        <v>0</v>
      </c>
      <c r="AJ136" s="46">
        <f t="shared" si="56"/>
        <v>0</v>
      </c>
      <c r="AK136" s="46">
        <f t="shared" si="56"/>
        <v>0</v>
      </c>
      <c r="AL136" s="46">
        <f t="shared" si="56"/>
        <v>0</v>
      </c>
      <c r="AM136" s="46">
        <f t="shared" si="56"/>
        <v>0</v>
      </c>
      <c r="AN136" s="46">
        <f t="shared" si="56"/>
        <v>0</v>
      </c>
      <c r="AO136" s="46">
        <f t="shared" si="56"/>
        <v>0</v>
      </c>
      <c r="AP136" s="46">
        <f t="shared" si="56"/>
        <v>0</v>
      </c>
      <c r="AQ136" s="46">
        <f t="shared" si="56"/>
        <v>0</v>
      </c>
      <c r="AR136" s="46">
        <f t="shared" si="56"/>
        <v>0</v>
      </c>
      <c r="AS136" s="46">
        <f t="shared" si="56"/>
        <v>0</v>
      </c>
      <c r="AT136" s="46">
        <f t="shared" si="56"/>
        <v>0</v>
      </c>
      <c r="AU136" s="46">
        <f t="shared" si="56"/>
        <v>0</v>
      </c>
      <c r="AV136" s="46">
        <f t="shared" si="56"/>
        <v>0</v>
      </c>
      <c r="AW136" s="46">
        <f t="shared" si="56"/>
        <v>0</v>
      </c>
      <c r="AX136" s="46">
        <f t="shared" si="56"/>
        <v>0</v>
      </c>
      <c r="AY136" s="46">
        <f t="shared" si="56"/>
        <v>0</v>
      </c>
      <c r="AZ136" s="46">
        <f t="shared" ca="1" si="56"/>
        <v>39953.772596333176</v>
      </c>
      <c r="BA136" s="46">
        <f t="shared" ca="1" si="56"/>
        <v>0</v>
      </c>
      <c r="BB136" s="46">
        <f t="shared" ca="1" si="56"/>
        <v>0</v>
      </c>
      <c r="BC136" s="46">
        <f t="shared" ca="1" si="56"/>
        <v>19976.886298166588</v>
      </c>
      <c r="BD136" s="46">
        <f t="shared" ca="1" si="56"/>
        <v>0</v>
      </c>
      <c r="BE136" s="46">
        <f t="shared" ca="1" si="56"/>
        <v>0</v>
      </c>
      <c r="BF136" s="46">
        <f t="shared" ca="1" si="56"/>
        <v>9988.443149083294</v>
      </c>
      <c r="BG136" s="46">
        <f t="shared" ca="1" si="56"/>
        <v>0</v>
      </c>
      <c r="BH136" s="46">
        <f t="shared" ca="1" si="56"/>
        <v>0</v>
      </c>
      <c r="BI136" s="46">
        <f t="shared" ca="1" si="56"/>
        <v>4994.221574541647</v>
      </c>
      <c r="BJ136" s="46">
        <f t="shared" ca="1" si="56"/>
        <v>0</v>
      </c>
      <c r="BK136" s="46">
        <f t="shared" ca="1" si="56"/>
        <v>0</v>
      </c>
      <c r="BL136" s="46">
        <f t="shared" ca="1" si="56"/>
        <v>2497.1107872708235</v>
      </c>
      <c r="BM136" s="46">
        <f t="shared" ca="1" si="56"/>
        <v>0</v>
      </c>
      <c r="BN136" s="46">
        <f t="shared" ca="1" si="56"/>
        <v>0</v>
      </c>
      <c r="BO136" s="46">
        <f t="shared" ca="1" si="56"/>
        <v>1248.5553936354117</v>
      </c>
    </row>
    <row r="137" spans="1:67" ht="16.5" hidden="1" customHeight="1" outlineLevel="1">
      <c r="A137" s="1"/>
      <c r="B137" s="55">
        <f t="shared" si="21"/>
        <v>46691</v>
      </c>
      <c r="C137" s="17" t="s">
        <v>104</v>
      </c>
      <c r="D137" s="46">
        <f t="shared" si="23"/>
        <v>34</v>
      </c>
      <c r="E137" s="16"/>
      <c r="F137" s="51">
        <f t="shared" si="24"/>
        <v>1</v>
      </c>
      <c r="G137" s="16" t="s">
        <v>159</v>
      </c>
      <c r="H137" s="16" t="s">
        <v>155</v>
      </c>
      <c r="I137" s="46">
        <f ca="1">IF(H137=Forecast!$H$195,T137,IF(H137=Forecast!$H$196,BO137,IF(H137=Forecast!$H$197,SUM(T137:BO137),IF(H137=Forecast!$H$198,AVERAGE(T137:BO137),0))))</f>
        <v>77736.921908563119</v>
      </c>
      <c r="J137" s="16"/>
      <c r="K137" s="16"/>
      <c r="L137" s="16"/>
      <c r="M137" s="16"/>
      <c r="N137" s="16"/>
      <c r="O137" s="16"/>
      <c r="P137" s="16"/>
      <c r="Q137" s="16"/>
      <c r="R137" s="16"/>
      <c r="S137" s="16"/>
      <c r="T137" s="46">
        <f t="shared" ref="T137:BO137" si="57">IF(T$6&lt;$D137,0,INDEX($T$44:$BO$44,,T$6-$D137+1)*INDEX($T$52:$BO$52,,$D137)*IF(T$6=$D137,1,$F137)*T$46)</f>
        <v>0</v>
      </c>
      <c r="U137" s="46">
        <f t="shared" si="57"/>
        <v>0</v>
      </c>
      <c r="V137" s="46">
        <f t="shared" si="57"/>
        <v>0</v>
      </c>
      <c r="W137" s="46">
        <f t="shared" si="57"/>
        <v>0</v>
      </c>
      <c r="X137" s="46">
        <f t="shared" si="57"/>
        <v>0</v>
      </c>
      <c r="Y137" s="46">
        <f t="shared" si="57"/>
        <v>0</v>
      </c>
      <c r="Z137" s="46">
        <f t="shared" si="57"/>
        <v>0</v>
      </c>
      <c r="AA137" s="46">
        <f t="shared" si="57"/>
        <v>0</v>
      </c>
      <c r="AB137" s="46">
        <f t="shared" si="57"/>
        <v>0</v>
      </c>
      <c r="AC137" s="46">
        <f t="shared" si="57"/>
        <v>0</v>
      </c>
      <c r="AD137" s="46">
        <f t="shared" si="57"/>
        <v>0</v>
      </c>
      <c r="AE137" s="46">
        <f t="shared" si="57"/>
        <v>0</v>
      </c>
      <c r="AF137" s="46">
        <f t="shared" si="57"/>
        <v>0</v>
      </c>
      <c r="AG137" s="46">
        <f t="shared" si="57"/>
        <v>0</v>
      </c>
      <c r="AH137" s="46">
        <f t="shared" si="57"/>
        <v>0</v>
      </c>
      <c r="AI137" s="46">
        <f t="shared" si="57"/>
        <v>0</v>
      </c>
      <c r="AJ137" s="46">
        <f t="shared" si="57"/>
        <v>0</v>
      </c>
      <c r="AK137" s="46">
        <f t="shared" si="57"/>
        <v>0</v>
      </c>
      <c r="AL137" s="46">
        <f t="shared" si="57"/>
        <v>0</v>
      </c>
      <c r="AM137" s="46">
        <f t="shared" si="57"/>
        <v>0</v>
      </c>
      <c r="AN137" s="46">
        <f t="shared" si="57"/>
        <v>0</v>
      </c>
      <c r="AO137" s="46">
        <f t="shared" si="57"/>
        <v>0</v>
      </c>
      <c r="AP137" s="46">
        <f t="shared" si="57"/>
        <v>0</v>
      </c>
      <c r="AQ137" s="46">
        <f t="shared" si="57"/>
        <v>0</v>
      </c>
      <c r="AR137" s="46">
        <f t="shared" si="57"/>
        <v>0</v>
      </c>
      <c r="AS137" s="46">
        <f t="shared" si="57"/>
        <v>0</v>
      </c>
      <c r="AT137" s="46">
        <f t="shared" si="57"/>
        <v>0</v>
      </c>
      <c r="AU137" s="46">
        <f t="shared" si="57"/>
        <v>0</v>
      </c>
      <c r="AV137" s="46">
        <f t="shared" si="57"/>
        <v>0</v>
      </c>
      <c r="AW137" s="46">
        <f t="shared" si="57"/>
        <v>0</v>
      </c>
      <c r="AX137" s="46">
        <f t="shared" si="57"/>
        <v>0</v>
      </c>
      <c r="AY137" s="46">
        <f t="shared" si="57"/>
        <v>0</v>
      </c>
      <c r="AZ137" s="46">
        <f t="shared" si="57"/>
        <v>0</v>
      </c>
      <c r="BA137" s="46">
        <f t="shared" ca="1" si="57"/>
        <v>40122.282275387413</v>
      </c>
      <c r="BB137" s="46">
        <f t="shared" ca="1" si="57"/>
        <v>0</v>
      </c>
      <c r="BC137" s="46">
        <f t="shared" ca="1" si="57"/>
        <v>0</v>
      </c>
      <c r="BD137" s="46">
        <f t="shared" ca="1" si="57"/>
        <v>20061.141137693707</v>
      </c>
      <c r="BE137" s="46">
        <f t="shared" ca="1" si="57"/>
        <v>0</v>
      </c>
      <c r="BF137" s="46">
        <f t="shared" ca="1" si="57"/>
        <v>0</v>
      </c>
      <c r="BG137" s="46">
        <f t="shared" ca="1" si="57"/>
        <v>10030.570568846853</v>
      </c>
      <c r="BH137" s="46">
        <f t="shared" ca="1" si="57"/>
        <v>0</v>
      </c>
      <c r="BI137" s="46">
        <f t="shared" ca="1" si="57"/>
        <v>0</v>
      </c>
      <c r="BJ137" s="46">
        <f t="shared" ca="1" si="57"/>
        <v>5015.2852844234267</v>
      </c>
      <c r="BK137" s="46">
        <f t="shared" ca="1" si="57"/>
        <v>0</v>
      </c>
      <c r="BL137" s="46">
        <f t="shared" ca="1" si="57"/>
        <v>0</v>
      </c>
      <c r="BM137" s="46">
        <f t="shared" ca="1" si="57"/>
        <v>2507.6426422117133</v>
      </c>
      <c r="BN137" s="46">
        <f t="shared" ca="1" si="57"/>
        <v>0</v>
      </c>
      <c r="BO137" s="46">
        <f t="shared" ca="1" si="57"/>
        <v>0</v>
      </c>
    </row>
    <row r="138" spans="1:67" ht="16.5" hidden="1" customHeight="1" outlineLevel="1">
      <c r="A138" s="1"/>
      <c r="B138" s="55">
        <f t="shared" si="21"/>
        <v>46721</v>
      </c>
      <c r="C138" s="17" t="s">
        <v>104</v>
      </c>
      <c r="D138" s="46">
        <f t="shared" si="23"/>
        <v>35</v>
      </c>
      <c r="E138" s="16"/>
      <c r="F138" s="51">
        <f t="shared" si="24"/>
        <v>1</v>
      </c>
      <c r="G138" s="16" t="s">
        <v>159</v>
      </c>
      <c r="H138" s="16" t="s">
        <v>155</v>
      </c>
      <c r="I138" s="46">
        <f ca="1">IF(H138=Forecast!$H$195,T138,IF(H138=Forecast!$H$196,BO138,IF(H138=Forecast!$H$197,SUM(T138:BO138),IF(H138=Forecast!$H$198,AVERAGE(T138:BO138),0))))</f>
        <v>78015.606735394118</v>
      </c>
      <c r="J138" s="16"/>
      <c r="K138" s="16"/>
      <c r="L138" s="16"/>
      <c r="M138" s="16"/>
      <c r="N138" s="16"/>
      <c r="O138" s="16"/>
      <c r="P138" s="16"/>
      <c r="Q138" s="16"/>
      <c r="R138" s="16"/>
      <c r="S138" s="16"/>
      <c r="T138" s="46">
        <f t="shared" ref="T138:BO138" si="58">IF(T$6&lt;$D138,0,INDEX($T$44:$BO$44,,T$6-$D138+1)*INDEX($T$52:$BO$52,,$D138)*IF(T$6=$D138,1,$F138)*T$46)</f>
        <v>0</v>
      </c>
      <c r="U138" s="46">
        <f t="shared" si="58"/>
        <v>0</v>
      </c>
      <c r="V138" s="46">
        <f t="shared" si="58"/>
        <v>0</v>
      </c>
      <c r="W138" s="46">
        <f t="shared" si="58"/>
        <v>0</v>
      </c>
      <c r="X138" s="46">
        <f t="shared" si="58"/>
        <v>0</v>
      </c>
      <c r="Y138" s="46">
        <f t="shared" si="58"/>
        <v>0</v>
      </c>
      <c r="Z138" s="46">
        <f t="shared" si="58"/>
        <v>0</v>
      </c>
      <c r="AA138" s="46">
        <f t="shared" si="58"/>
        <v>0</v>
      </c>
      <c r="AB138" s="46">
        <f t="shared" si="58"/>
        <v>0</v>
      </c>
      <c r="AC138" s="46">
        <f t="shared" si="58"/>
        <v>0</v>
      </c>
      <c r="AD138" s="46">
        <f t="shared" si="58"/>
        <v>0</v>
      </c>
      <c r="AE138" s="46">
        <f t="shared" si="58"/>
        <v>0</v>
      </c>
      <c r="AF138" s="46">
        <f t="shared" si="58"/>
        <v>0</v>
      </c>
      <c r="AG138" s="46">
        <f t="shared" si="58"/>
        <v>0</v>
      </c>
      <c r="AH138" s="46">
        <f t="shared" si="58"/>
        <v>0</v>
      </c>
      <c r="AI138" s="46">
        <f t="shared" si="58"/>
        <v>0</v>
      </c>
      <c r="AJ138" s="46">
        <f t="shared" si="58"/>
        <v>0</v>
      </c>
      <c r="AK138" s="46">
        <f t="shared" si="58"/>
        <v>0</v>
      </c>
      <c r="AL138" s="46">
        <f t="shared" si="58"/>
        <v>0</v>
      </c>
      <c r="AM138" s="46">
        <f t="shared" si="58"/>
        <v>0</v>
      </c>
      <c r="AN138" s="46">
        <f t="shared" si="58"/>
        <v>0</v>
      </c>
      <c r="AO138" s="46">
        <f t="shared" si="58"/>
        <v>0</v>
      </c>
      <c r="AP138" s="46">
        <f t="shared" si="58"/>
        <v>0</v>
      </c>
      <c r="AQ138" s="46">
        <f t="shared" si="58"/>
        <v>0</v>
      </c>
      <c r="AR138" s="46">
        <f t="shared" si="58"/>
        <v>0</v>
      </c>
      <c r="AS138" s="46">
        <f t="shared" si="58"/>
        <v>0</v>
      </c>
      <c r="AT138" s="46">
        <f t="shared" si="58"/>
        <v>0</v>
      </c>
      <c r="AU138" s="46">
        <f t="shared" si="58"/>
        <v>0</v>
      </c>
      <c r="AV138" s="46">
        <f t="shared" si="58"/>
        <v>0</v>
      </c>
      <c r="AW138" s="46">
        <f t="shared" si="58"/>
        <v>0</v>
      </c>
      <c r="AX138" s="46">
        <f t="shared" si="58"/>
        <v>0</v>
      </c>
      <c r="AY138" s="46">
        <f t="shared" si="58"/>
        <v>0</v>
      </c>
      <c r="AZ138" s="46">
        <f t="shared" si="58"/>
        <v>0</v>
      </c>
      <c r="BA138" s="46">
        <f t="shared" si="58"/>
        <v>0</v>
      </c>
      <c r="BB138" s="46">
        <f t="shared" ca="1" si="58"/>
        <v>40266.119605364707</v>
      </c>
      <c r="BC138" s="46">
        <f t="shared" ca="1" si="58"/>
        <v>0</v>
      </c>
      <c r="BD138" s="46">
        <f t="shared" ca="1" si="58"/>
        <v>0</v>
      </c>
      <c r="BE138" s="46">
        <f t="shared" ca="1" si="58"/>
        <v>20133.059802682354</v>
      </c>
      <c r="BF138" s="46">
        <f t="shared" ca="1" si="58"/>
        <v>0</v>
      </c>
      <c r="BG138" s="46">
        <f t="shared" ca="1" si="58"/>
        <v>0</v>
      </c>
      <c r="BH138" s="46">
        <f t="shared" ca="1" si="58"/>
        <v>10066.529901341177</v>
      </c>
      <c r="BI138" s="46">
        <f t="shared" ca="1" si="58"/>
        <v>0</v>
      </c>
      <c r="BJ138" s="46">
        <f t="shared" ca="1" si="58"/>
        <v>0</v>
      </c>
      <c r="BK138" s="46">
        <f t="shared" ca="1" si="58"/>
        <v>5033.2649506705884</v>
      </c>
      <c r="BL138" s="46">
        <f t="shared" ca="1" si="58"/>
        <v>0</v>
      </c>
      <c r="BM138" s="46">
        <f t="shared" ca="1" si="58"/>
        <v>0</v>
      </c>
      <c r="BN138" s="46">
        <f t="shared" ca="1" si="58"/>
        <v>2516.6324753352942</v>
      </c>
      <c r="BO138" s="46">
        <f t="shared" ca="1" si="58"/>
        <v>0</v>
      </c>
    </row>
    <row r="139" spans="1:67" ht="16.5" hidden="1" customHeight="1" outlineLevel="1">
      <c r="A139" s="1"/>
      <c r="B139" s="55">
        <f t="shared" si="21"/>
        <v>46752</v>
      </c>
      <c r="C139" s="17" t="s">
        <v>104</v>
      </c>
      <c r="D139" s="46">
        <f t="shared" si="23"/>
        <v>36</v>
      </c>
      <c r="E139" s="16"/>
      <c r="F139" s="51">
        <f t="shared" si="24"/>
        <v>1</v>
      </c>
      <c r="G139" s="16" t="s">
        <v>159</v>
      </c>
      <c r="H139" s="16" t="s">
        <v>155</v>
      </c>
      <c r="I139" s="46">
        <f ca="1">IF(H139=Forecast!$H$195,T139,IF(H139=Forecast!$H$196,BO139,IF(H139=Forecast!$H$197,SUM(T139:BO139),IF(H139=Forecast!$H$198,AVERAGE(T139:BO139),0))))</f>
        <v>78253.338054328153</v>
      </c>
      <c r="J139" s="16"/>
      <c r="K139" s="16"/>
      <c r="L139" s="16"/>
      <c r="M139" s="16"/>
      <c r="N139" s="16"/>
      <c r="O139" s="16"/>
      <c r="P139" s="16"/>
      <c r="Q139" s="16"/>
      <c r="R139" s="16"/>
      <c r="S139" s="16"/>
      <c r="T139" s="46">
        <f t="shared" ref="T139:BO139" si="59">IF(T$6&lt;$D139,0,INDEX($T$44:$BO$44,,T$6-$D139+1)*INDEX($T$52:$BO$52,,$D139)*IF(T$6=$D139,1,$F139)*T$46)</f>
        <v>0</v>
      </c>
      <c r="U139" s="46">
        <f t="shared" si="59"/>
        <v>0</v>
      </c>
      <c r="V139" s="46">
        <f t="shared" si="59"/>
        <v>0</v>
      </c>
      <c r="W139" s="46">
        <f t="shared" si="59"/>
        <v>0</v>
      </c>
      <c r="X139" s="46">
        <f t="shared" si="59"/>
        <v>0</v>
      </c>
      <c r="Y139" s="46">
        <f t="shared" si="59"/>
        <v>0</v>
      </c>
      <c r="Z139" s="46">
        <f t="shared" si="59"/>
        <v>0</v>
      </c>
      <c r="AA139" s="46">
        <f t="shared" si="59"/>
        <v>0</v>
      </c>
      <c r="AB139" s="46">
        <f t="shared" si="59"/>
        <v>0</v>
      </c>
      <c r="AC139" s="46">
        <f t="shared" si="59"/>
        <v>0</v>
      </c>
      <c r="AD139" s="46">
        <f t="shared" si="59"/>
        <v>0</v>
      </c>
      <c r="AE139" s="46">
        <f t="shared" si="59"/>
        <v>0</v>
      </c>
      <c r="AF139" s="46">
        <f t="shared" si="59"/>
        <v>0</v>
      </c>
      <c r="AG139" s="46">
        <f t="shared" si="59"/>
        <v>0</v>
      </c>
      <c r="AH139" s="46">
        <f t="shared" si="59"/>
        <v>0</v>
      </c>
      <c r="AI139" s="46">
        <f t="shared" si="59"/>
        <v>0</v>
      </c>
      <c r="AJ139" s="46">
        <f t="shared" si="59"/>
        <v>0</v>
      </c>
      <c r="AK139" s="46">
        <f t="shared" si="59"/>
        <v>0</v>
      </c>
      <c r="AL139" s="46">
        <f t="shared" si="59"/>
        <v>0</v>
      </c>
      <c r="AM139" s="46">
        <f t="shared" si="59"/>
        <v>0</v>
      </c>
      <c r="AN139" s="46">
        <f t="shared" si="59"/>
        <v>0</v>
      </c>
      <c r="AO139" s="46">
        <f t="shared" si="59"/>
        <v>0</v>
      </c>
      <c r="AP139" s="46">
        <f t="shared" si="59"/>
        <v>0</v>
      </c>
      <c r="AQ139" s="46">
        <f t="shared" si="59"/>
        <v>0</v>
      </c>
      <c r="AR139" s="46">
        <f t="shared" si="59"/>
        <v>0</v>
      </c>
      <c r="AS139" s="46">
        <f t="shared" si="59"/>
        <v>0</v>
      </c>
      <c r="AT139" s="46">
        <f t="shared" si="59"/>
        <v>0</v>
      </c>
      <c r="AU139" s="46">
        <f t="shared" si="59"/>
        <v>0</v>
      </c>
      <c r="AV139" s="46">
        <f t="shared" si="59"/>
        <v>0</v>
      </c>
      <c r="AW139" s="46">
        <f t="shared" si="59"/>
        <v>0</v>
      </c>
      <c r="AX139" s="46">
        <f t="shared" si="59"/>
        <v>0</v>
      </c>
      <c r="AY139" s="46">
        <f t="shared" si="59"/>
        <v>0</v>
      </c>
      <c r="AZ139" s="46">
        <f t="shared" si="59"/>
        <v>0</v>
      </c>
      <c r="BA139" s="46">
        <f t="shared" si="59"/>
        <v>0</v>
      </c>
      <c r="BB139" s="46">
        <f t="shared" si="59"/>
        <v>0</v>
      </c>
      <c r="BC139" s="46">
        <f t="shared" ca="1" si="59"/>
        <v>40388.819640943562</v>
      </c>
      <c r="BD139" s="46">
        <f t="shared" ca="1" si="59"/>
        <v>0</v>
      </c>
      <c r="BE139" s="46">
        <f t="shared" ca="1" si="59"/>
        <v>0</v>
      </c>
      <c r="BF139" s="46">
        <f t="shared" ca="1" si="59"/>
        <v>20194.409820471781</v>
      </c>
      <c r="BG139" s="46">
        <f t="shared" ca="1" si="59"/>
        <v>0</v>
      </c>
      <c r="BH139" s="46">
        <f t="shared" ca="1" si="59"/>
        <v>0</v>
      </c>
      <c r="BI139" s="46">
        <f t="shared" ca="1" si="59"/>
        <v>10097.204910235891</v>
      </c>
      <c r="BJ139" s="46">
        <f t="shared" ca="1" si="59"/>
        <v>0</v>
      </c>
      <c r="BK139" s="46">
        <f t="shared" ca="1" si="59"/>
        <v>0</v>
      </c>
      <c r="BL139" s="46">
        <f t="shared" ca="1" si="59"/>
        <v>5048.6024551179453</v>
      </c>
      <c r="BM139" s="46">
        <f t="shared" ca="1" si="59"/>
        <v>0</v>
      </c>
      <c r="BN139" s="46">
        <f t="shared" ca="1" si="59"/>
        <v>0</v>
      </c>
      <c r="BO139" s="46">
        <f t="shared" ca="1" si="59"/>
        <v>2524.3012275589726</v>
      </c>
    </row>
    <row r="140" spans="1:67" ht="16.5" hidden="1" customHeight="1" outlineLevel="1">
      <c r="A140" s="1"/>
      <c r="B140" s="55">
        <f t="shared" si="21"/>
        <v>46783</v>
      </c>
      <c r="C140" s="17" t="s">
        <v>104</v>
      </c>
      <c r="D140" s="46">
        <f t="shared" si="23"/>
        <v>37</v>
      </c>
      <c r="E140" s="16"/>
      <c r="F140" s="51">
        <f t="shared" si="24"/>
        <v>1</v>
      </c>
      <c r="G140" s="16" t="s">
        <v>159</v>
      </c>
      <c r="H140" s="16" t="s">
        <v>155</v>
      </c>
      <c r="I140" s="46">
        <f ca="1">IF(H140=Forecast!$H$195,T140,IF(H140=Forecast!$H$196,BO140,IF(H140=Forecast!$H$197,SUM(T140:BO140),IF(H140=Forecast!$H$198,AVERAGE(T140:BO140),0))))</f>
        <v>75925.185903547754</v>
      </c>
      <c r="J140" s="16"/>
      <c r="K140" s="16"/>
      <c r="L140" s="16"/>
      <c r="M140" s="16"/>
      <c r="N140" s="16"/>
      <c r="O140" s="16"/>
      <c r="P140" s="16"/>
      <c r="Q140" s="16"/>
      <c r="R140" s="16"/>
      <c r="S140" s="16"/>
      <c r="T140" s="46">
        <f t="shared" ref="T140:BO140" si="60">IF(T$6&lt;$D140,0,INDEX($T$44:$BO$44,,T$6-$D140+1)*INDEX($T$52:$BO$52,,$D140)*IF(T$6=$D140,1,$F140)*T$46)</f>
        <v>0</v>
      </c>
      <c r="U140" s="46">
        <f t="shared" si="60"/>
        <v>0</v>
      </c>
      <c r="V140" s="46">
        <f t="shared" si="60"/>
        <v>0</v>
      </c>
      <c r="W140" s="46">
        <f t="shared" si="60"/>
        <v>0</v>
      </c>
      <c r="X140" s="46">
        <f t="shared" si="60"/>
        <v>0</v>
      </c>
      <c r="Y140" s="46">
        <f t="shared" si="60"/>
        <v>0</v>
      </c>
      <c r="Z140" s="46">
        <f t="shared" si="60"/>
        <v>0</v>
      </c>
      <c r="AA140" s="46">
        <f t="shared" si="60"/>
        <v>0</v>
      </c>
      <c r="AB140" s="46">
        <f t="shared" si="60"/>
        <v>0</v>
      </c>
      <c r="AC140" s="46">
        <f t="shared" si="60"/>
        <v>0</v>
      </c>
      <c r="AD140" s="46">
        <f t="shared" si="60"/>
        <v>0</v>
      </c>
      <c r="AE140" s="46">
        <f t="shared" si="60"/>
        <v>0</v>
      </c>
      <c r="AF140" s="46">
        <f t="shared" si="60"/>
        <v>0</v>
      </c>
      <c r="AG140" s="46">
        <f t="shared" si="60"/>
        <v>0</v>
      </c>
      <c r="AH140" s="46">
        <f t="shared" si="60"/>
        <v>0</v>
      </c>
      <c r="AI140" s="46">
        <f t="shared" si="60"/>
        <v>0</v>
      </c>
      <c r="AJ140" s="46">
        <f t="shared" si="60"/>
        <v>0</v>
      </c>
      <c r="AK140" s="46">
        <f t="shared" si="60"/>
        <v>0</v>
      </c>
      <c r="AL140" s="46">
        <f t="shared" si="60"/>
        <v>0</v>
      </c>
      <c r="AM140" s="46">
        <f t="shared" si="60"/>
        <v>0</v>
      </c>
      <c r="AN140" s="46">
        <f t="shared" si="60"/>
        <v>0</v>
      </c>
      <c r="AO140" s="46">
        <f t="shared" si="60"/>
        <v>0</v>
      </c>
      <c r="AP140" s="46">
        <f t="shared" si="60"/>
        <v>0</v>
      </c>
      <c r="AQ140" s="46">
        <f t="shared" si="60"/>
        <v>0</v>
      </c>
      <c r="AR140" s="46">
        <f t="shared" si="60"/>
        <v>0</v>
      </c>
      <c r="AS140" s="46">
        <f t="shared" si="60"/>
        <v>0</v>
      </c>
      <c r="AT140" s="46">
        <f t="shared" si="60"/>
        <v>0</v>
      </c>
      <c r="AU140" s="46">
        <f t="shared" si="60"/>
        <v>0</v>
      </c>
      <c r="AV140" s="46">
        <f t="shared" si="60"/>
        <v>0</v>
      </c>
      <c r="AW140" s="46">
        <f t="shared" si="60"/>
        <v>0</v>
      </c>
      <c r="AX140" s="46">
        <f t="shared" si="60"/>
        <v>0</v>
      </c>
      <c r="AY140" s="46">
        <f t="shared" si="60"/>
        <v>0</v>
      </c>
      <c r="AZ140" s="46">
        <f t="shared" si="60"/>
        <v>0</v>
      </c>
      <c r="BA140" s="46">
        <f t="shared" si="60"/>
        <v>0</v>
      </c>
      <c r="BB140" s="46">
        <f t="shared" si="60"/>
        <v>0</v>
      </c>
      <c r="BC140" s="46">
        <f t="shared" si="60"/>
        <v>0</v>
      </c>
      <c r="BD140" s="46">
        <f t="shared" ca="1" si="60"/>
        <v>40493.43248189213</v>
      </c>
      <c r="BE140" s="46">
        <f t="shared" ca="1" si="60"/>
        <v>0</v>
      </c>
      <c r="BF140" s="46">
        <f t="shared" ca="1" si="60"/>
        <v>0</v>
      </c>
      <c r="BG140" s="46">
        <f t="shared" ca="1" si="60"/>
        <v>20246.716240946065</v>
      </c>
      <c r="BH140" s="46">
        <f t="shared" ca="1" si="60"/>
        <v>0</v>
      </c>
      <c r="BI140" s="46">
        <f t="shared" ca="1" si="60"/>
        <v>0</v>
      </c>
      <c r="BJ140" s="46">
        <f t="shared" ca="1" si="60"/>
        <v>10123.358120473033</v>
      </c>
      <c r="BK140" s="46">
        <f t="shared" ca="1" si="60"/>
        <v>0</v>
      </c>
      <c r="BL140" s="46">
        <f t="shared" ca="1" si="60"/>
        <v>0</v>
      </c>
      <c r="BM140" s="46">
        <f t="shared" ca="1" si="60"/>
        <v>5061.6790602365163</v>
      </c>
      <c r="BN140" s="46">
        <f t="shared" ca="1" si="60"/>
        <v>0</v>
      </c>
      <c r="BO140" s="46">
        <f t="shared" ca="1" si="60"/>
        <v>0</v>
      </c>
    </row>
    <row r="141" spans="1:67" ht="16.5" hidden="1" customHeight="1" outlineLevel="1">
      <c r="A141" s="1"/>
      <c r="B141" s="55">
        <f t="shared" si="21"/>
        <v>46812</v>
      </c>
      <c r="C141" s="17" t="s">
        <v>104</v>
      </c>
      <c r="D141" s="46">
        <f t="shared" si="23"/>
        <v>38</v>
      </c>
      <c r="E141" s="16"/>
      <c r="F141" s="51">
        <f t="shared" si="24"/>
        <v>1</v>
      </c>
      <c r="G141" s="16" t="s">
        <v>159</v>
      </c>
      <c r="H141" s="16" t="s">
        <v>155</v>
      </c>
      <c r="I141" s="46">
        <f ca="1">IF(H141=Forecast!$H$195,T141,IF(H141=Forecast!$H$196,BO141,IF(H141=Forecast!$H$197,SUM(T141:BO141),IF(H141=Forecast!$H$198,AVERAGE(T141:BO141),0))))</f>
        <v>76092.344464936759</v>
      </c>
      <c r="J141" s="16"/>
      <c r="K141" s="16"/>
      <c r="L141" s="16"/>
      <c r="M141" s="16"/>
      <c r="N141" s="16"/>
      <c r="O141" s="16"/>
      <c r="P141" s="16"/>
      <c r="Q141" s="16"/>
      <c r="R141" s="16"/>
      <c r="S141" s="16"/>
      <c r="T141" s="46">
        <f t="shared" ref="T141:BO141" si="61">IF(T$6&lt;$D141,0,INDEX($T$44:$BO$44,,T$6-$D141+1)*INDEX($T$52:$BO$52,,$D141)*IF(T$6=$D141,1,$F141)*T$46)</f>
        <v>0</v>
      </c>
      <c r="U141" s="46">
        <f t="shared" si="61"/>
        <v>0</v>
      </c>
      <c r="V141" s="46">
        <f t="shared" si="61"/>
        <v>0</v>
      </c>
      <c r="W141" s="46">
        <f t="shared" si="61"/>
        <v>0</v>
      </c>
      <c r="X141" s="46">
        <f t="shared" si="61"/>
        <v>0</v>
      </c>
      <c r="Y141" s="46">
        <f t="shared" si="61"/>
        <v>0</v>
      </c>
      <c r="Z141" s="46">
        <f t="shared" si="61"/>
        <v>0</v>
      </c>
      <c r="AA141" s="46">
        <f t="shared" si="61"/>
        <v>0</v>
      </c>
      <c r="AB141" s="46">
        <f t="shared" si="61"/>
        <v>0</v>
      </c>
      <c r="AC141" s="46">
        <f t="shared" si="61"/>
        <v>0</v>
      </c>
      <c r="AD141" s="46">
        <f t="shared" si="61"/>
        <v>0</v>
      </c>
      <c r="AE141" s="46">
        <f t="shared" si="61"/>
        <v>0</v>
      </c>
      <c r="AF141" s="46">
        <f t="shared" si="61"/>
        <v>0</v>
      </c>
      <c r="AG141" s="46">
        <f t="shared" si="61"/>
        <v>0</v>
      </c>
      <c r="AH141" s="46">
        <f t="shared" si="61"/>
        <v>0</v>
      </c>
      <c r="AI141" s="46">
        <f t="shared" si="61"/>
        <v>0</v>
      </c>
      <c r="AJ141" s="46">
        <f t="shared" si="61"/>
        <v>0</v>
      </c>
      <c r="AK141" s="46">
        <f t="shared" si="61"/>
        <v>0</v>
      </c>
      <c r="AL141" s="46">
        <f t="shared" si="61"/>
        <v>0</v>
      </c>
      <c r="AM141" s="46">
        <f t="shared" si="61"/>
        <v>0</v>
      </c>
      <c r="AN141" s="46">
        <f t="shared" si="61"/>
        <v>0</v>
      </c>
      <c r="AO141" s="46">
        <f t="shared" si="61"/>
        <v>0</v>
      </c>
      <c r="AP141" s="46">
        <f t="shared" si="61"/>
        <v>0</v>
      </c>
      <c r="AQ141" s="46">
        <f t="shared" si="61"/>
        <v>0</v>
      </c>
      <c r="AR141" s="46">
        <f t="shared" si="61"/>
        <v>0</v>
      </c>
      <c r="AS141" s="46">
        <f t="shared" si="61"/>
        <v>0</v>
      </c>
      <c r="AT141" s="46">
        <f t="shared" si="61"/>
        <v>0</v>
      </c>
      <c r="AU141" s="46">
        <f t="shared" si="61"/>
        <v>0</v>
      </c>
      <c r="AV141" s="46">
        <f t="shared" si="61"/>
        <v>0</v>
      </c>
      <c r="AW141" s="46">
        <f t="shared" si="61"/>
        <v>0</v>
      </c>
      <c r="AX141" s="46">
        <f t="shared" si="61"/>
        <v>0</v>
      </c>
      <c r="AY141" s="46">
        <f t="shared" si="61"/>
        <v>0</v>
      </c>
      <c r="AZ141" s="46">
        <f t="shared" si="61"/>
        <v>0</v>
      </c>
      <c r="BA141" s="46">
        <f t="shared" si="61"/>
        <v>0</v>
      </c>
      <c r="BB141" s="46">
        <f t="shared" si="61"/>
        <v>0</v>
      </c>
      <c r="BC141" s="46">
        <f t="shared" si="61"/>
        <v>0</v>
      </c>
      <c r="BD141" s="46">
        <f t="shared" si="61"/>
        <v>0</v>
      </c>
      <c r="BE141" s="46">
        <f t="shared" ca="1" si="61"/>
        <v>40582.583714632943</v>
      </c>
      <c r="BF141" s="46">
        <f t="shared" ca="1" si="61"/>
        <v>0</v>
      </c>
      <c r="BG141" s="46">
        <f t="shared" ca="1" si="61"/>
        <v>0</v>
      </c>
      <c r="BH141" s="46">
        <f t="shared" ca="1" si="61"/>
        <v>20291.291857316472</v>
      </c>
      <c r="BI141" s="46">
        <f t="shared" ca="1" si="61"/>
        <v>0</v>
      </c>
      <c r="BJ141" s="46">
        <f t="shared" ca="1" si="61"/>
        <v>0</v>
      </c>
      <c r="BK141" s="46">
        <f t="shared" ca="1" si="61"/>
        <v>10145.645928658236</v>
      </c>
      <c r="BL141" s="46">
        <f t="shared" ca="1" si="61"/>
        <v>0</v>
      </c>
      <c r="BM141" s="46">
        <f t="shared" ca="1" si="61"/>
        <v>0</v>
      </c>
      <c r="BN141" s="46">
        <f t="shared" ca="1" si="61"/>
        <v>5072.8229643291179</v>
      </c>
      <c r="BO141" s="46">
        <f t="shared" ca="1" si="61"/>
        <v>0</v>
      </c>
    </row>
    <row r="142" spans="1:67" ht="16.5" hidden="1" customHeight="1" outlineLevel="1">
      <c r="A142" s="1"/>
      <c r="B142" s="55">
        <f t="shared" si="21"/>
        <v>46843</v>
      </c>
      <c r="C142" s="17" t="s">
        <v>104</v>
      </c>
      <c r="D142" s="46">
        <f t="shared" si="23"/>
        <v>39</v>
      </c>
      <c r="E142" s="16"/>
      <c r="F142" s="51">
        <f t="shared" si="24"/>
        <v>1</v>
      </c>
      <c r="G142" s="16" t="s">
        <v>159</v>
      </c>
      <c r="H142" s="16" t="s">
        <v>155</v>
      </c>
      <c r="I142" s="46">
        <f ca="1">IF(H142=Forecast!$H$195,T142,IF(H142=Forecast!$H$196,BO142,IF(H142=Forecast!$H$197,SUM(T142:BO142),IF(H142=Forecast!$H$198,AVERAGE(T142:BO142),0))))</f>
        <v>76234.742059092008</v>
      </c>
      <c r="J142" s="16"/>
      <c r="K142" s="16"/>
      <c r="L142" s="16"/>
      <c r="M142" s="16"/>
      <c r="N142" s="16"/>
      <c r="O142" s="16"/>
      <c r="P142" s="16"/>
      <c r="Q142" s="16"/>
      <c r="R142" s="16"/>
      <c r="S142" s="16"/>
      <c r="T142" s="46">
        <f t="shared" ref="T142:BO142" si="62">IF(T$6&lt;$D142,0,INDEX($T$44:$BO$44,,T$6-$D142+1)*INDEX($T$52:$BO$52,,$D142)*IF(T$6=$D142,1,$F142)*T$46)</f>
        <v>0</v>
      </c>
      <c r="U142" s="46">
        <f t="shared" si="62"/>
        <v>0</v>
      </c>
      <c r="V142" s="46">
        <f t="shared" si="62"/>
        <v>0</v>
      </c>
      <c r="W142" s="46">
        <f t="shared" si="62"/>
        <v>0</v>
      </c>
      <c r="X142" s="46">
        <f t="shared" si="62"/>
        <v>0</v>
      </c>
      <c r="Y142" s="46">
        <f t="shared" si="62"/>
        <v>0</v>
      </c>
      <c r="Z142" s="46">
        <f t="shared" si="62"/>
        <v>0</v>
      </c>
      <c r="AA142" s="46">
        <f t="shared" si="62"/>
        <v>0</v>
      </c>
      <c r="AB142" s="46">
        <f t="shared" si="62"/>
        <v>0</v>
      </c>
      <c r="AC142" s="46">
        <f t="shared" si="62"/>
        <v>0</v>
      </c>
      <c r="AD142" s="46">
        <f t="shared" si="62"/>
        <v>0</v>
      </c>
      <c r="AE142" s="46">
        <f t="shared" si="62"/>
        <v>0</v>
      </c>
      <c r="AF142" s="46">
        <f t="shared" si="62"/>
        <v>0</v>
      </c>
      <c r="AG142" s="46">
        <f t="shared" si="62"/>
        <v>0</v>
      </c>
      <c r="AH142" s="46">
        <f t="shared" si="62"/>
        <v>0</v>
      </c>
      <c r="AI142" s="46">
        <f t="shared" si="62"/>
        <v>0</v>
      </c>
      <c r="AJ142" s="46">
        <f t="shared" si="62"/>
        <v>0</v>
      </c>
      <c r="AK142" s="46">
        <f t="shared" si="62"/>
        <v>0</v>
      </c>
      <c r="AL142" s="46">
        <f t="shared" si="62"/>
        <v>0</v>
      </c>
      <c r="AM142" s="46">
        <f t="shared" si="62"/>
        <v>0</v>
      </c>
      <c r="AN142" s="46">
        <f t="shared" si="62"/>
        <v>0</v>
      </c>
      <c r="AO142" s="46">
        <f t="shared" si="62"/>
        <v>0</v>
      </c>
      <c r="AP142" s="46">
        <f t="shared" si="62"/>
        <v>0</v>
      </c>
      <c r="AQ142" s="46">
        <f t="shared" si="62"/>
        <v>0</v>
      </c>
      <c r="AR142" s="46">
        <f t="shared" si="62"/>
        <v>0</v>
      </c>
      <c r="AS142" s="46">
        <f t="shared" si="62"/>
        <v>0</v>
      </c>
      <c r="AT142" s="46">
        <f t="shared" si="62"/>
        <v>0</v>
      </c>
      <c r="AU142" s="46">
        <f t="shared" si="62"/>
        <v>0</v>
      </c>
      <c r="AV142" s="46">
        <f t="shared" si="62"/>
        <v>0</v>
      </c>
      <c r="AW142" s="46">
        <f t="shared" si="62"/>
        <v>0</v>
      </c>
      <c r="AX142" s="46">
        <f t="shared" si="62"/>
        <v>0</v>
      </c>
      <c r="AY142" s="46">
        <f t="shared" si="62"/>
        <v>0</v>
      </c>
      <c r="AZ142" s="46">
        <f t="shared" si="62"/>
        <v>0</v>
      </c>
      <c r="BA142" s="46">
        <f t="shared" si="62"/>
        <v>0</v>
      </c>
      <c r="BB142" s="46">
        <f t="shared" si="62"/>
        <v>0</v>
      </c>
      <c r="BC142" s="46">
        <f t="shared" si="62"/>
        <v>0</v>
      </c>
      <c r="BD142" s="46">
        <f t="shared" si="62"/>
        <v>0</v>
      </c>
      <c r="BE142" s="46">
        <f t="shared" si="62"/>
        <v>0</v>
      </c>
      <c r="BF142" s="46">
        <f t="shared" ca="1" si="62"/>
        <v>40658.5290981824</v>
      </c>
      <c r="BG142" s="46">
        <f t="shared" ca="1" si="62"/>
        <v>0</v>
      </c>
      <c r="BH142" s="46">
        <f t="shared" ca="1" si="62"/>
        <v>0</v>
      </c>
      <c r="BI142" s="46">
        <f t="shared" ca="1" si="62"/>
        <v>20329.2645490912</v>
      </c>
      <c r="BJ142" s="46">
        <f t="shared" ca="1" si="62"/>
        <v>0</v>
      </c>
      <c r="BK142" s="46">
        <f t="shared" ca="1" si="62"/>
        <v>0</v>
      </c>
      <c r="BL142" s="46">
        <f t="shared" ca="1" si="62"/>
        <v>10164.6322745456</v>
      </c>
      <c r="BM142" s="46">
        <f t="shared" ca="1" si="62"/>
        <v>0</v>
      </c>
      <c r="BN142" s="46">
        <f t="shared" ca="1" si="62"/>
        <v>0</v>
      </c>
      <c r="BO142" s="46">
        <f t="shared" ca="1" si="62"/>
        <v>5082.3161372728</v>
      </c>
    </row>
    <row r="143" spans="1:67" ht="16.5" hidden="1" customHeight="1" outlineLevel="1">
      <c r="A143" s="1"/>
      <c r="B143" s="55">
        <f t="shared" si="21"/>
        <v>46873</v>
      </c>
      <c r="C143" s="17" t="s">
        <v>104</v>
      </c>
      <c r="D143" s="46">
        <f t="shared" si="23"/>
        <v>40</v>
      </c>
      <c r="E143" s="16"/>
      <c r="F143" s="51">
        <f t="shared" si="24"/>
        <v>1</v>
      </c>
      <c r="G143" s="16" t="s">
        <v>159</v>
      </c>
      <c r="H143" s="16" t="s">
        <v>155</v>
      </c>
      <c r="I143" s="46">
        <f ca="1">IF(H143=Forecast!$H$195,T143,IF(H143=Forecast!$H$196,BO143,IF(H143=Forecast!$H$197,SUM(T143:BO143),IF(H143=Forecast!$H$198,AVERAGE(T143:BO143),0))))</f>
        <v>71265.606087178778</v>
      </c>
      <c r="J143" s="16"/>
      <c r="K143" s="16"/>
      <c r="L143" s="16"/>
      <c r="M143" s="16"/>
      <c r="N143" s="16"/>
      <c r="O143" s="16"/>
      <c r="P143" s="16"/>
      <c r="Q143" s="16"/>
      <c r="R143" s="16"/>
      <c r="S143" s="16"/>
      <c r="T143" s="46">
        <f t="shared" ref="T143:BO143" si="63">IF(T$6&lt;$D143,0,INDEX($T$44:$BO$44,,T$6-$D143+1)*INDEX($T$52:$BO$52,,$D143)*IF(T$6=$D143,1,$F143)*T$46)</f>
        <v>0</v>
      </c>
      <c r="U143" s="46">
        <f t="shared" si="63"/>
        <v>0</v>
      </c>
      <c r="V143" s="46">
        <f t="shared" si="63"/>
        <v>0</v>
      </c>
      <c r="W143" s="46">
        <f t="shared" si="63"/>
        <v>0</v>
      </c>
      <c r="X143" s="46">
        <f t="shared" si="63"/>
        <v>0</v>
      </c>
      <c r="Y143" s="46">
        <f t="shared" si="63"/>
        <v>0</v>
      </c>
      <c r="Z143" s="46">
        <f t="shared" si="63"/>
        <v>0</v>
      </c>
      <c r="AA143" s="46">
        <f t="shared" si="63"/>
        <v>0</v>
      </c>
      <c r="AB143" s="46">
        <f t="shared" si="63"/>
        <v>0</v>
      </c>
      <c r="AC143" s="46">
        <f t="shared" si="63"/>
        <v>0</v>
      </c>
      <c r="AD143" s="46">
        <f t="shared" si="63"/>
        <v>0</v>
      </c>
      <c r="AE143" s="46">
        <f t="shared" si="63"/>
        <v>0</v>
      </c>
      <c r="AF143" s="46">
        <f t="shared" si="63"/>
        <v>0</v>
      </c>
      <c r="AG143" s="46">
        <f t="shared" si="63"/>
        <v>0</v>
      </c>
      <c r="AH143" s="46">
        <f t="shared" si="63"/>
        <v>0</v>
      </c>
      <c r="AI143" s="46">
        <f t="shared" si="63"/>
        <v>0</v>
      </c>
      <c r="AJ143" s="46">
        <f t="shared" si="63"/>
        <v>0</v>
      </c>
      <c r="AK143" s="46">
        <f t="shared" si="63"/>
        <v>0</v>
      </c>
      <c r="AL143" s="46">
        <f t="shared" si="63"/>
        <v>0</v>
      </c>
      <c r="AM143" s="46">
        <f t="shared" si="63"/>
        <v>0</v>
      </c>
      <c r="AN143" s="46">
        <f t="shared" si="63"/>
        <v>0</v>
      </c>
      <c r="AO143" s="46">
        <f t="shared" si="63"/>
        <v>0</v>
      </c>
      <c r="AP143" s="46">
        <f t="shared" si="63"/>
        <v>0</v>
      </c>
      <c r="AQ143" s="46">
        <f t="shared" si="63"/>
        <v>0</v>
      </c>
      <c r="AR143" s="46">
        <f t="shared" si="63"/>
        <v>0</v>
      </c>
      <c r="AS143" s="46">
        <f t="shared" si="63"/>
        <v>0</v>
      </c>
      <c r="AT143" s="46">
        <f t="shared" si="63"/>
        <v>0</v>
      </c>
      <c r="AU143" s="46">
        <f t="shared" si="63"/>
        <v>0</v>
      </c>
      <c r="AV143" s="46">
        <f t="shared" si="63"/>
        <v>0</v>
      </c>
      <c r="AW143" s="46">
        <f t="shared" si="63"/>
        <v>0</v>
      </c>
      <c r="AX143" s="46">
        <f t="shared" si="63"/>
        <v>0</v>
      </c>
      <c r="AY143" s="46">
        <f t="shared" si="63"/>
        <v>0</v>
      </c>
      <c r="AZ143" s="46">
        <f t="shared" si="63"/>
        <v>0</v>
      </c>
      <c r="BA143" s="46">
        <f t="shared" si="63"/>
        <v>0</v>
      </c>
      <c r="BB143" s="46">
        <f t="shared" si="63"/>
        <v>0</v>
      </c>
      <c r="BC143" s="46">
        <f t="shared" si="63"/>
        <v>0</v>
      </c>
      <c r="BD143" s="46">
        <f t="shared" si="63"/>
        <v>0</v>
      </c>
      <c r="BE143" s="46">
        <f t="shared" si="63"/>
        <v>0</v>
      </c>
      <c r="BF143" s="46">
        <f t="shared" si="63"/>
        <v>0</v>
      </c>
      <c r="BG143" s="46">
        <f t="shared" ca="1" si="63"/>
        <v>40723.203478387877</v>
      </c>
      <c r="BH143" s="46">
        <f t="shared" ca="1" si="63"/>
        <v>0</v>
      </c>
      <c r="BI143" s="46">
        <f t="shared" ca="1" si="63"/>
        <v>0</v>
      </c>
      <c r="BJ143" s="46">
        <f t="shared" ca="1" si="63"/>
        <v>20361.601739193939</v>
      </c>
      <c r="BK143" s="46">
        <f t="shared" ca="1" si="63"/>
        <v>0</v>
      </c>
      <c r="BL143" s="46">
        <f t="shared" ca="1" si="63"/>
        <v>0</v>
      </c>
      <c r="BM143" s="46">
        <f t="shared" ca="1" si="63"/>
        <v>10180.800869596969</v>
      </c>
      <c r="BN143" s="46">
        <f t="shared" ca="1" si="63"/>
        <v>0</v>
      </c>
      <c r="BO143" s="46">
        <f t="shared" ca="1" si="63"/>
        <v>0</v>
      </c>
    </row>
    <row r="144" spans="1:67" ht="16.5" hidden="1" customHeight="1" outlineLevel="1">
      <c r="A144" s="1"/>
      <c r="B144" s="55">
        <f t="shared" si="21"/>
        <v>46904</v>
      </c>
      <c r="C144" s="17" t="s">
        <v>104</v>
      </c>
      <c r="D144" s="46">
        <f t="shared" si="23"/>
        <v>41</v>
      </c>
      <c r="E144" s="16"/>
      <c r="F144" s="51">
        <f t="shared" si="24"/>
        <v>1</v>
      </c>
      <c r="G144" s="16" t="s">
        <v>159</v>
      </c>
      <c r="H144" s="16" t="s">
        <v>155</v>
      </c>
      <c r="I144" s="46">
        <f ca="1">IF(H144=Forecast!$H$195,T144,IF(H144=Forecast!$H$196,BO144,IF(H144=Forecast!$H$197,SUM(T144:BO144),IF(H144=Forecast!$H$198,AVERAGE(T144:BO144),0))))</f>
        <v>71361.962255367907</v>
      </c>
      <c r="J144" s="16"/>
      <c r="K144" s="16"/>
      <c r="L144" s="16"/>
      <c r="M144" s="16"/>
      <c r="N144" s="16"/>
      <c r="O144" s="16"/>
      <c r="P144" s="16"/>
      <c r="Q144" s="16"/>
      <c r="R144" s="16"/>
      <c r="S144" s="16"/>
      <c r="T144" s="46">
        <f t="shared" ref="T144:BO144" si="64">IF(T$6&lt;$D144,0,INDEX($T$44:$BO$44,,T$6-$D144+1)*INDEX($T$52:$BO$52,,$D144)*IF(T$6=$D144,1,$F144)*T$46)</f>
        <v>0</v>
      </c>
      <c r="U144" s="46">
        <f t="shared" si="64"/>
        <v>0</v>
      </c>
      <c r="V144" s="46">
        <f t="shared" si="64"/>
        <v>0</v>
      </c>
      <c r="W144" s="46">
        <f t="shared" si="64"/>
        <v>0</v>
      </c>
      <c r="X144" s="46">
        <f t="shared" si="64"/>
        <v>0</v>
      </c>
      <c r="Y144" s="46">
        <f t="shared" si="64"/>
        <v>0</v>
      </c>
      <c r="Z144" s="46">
        <f t="shared" si="64"/>
        <v>0</v>
      </c>
      <c r="AA144" s="46">
        <f t="shared" si="64"/>
        <v>0</v>
      </c>
      <c r="AB144" s="46">
        <f t="shared" si="64"/>
        <v>0</v>
      </c>
      <c r="AC144" s="46">
        <f t="shared" si="64"/>
        <v>0</v>
      </c>
      <c r="AD144" s="46">
        <f t="shared" si="64"/>
        <v>0</v>
      </c>
      <c r="AE144" s="46">
        <f t="shared" si="64"/>
        <v>0</v>
      </c>
      <c r="AF144" s="46">
        <f t="shared" si="64"/>
        <v>0</v>
      </c>
      <c r="AG144" s="46">
        <f t="shared" si="64"/>
        <v>0</v>
      </c>
      <c r="AH144" s="46">
        <f t="shared" si="64"/>
        <v>0</v>
      </c>
      <c r="AI144" s="46">
        <f t="shared" si="64"/>
        <v>0</v>
      </c>
      <c r="AJ144" s="46">
        <f t="shared" si="64"/>
        <v>0</v>
      </c>
      <c r="AK144" s="46">
        <f t="shared" si="64"/>
        <v>0</v>
      </c>
      <c r="AL144" s="46">
        <f t="shared" si="64"/>
        <v>0</v>
      </c>
      <c r="AM144" s="46">
        <f t="shared" si="64"/>
        <v>0</v>
      </c>
      <c r="AN144" s="46">
        <f t="shared" si="64"/>
        <v>0</v>
      </c>
      <c r="AO144" s="46">
        <f t="shared" si="64"/>
        <v>0</v>
      </c>
      <c r="AP144" s="46">
        <f t="shared" si="64"/>
        <v>0</v>
      </c>
      <c r="AQ144" s="46">
        <f t="shared" si="64"/>
        <v>0</v>
      </c>
      <c r="AR144" s="46">
        <f t="shared" si="64"/>
        <v>0</v>
      </c>
      <c r="AS144" s="46">
        <f t="shared" si="64"/>
        <v>0</v>
      </c>
      <c r="AT144" s="46">
        <f t="shared" si="64"/>
        <v>0</v>
      </c>
      <c r="AU144" s="46">
        <f t="shared" si="64"/>
        <v>0</v>
      </c>
      <c r="AV144" s="46">
        <f t="shared" si="64"/>
        <v>0</v>
      </c>
      <c r="AW144" s="46">
        <f t="shared" si="64"/>
        <v>0</v>
      </c>
      <c r="AX144" s="46">
        <f t="shared" si="64"/>
        <v>0</v>
      </c>
      <c r="AY144" s="46">
        <f t="shared" si="64"/>
        <v>0</v>
      </c>
      <c r="AZ144" s="46">
        <f t="shared" si="64"/>
        <v>0</v>
      </c>
      <c r="BA144" s="46">
        <f t="shared" si="64"/>
        <v>0</v>
      </c>
      <c r="BB144" s="46">
        <f t="shared" si="64"/>
        <v>0</v>
      </c>
      <c r="BC144" s="46">
        <f t="shared" si="64"/>
        <v>0</v>
      </c>
      <c r="BD144" s="46">
        <f t="shared" si="64"/>
        <v>0</v>
      </c>
      <c r="BE144" s="46">
        <f t="shared" si="64"/>
        <v>0</v>
      </c>
      <c r="BF144" s="46">
        <f t="shared" si="64"/>
        <v>0</v>
      </c>
      <c r="BG144" s="46">
        <f t="shared" si="64"/>
        <v>0</v>
      </c>
      <c r="BH144" s="46">
        <f t="shared" ca="1" si="64"/>
        <v>40778.264145924521</v>
      </c>
      <c r="BI144" s="46">
        <f t="shared" ca="1" si="64"/>
        <v>0</v>
      </c>
      <c r="BJ144" s="46">
        <f t="shared" ca="1" si="64"/>
        <v>0</v>
      </c>
      <c r="BK144" s="46">
        <f t="shared" ca="1" si="64"/>
        <v>20389.13207296226</v>
      </c>
      <c r="BL144" s="46">
        <f t="shared" ca="1" si="64"/>
        <v>0</v>
      </c>
      <c r="BM144" s="46">
        <f t="shared" ca="1" si="64"/>
        <v>0</v>
      </c>
      <c r="BN144" s="46">
        <f t="shared" ca="1" si="64"/>
        <v>10194.56603648113</v>
      </c>
      <c r="BO144" s="46">
        <f t="shared" ca="1" si="64"/>
        <v>0</v>
      </c>
    </row>
    <row r="145" spans="1:67" ht="16.5" hidden="1" customHeight="1" outlineLevel="1">
      <c r="A145" s="1"/>
      <c r="B145" s="55">
        <f t="shared" si="21"/>
        <v>46934</v>
      </c>
      <c r="C145" s="17" t="s">
        <v>104</v>
      </c>
      <c r="D145" s="46">
        <f t="shared" si="23"/>
        <v>42</v>
      </c>
      <c r="E145" s="16"/>
      <c r="F145" s="51">
        <f t="shared" si="24"/>
        <v>1</v>
      </c>
      <c r="G145" s="16" t="s">
        <v>159</v>
      </c>
      <c r="H145" s="16" t="s">
        <v>155</v>
      </c>
      <c r="I145" s="46">
        <f ca="1">IF(H145=Forecast!$H$195,T145,IF(H145=Forecast!$H$196,BO145,IF(H145=Forecast!$H$197,SUM(T145:BO145),IF(H145=Forecast!$H$198,AVERAGE(T145:BO145),0))))</f>
        <v>71443.975736662469</v>
      </c>
      <c r="J145" s="16"/>
      <c r="K145" s="16"/>
      <c r="L145" s="16"/>
      <c r="M145" s="16"/>
      <c r="N145" s="16"/>
      <c r="O145" s="16"/>
      <c r="P145" s="16"/>
      <c r="Q145" s="16"/>
      <c r="R145" s="16"/>
      <c r="S145" s="16"/>
      <c r="T145" s="46">
        <f t="shared" ref="T145:BO145" si="65">IF(T$6&lt;$D145,0,INDEX($T$44:$BO$44,,T$6-$D145+1)*INDEX($T$52:$BO$52,,$D145)*IF(T$6=$D145,1,$F145)*T$46)</f>
        <v>0</v>
      </c>
      <c r="U145" s="46">
        <f t="shared" si="65"/>
        <v>0</v>
      </c>
      <c r="V145" s="46">
        <f t="shared" si="65"/>
        <v>0</v>
      </c>
      <c r="W145" s="46">
        <f t="shared" si="65"/>
        <v>0</v>
      </c>
      <c r="X145" s="46">
        <f t="shared" si="65"/>
        <v>0</v>
      </c>
      <c r="Y145" s="46">
        <f t="shared" si="65"/>
        <v>0</v>
      </c>
      <c r="Z145" s="46">
        <f t="shared" si="65"/>
        <v>0</v>
      </c>
      <c r="AA145" s="46">
        <f t="shared" si="65"/>
        <v>0</v>
      </c>
      <c r="AB145" s="46">
        <f t="shared" si="65"/>
        <v>0</v>
      </c>
      <c r="AC145" s="46">
        <f t="shared" si="65"/>
        <v>0</v>
      </c>
      <c r="AD145" s="46">
        <f t="shared" si="65"/>
        <v>0</v>
      </c>
      <c r="AE145" s="46">
        <f t="shared" si="65"/>
        <v>0</v>
      </c>
      <c r="AF145" s="46">
        <f t="shared" si="65"/>
        <v>0</v>
      </c>
      <c r="AG145" s="46">
        <f t="shared" si="65"/>
        <v>0</v>
      </c>
      <c r="AH145" s="46">
        <f t="shared" si="65"/>
        <v>0</v>
      </c>
      <c r="AI145" s="46">
        <f t="shared" si="65"/>
        <v>0</v>
      </c>
      <c r="AJ145" s="46">
        <f t="shared" si="65"/>
        <v>0</v>
      </c>
      <c r="AK145" s="46">
        <f t="shared" si="65"/>
        <v>0</v>
      </c>
      <c r="AL145" s="46">
        <f t="shared" si="65"/>
        <v>0</v>
      </c>
      <c r="AM145" s="46">
        <f t="shared" si="65"/>
        <v>0</v>
      </c>
      <c r="AN145" s="46">
        <f t="shared" si="65"/>
        <v>0</v>
      </c>
      <c r="AO145" s="46">
        <f t="shared" si="65"/>
        <v>0</v>
      </c>
      <c r="AP145" s="46">
        <f t="shared" si="65"/>
        <v>0</v>
      </c>
      <c r="AQ145" s="46">
        <f t="shared" si="65"/>
        <v>0</v>
      </c>
      <c r="AR145" s="46">
        <f t="shared" si="65"/>
        <v>0</v>
      </c>
      <c r="AS145" s="46">
        <f t="shared" si="65"/>
        <v>0</v>
      </c>
      <c r="AT145" s="46">
        <f t="shared" si="65"/>
        <v>0</v>
      </c>
      <c r="AU145" s="46">
        <f t="shared" si="65"/>
        <v>0</v>
      </c>
      <c r="AV145" s="46">
        <f t="shared" si="65"/>
        <v>0</v>
      </c>
      <c r="AW145" s="46">
        <f t="shared" si="65"/>
        <v>0</v>
      </c>
      <c r="AX145" s="46">
        <f t="shared" si="65"/>
        <v>0</v>
      </c>
      <c r="AY145" s="46">
        <f t="shared" si="65"/>
        <v>0</v>
      </c>
      <c r="AZ145" s="46">
        <f t="shared" si="65"/>
        <v>0</v>
      </c>
      <c r="BA145" s="46">
        <f t="shared" si="65"/>
        <v>0</v>
      </c>
      <c r="BB145" s="46">
        <f t="shared" si="65"/>
        <v>0</v>
      </c>
      <c r="BC145" s="46">
        <f t="shared" si="65"/>
        <v>0</v>
      </c>
      <c r="BD145" s="46">
        <f t="shared" si="65"/>
        <v>0</v>
      </c>
      <c r="BE145" s="46">
        <f t="shared" si="65"/>
        <v>0</v>
      </c>
      <c r="BF145" s="46">
        <f t="shared" si="65"/>
        <v>0</v>
      </c>
      <c r="BG145" s="46">
        <f t="shared" si="65"/>
        <v>0</v>
      </c>
      <c r="BH145" s="46">
        <f t="shared" si="65"/>
        <v>0</v>
      </c>
      <c r="BI145" s="46">
        <f t="shared" ca="1" si="65"/>
        <v>40825.128992378559</v>
      </c>
      <c r="BJ145" s="46">
        <f t="shared" ca="1" si="65"/>
        <v>0</v>
      </c>
      <c r="BK145" s="46">
        <f t="shared" ca="1" si="65"/>
        <v>0</v>
      </c>
      <c r="BL145" s="46">
        <f t="shared" ca="1" si="65"/>
        <v>20412.564496189279</v>
      </c>
      <c r="BM145" s="46">
        <f t="shared" ca="1" si="65"/>
        <v>0</v>
      </c>
      <c r="BN145" s="46">
        <f t="shared" ca="1" si="65"/>
        <v>0</v>
      </c>
      <c r="BO145" s="46">
        <f t="shared" ca="1" si="65"/>
        <v>10206.28224809464</v>
      </c>
    </row>
    <row r="146" spans="1:67" ht="16.5" hidden="1" customHeight="1" outlineLevel="1">
      <c r="A146" s="1"/>
      <c r="B146" s="55">
        <f t="shared" si="21"/>
        <v>46965</v>
      </c>
      <c r="C146" s="17" t="s">
        <v>104</v>
      </c>
      <c r="D146" s="46">
        <f t="shared" si="23"/>
        <v>43</v>
      </c>
      <c r="E146" s="16"/>
      <c r="F146" s="51">
        <f t="shared" si="24"/>
        <v>1</v>
      </c>
      <c r="G146" s="16" t="s">
        <v>159</v>
      </c>
      <c r="H146" s="16" t="s">
        <v>155</v>
      </c>
      <c r="I146" s="46">
        <f ca="1">IF(H146=Forecast!$H$195,T146,IF(H146=Forecast!$H$196,BO146,IF(H146=Forecast!$H$197,SUM(T146:BO146),IF(H146=Forecast!$H$198,AVERAGE(T146:BO146),0))))</f>
        <v>61297.514839188123</v>
      </c>
      <c r="J146" s="16"/>
      <c r="K146" s="16"/>
      <c r="L146" s="16"/>
      <c r="M146" s="16"/>
      <c r="N146" s="16"/>
      <c r="O146" s="16"/>
      <c r="P146" s="16"/>
      <c r="Q146" s="16"/>
      <c r="R146" s="16"/>
      <c r="S146" s="16"/>
      <c r="T146" s="46">
        <f t="shared" ref="T146:BO146" si="66">IF(T$6&lt;$D146,0,INDEX($T$44:$BO$44,,T$6-$D146+1)*INDEX($T$52:$BO$52,,$D146)*IF(T$6=$D146,1,$F146)*T$46)</f>
        <v>0</v>
      </c>
      <c r="U146" s="46">
        <f t="shared" si="66"/>
        <v>0</v>
      </c>
      <c r="V146" s="46">
        <f t="shared" si="66"/>
        <v>0</v>
      </c>
      <c r="W146" s="46">
        <f t="shared" si="66"/>
        <v>0</v>
      </c>
      <c r="X146" s="46">
        <f t="shared" si="66"/>
        <v>0</v>
      </c>
      <c r="Y146" s="46">
        <f t="shared" si="66"/>
        <v>0</v>
      </c>
      <c r="Z146" s="46">
        <f t="shared" si="66"/>
        <v>0</v>
      </c>
      <c r="AA146" s="46">
        <f t="shared" si="66"/>
        <v>0</v>
      </c>
      <c r="AB146" s="46">
        <f t="shared" si="66"/>
        <v>0</v>
      </c>
      <c r="AC146" s="46">
        <f t="shared" si="66"/>
        <v>0</v>
      </c>
      <c r="AD146" s="46">
        <f t="shared" si="66"/>
        <v>0</v>
      </c>
      <c r="AE146" s="46">
        <f t="shared" si="66"/>
        <v>0</v>
      </c>
      <c r="AF146" s="46">
        <f t="shared" si="66"/>
        <v>0</v>
      </c>
      <c r="AG146" s="46">
        <f t="shared" si="66"/>
        <v>0</v>
      </c>
      <c r="AH146" s="46">
        <f t="shared" si="66"/>
        <v>0</v>
      </c>
      <c r="AI146" s="46">
        <f t="shared" si="66"/>
        <v>0</v>
      </c>
      <c r="AJ146" s="46">
        <f t="shared" si="66"/>
        <v>0</v>
      </c>
      <c r="AK146" s="46">
        <f t="shared" si="66"/>
        <v>0</v>
      </c>
      <c r="AL146" s="46">
        <f t="shared" si="66"/>
        <v>0</v>
      </c>
      <c r="AM146" s="46">
        <f t="shared" si="66"/>
        <v>0</v>
      </c>
      <c r="AN146" s="46">
        <f t="shared" si="66"/>
        <v>0</v>
      </c>
      <c r="AO146" s="46">
        <f t="shared" si="66"/>
        <v>0</v>
      </c>
      <c r="AP146" s="46">
        <f t="shared" si="66"/>
        <v>0</v>
      </c>
      <c r="AQ146" s="46">
        <f t="shared" si="66"/>
        <v>0</v>
      </c>
      <c r="AR146" s="46">
        <f t="shared" si="66"/>
        <v>0</v>
      </c>
      <c r="AS146" s="46">
        <f t="shared" si="66"/>
        <v>0</v>
      </c>
      <c r="AT146" s="46">
        <f t="shared" si="66"/>
        <v>0</v>
      </c>
      <c r="AU146" s="46">
        <f t="shared" si="66"/>
        <v>0</v>
      </c>
      <c r="AV146" s="46">
        <f t="shared" si="66"/>
        <v>0</v>
      </c>
      <c r="AW146" s="46">
        <f t="shared" si="66"/>
        <v>0</v>
      </c>
      <c r="AX146" s="46">
        <f t="shared" si="66"/>
        <v>0</v>
      </c>
      <c r="AY146" s="46">
        <f t="shared" si="66"/>
        <v>0</v>
      </c>
      <c r="AZ146" s="46">
        <f t="shared" si="66"/>
        <v>0</v>
      </c>
      <c r="BA146" s="46">
        <f t="shared" si="66"/>
        <v>0</v>
      </c>
      <c r="BB146" s="46">
        <f t="shared" si="66"/>
        <v>0</v>
      </c>
      <c r="BC146" s="46">
        <f t="shared" si="66"/>
        <v>0</v>
      </c>
      <c r="BD146" s="46">
        <f t="shared" si="66"/>
        <v>0</v>
      </c>
      <c r="BE146" s="46">
        <f t="shared" si="66"/>
        <v>0</v>
      </c>
      <c r="BF146" s="46">
        <f t="shared" si="66"/>
        <v>0</v>
      </c>
      <c r="BG146" s="46">
        <f t="shared" si="66"/>
        <v>0</v>
      </c>
      <c r="BH146" s="46">
        <f t="shared" si="66"/>
        <v>0</v>
      </c>
      <c r="BI146" s="46">
        <f t="shared" si="66"/>
        <v>0</v>
      </c>
      <c r="BJ146" s="46">
        <f t="shared" ca="1" si="66"/>
        <v>40865.009892792084</v>
      </c>
      <c r="BK146" s="46">
        <f t="shared" ca="1" si="66"/>
        <v>0</v>
      </c>
      <c r="BL146" s="46">
        <f t="shared" ca="1" si="66"/>
        <v>0</v>
      </c>
      <c r="BM146" s="46">
        <f t="shared" ca="1" si="66"/>
        <v>20432.504946396042</v>
      </c>
      <c r="BN146" s="46">
        <f t="shared" ca="1" si="66"/>
        <v>0</v>
      </c>
      <c r="BO146" s="46">
        <f t="shared" ca="1" si="66"/>
        <v>0</v>
      </c>
    </row>
    <row r="147" spans="1:67" ht="16.5" hidden="1" customHeight="1" outlineLevel="1">
      <c r="A147" s="1"/>
      <c r="B147" s="55">
        <f t="shared" si="21"/>
        <v>46996</v>
      </c>
      <c r="C147" s="17" t="s">
        <v>104</v>
      </c>
      <c r="D147" s="46">
        <f t="shared" si="23"/>
        <v>44</v>
      </c>
      <c r="E147" s="16"/>
      <c r="F147" s="51">
        <f t="shared" si="24"/>
        <v>1</v>
      </c>
      <c r="G147" s="16" t="s">
        <v>159</v>
      </c>
      <c r="H147" s="16" t="s">
        <v>155</v>
      </c>
      <c r="I147" s="46">
        <f ca="1">IF(H147=Forecast!$H$195,T147,IF(H147=Forecast!$H$196,BO147,IF(H147=Forecast!$H$197,SUM(T147:BO147),IF(H147=Forecast!$H$198,AVERAGE(T147:BO147),0))))</f>
        <v>61348.412659316309</v>
      </c>
      <c r="J147" s="16"/>
      <c r="K147" s="16"/>
      <c r="L147" s="16"/>
      <c r="M147" s="16"/>
      <c r="N147" s="16"/>
      <c r="O147" s="16"/>
      <c r="P147" s="16"/>
      <c r="Q147" s="16"/>
      <c r="R147" s="16"/>
      <c r="S147" s="16"/>
      <c r="T147" s="46">
        <f t="shared" ref="T147:BO147" si="67">IF(T$6&lt;$D147,0,INDEX($T$44:$BO$44,,T$6-$D147+1)*INDEX($T$52:$BO$52,,$D147)*IF(T$6=$D147,1,$F147)*T$46)</f>
        <v>0</v>
      </c>
      <c r="U147" s="46">
        <f t="shared" si="67"/>
        <v>0</v>
      </c>
      <c r="V147" s="46">
        <f t="shared" si="67"/>
        <v>0</v>
      </c>
      <c r="W147" s="46">
        <f t="shared" si="67"/>
        <v>0</v>
      </c>
      <c r="X147" s="46">
        <f t="shared" si="67"/>
        <v>0</v>
      </c>
      <c r="Y147" s="46">
        <f t="shared" si="67"/>
        <v>0</v>
      </c>
      <c r="Z147" s="46">
        <f t="shared" si="67"/>
        <v>0</v>
      </c>
      <c r="AA147" s="46">
        <f t="shared" si="67"/>
        <v>0</v>
      </c>
      <c r="AB147" s="46">
        <f t="shared" si="67"/>
        <v>0</v>
      </c>
      <c r="AC147" s="46">
        <f t="shared" si="67"/>
        <v>0</v>
      </c>
      <c r="AD147" s="46">
        <f t="shared" si="67"/>
        <v>0</v>
      </c>
      <c r="AE147" s="46">
        <f t="shared" si="67"/>
        <v>0</v>
      </c>
      <c r="AF147" s="46">
        <f t="shared" si="67"/>
        <v>0</v>
      </c>
      <c r="AG147" s="46">
        <f t="shared" si="67"/>
        <v>0</v>
      </c>
      <c r="AH147" s="46">
        <f t="shared" si="67"/>
        <v>0</v>
      </c>
      <c r="AI147" s="46">
        <f t="shared" si="67"/>
        <v>0</v>
      </c>
      <c r="AJ147" s="46">
        <f t="shared" si="67"/>
        <v>0</v>
      </c>
      <c r="AK147" s="46">
        <f t="shared" si="67"/>
        <v>0</v>
      </c>
      <c r="AL147" s="46">
        <f t="shared" si="67"/>
        <v>0</v>
      </c>
      <c r="AM147" s="46">
        <f t="shared" si="67"/>
        <v>0</v>
      </c>
      <c r="AN147" s="46">
        <f t="shared" si="67"/>
        <v>0</v>
      </c>
      <c r="AO147" s="46">
        <f t="shared" si="67"/>
        <v>0</v>
      </c>
      <c r="AP147" s="46">
        <f t="shared" si="67"/>
        <v>0</v>
      </c>
      <c r="AQ147" s="46">
        <f t="shared" si="67"/>
        <v>0</v>
      </c>
      <c r="AR147" s="46">
        <f t="shared" si="67"/>
        <v>0</v>
      </c>
      <c r="AS147" s="46">
        <f t="shared" si="67"/>
        <v>0</v>
      </c>
      <c r="AT147" s="46">
        <f t="shared" si="67"/>
        <v>0</v>
      </c>
      <c r="AU147" s="46">
        <f t="shared" si="67"/>
        <v>0</v>
      </c>
      <c r="AV147" s="46">
        <f t="shared" si="67"/>
        <v>0</v>
      </c>
      <c r="AW147" s="46">
        <f t="shared" si="67"/>
        <v>0</v>
      </c>
      <c r="AX147" s="46">
        <f t="shared" si="67"/>
        <v>0</v>
      </c>
      <c r="AY147" s="46">
        <f t="shared" si="67"/>
        <v>0</v>
      </c>
      <c r="AZ147" s="46">
        <f t="shared" si="67"/>
        <v>0</v>
      </c>
      <c r="BA147" s="46">
        <f t="shared" si="67"/>
        <v>0</v>
      </c>
      <c r="BB147" s="46">
        <f t="shared" si="67"/>
        <v>0</v>
      </c>
      <c r="BC147" s="46">
        <f t="shared" si="67"/>
        <v>0</v>
      </c>
      <c r="BD147" s="46">
        <f t="shared" si="67"/>
        <v>0</v>
      </c>
      <c r="BE147" s="46">
        <f t="shared" si="67"/>
        <v>0</v>
      </c>
      <c r="BF147" s="46">
        <f t="shared" si="67"/>
        <v>0</v>
      </c>
      <c r="BG147" s="46">
        <f t="shared" si="67"/>
        <v>0</v>
      </c>
      <c r="BH147" s="46">
        <f t="shared" si="67"/>
        <v>0</v>
      </c>
      <c r="BI147" s="46">
        <f t="shared" si="67"/>
        <v>0</v>
      </c>
      <c r="BJ147" s="46">
        <f t="shared" si="67"/>
        <v>0</v>
      </c>
      <c r="BK147" s="46">
        <f t="shared" ca="1" si="67"/>
        <v>40898.941772877537</v>
      </c>
      <c r="BL147" s="46">
        <f t="shared" ca="1" si="67"/>
        <v>0</v>
      </c>
      <c r="BM147" s="46">
        <f t="shared" ca="1" si="67"/>
        <v>0</v>
      </c>
      <c r="BN147" s="46">
        <f t="shared" ca="1" si="67"/>
        <v>20449.470886438769</v>
      </c>
      <c r="BO147" s="46">
        <f t="shared" ca="1" si="67"/>
        <v>0</v>
      </c>
    </row>
    <row r="148" spans="1:67" ht="16.5" hidden="1" customHeight="1" outlineLevel="1">
      <c r="A148" s="1"/>
      <c r="B148" s="55">
        <f t="shared" si="21"/>
        <v>47026</v>
      </c>
      <c r="C148" s="17" t="s">
        <v>104</v>
      </c>
      <c r="D148" s="46">
        <f t="shared" si="23"/>
        <v>45</v>
      </c>
      <c r="E148" s="16"/>
      <c r="F148" s="51">
        <f t="shared" si="24"/>
        <v>1</v>
      </c>
      <c r="G148" s="16" t="s">
        <v>159</v>
      </c>
      <c r="H148" s="16" t="s">
        <v>155</v>
      </c>
      <c r="I148" s="46">
        <f ca="1">IF(H148=Forecast!$H$195,T148,IF(H148=Forecast!$H$196,BO148,IF(H148=Forecast!$H$197,SUM(T148:BO148),IF(H148=Forecast!$H$198,AVERAGE(T148:BO148),0))))</f>
        <v>61391.711729576229</v>
      </c>
      <c r="J148" s="16"/>
      <c r="K148" s="16"/>
      <c r="L148" s="16"/>
      <c r="M148" s="16"/>
      <c r="N148" s="16"/>
      <c r="O148" s="16"/>
      <c r="P148" s="16"/>
      <c r="Q148" s="16"/>
      <c r="R148" s="16"/>
      <c r="S148" s="16"/>
      <c r="T148" s="46">
        <f t="shared" ref="T148:BO148" si="68">IF(T$6&lt;$D148,0,INDEX($T$44:$BO$44,,T$6-$D148+1)*INDEX($T$52:$BO$52,,$D148)*IF(T$6=$D148,1,$F148)*T$46)</f>
        <v>0</v>
      </c>
      <c r="U148" s="46">
        <f t="shared" si="68"/>
        <v>0</v>
      </c>
      <c r="V148" s="46">
        <f t="shared" si="68"/>
        <v>0</v>
      </c>
      <c r="W148" s="46">
        <f t="shared" si="68"/>
        <v>0</v>
      </c>
      <c r="X148" s="46">
        <f t="shared" si="68"/>
        <v>0</v>
      </c>
      <c r="Y148" s="46">
        <f t="shared" si="68"/>
        <v>0</v>
      </c>
      <c r="Z148" s="46">
        <f t="shared" si="68"/>
        <v>0</v>
      </c>
      <c r="AA148" s="46">
        <f t="shared" si="68"/>
        <v>0</v>
      </c>
      <c r="AB148" s="46">
        <f t="shared" si="68"/>
        <v>0</v>
      </c>
      <c r="AC148" s="46">
        <f t="shared" si="68"/>
        <v>0</v>
      </c>
      <c r="AD148" s="46">
        <f t="shared" si="68"/>
        <v>0</v>
      </c>
      <c r="AE148" s="46">
        <f t="shared" si="68"/>
        <v>0</v>
      </c>
      <c r="AF148" s="46">
        <f t="shared" si="68"/>
        <v>0</v>
      </c>
      <c r="AG148" s="46">
        <f t="shared" si="68"/>
        <v>0</v>
      </c>
      <c r="AH148" s="46">
        <f t="shared" si="68"/>
        <v>0</v>
      </c>
      <c r="AI148" s="46">
        <f t="shared" si="68"/>
        <v>0</v>
      </c>
      <c r="AJ148" s="46">
        <f t="shared" si="68"/>
        <v>0</v>
      </c>
      <c r="AK148" s="46">
        <f t="shared" si="68"/>
        <v>0</v>
      </c>
      <c r="AL148" s="46">
        <f t="shared" si="68"/>
        <v>0</v>
      </c>
      <c r="AM148" s="46">
        <f t="shared" si="68"/>
        <v>0</v>
      </c>
      <c r="AN148" s="46">
        <f t="shared" si="68"/>
        <v>0</v>
      </c>
      <c r="AO148" s="46">
        <f t="shared" si="68"/>
        <v>0</v>
      </c>
      <c r="AP148" s="46">
        <f t="shared" si="68"/>
        <v>0</v>
      </c>
      <c r="AQ148" s="46">
        <f t="shared" si="68"/>
        <v>0</v>
      </c>
      <c r="AR148" s="46">
        <f t="shared" si="68"/>
        <v>0</v>
      </c>
      <c r="AS148" s="46">
        <f t="shared" si="68"/>
        <v>0</v>
      </c>
      <c r="AT148" s="46">
        <f t="shared" si="68"/>
        <v>0</v>
      </c>
      <c r="AU148" s="46">
        <f t="shared" si="68"/>
        <v>0</v>
      </c>
      <c r="AV148" s="46">
        <f t="shared" si="68"/>
        <v>0</v>
      </c>
      <c r="AW148" s="46">
        <f t="shared" si="68"/>
        <v>0</v>
      </c>
      <c r="AX148" s="46">
        <f t="shared" si="68"/>
        <v>0</v>
      </c>
      <c r="AY148" s="46">
        <f t="shared" si="68"/>
        <v>0</v>
      </c>
      <c r="AZ148" s="46">
        <f t="shared" si="68"/>
        <v>0</v>
      </c>
      <c r="BA148" s="46">
        <f t="shared" si="68"/>
        <v>0</v>
      </c>
      <c r="BB148" s="46">
        <f t="shared" si="68"/>
        <v>0</v>
      </c>
      <c r="BC148" s="46">
        <f t="shared" si="68"/>
        <v>0</v>
      </c>
      <c r="BD148" s="46">
        <f t="shared" si="68"/>
        <v>0</v>
      </c>
      <c r="BE148" s="46">
        <f t="shared" si="68"/>
        <v>0</v>
      </c>
      <c r="BF148" s="46">
        <f t="shared" si="68"/>
        <v>0</v>
      </c>
      <c r="BG148" s="46">
        <f t="shared" si="68"/>
        <v>0</v>
      </c>
      <c r="BH148" s="46">
        <f t="shared" si="68"/>
        <v>0</v>
      </c>
      <c r="BI148" s="46">
        <f t="shared" si="68"/>
        <v>0</v>
      </c>
      <c r="BJ148" s="46">
        <f t="shared" si="68"/>
        <v>0</v>
      </c>
      <c r="BK148" s="46">
        <f t="shared" si="68"/>
        <v>0</v>
      </c>
      <c r="BL148" s="46">
        <f t="shared" ca="1" si="68"/>
        <v>40927.807819717484</v>
      </c>
      <c r="BM148" s="46">
        <f t="shared" ca="1" si="68"/>
        <v>0</v>
      </c>
      <c r="BN148" s="46">
        <f t="shared" ca="1" si="68"/>
        <v>0</v>
      </c>
      <c r="BO148" s="46">
        <f t="shared" ca="1" si="68"/>
        <v>20463.903909858742</v>
      </c>
    </row>
    <row r="149" spans="1:67" ht="16.5" hidden="1" customHeight="1" outlineLevel="1">
      <c r="A149" s="1"/>
      <c r="B149" s="55">
        <f t="shared" si="21"/>
        <v>47057</v>
      </c>
      <c r="C149" s="17" t="s">
        <v>104</v>
      </c>
      <c r="D149" s="46">
        <f t="shared" si="23"/>
        <v>46</v>
      </c>
      <c r="E149" s="16"/>
      <c r="F149" s="51">
        <f t="shared" si="24"/>
        <v>1</v>
      </c>
      <c r="G149" s="16" t="s">
        <v>159</v>
      </c>
      <c r="H149" s="16" t="s">
        <v>155</v>
      </c>
      <c r="I149" s="46">
        <f ca="1">IF(H149=Forecast!$H$195,T149,IF(H149=Forecast!$H$196,BO149,IF(H149=Forecast!$H$197,SUM(T149:BO149),IF(H149=Forecast!$H$198,AVERAGE(T149:BO149),0))))</f>
        <v>40952.361276883195</v>
      </c>
      <c r="J149" s="16"/>
      <c r="K149" s="16"/>
      <c r="L149" s="16"/>
      <c r="M149" s="16"/>
      <c r="N149" s="16"/>
      <c r="O149" s="16"/>
      <c r="P149" s="16"/>
      <c r="Q149" s="16"/>
      <c r="R149" s="16"/>
      <c r="S149" s="16"/>
      <c r="T149" s="46">
        <f t="shared" ref="T149:BO149" si="69">IF(T$6&lt;$D149,0,INDEX($T$44:$BO$44,,T$6-$D149+1)*INDEX($T$52:$BO$52,,$D149)*IF(T$6=$D149,1,$F149)*T$46)</f>
        <v>0</v>
      </c>
      <c r="U149" s="46">
        <f t="shared" si="69"/>
        <v>0</v>
      </c>
      <c r="V149" s="46">
        <f t="shared" si="69"/>
        <v>0</v>
      </c>
      <c r="W149" s="46">
        <f t="shared" si="69"/>
        <v>0</v>
      </c>
      <c r="X149" s="46">
        <f t="shared" si="69"/>
        <v>0</v>
      </c>
      <c r="Y149" s="46">
        <f t="shared" si="69"/>
        <v>0</v>
      </c>
      <c r="Z149" s="46">
        <f t="shared" si="69"/>
        <v>0</v>
      </c>
      <c r="AA149" s="46">
        <f t="shared" si="69"/>
        <v>0</v>
      </c>
      <c r="AB149" s="46">
        <f t="shared" si="69"/>
        <v>0</v>
      </c>
      <c r="AC149" s="46">
        <f t="shared" si="69"/>
        <v>0</v>
      </c>
      <c r="AD149" s="46">
        <f t="shared" si="69"/>
        <v>0</v>
      </c>
      <c r="AE149" s="46">
        <f t="shared" si="69"/>
        <v>0</v>
      </c>
      <c r="AF149" s="46">
        <f t="shared" si="69"/>
        <v>0</v>
      </c>
      <c r="AG149" s="46">
        <f t="shared" si="69"/>
        <v>0</v>
      </c>
      <c r="AH149" s="46">
        <f t="shared" si="69"/>
        <v>0</v>
      </c>
      <c r="AI149" s="46">
        <f t="shared" si="69"/>
        <v>0</v>
      </c>
      <c r="AJ149" s="46">
        <f t="shared" si="69"/>
        <v>0</v>
      </c>
      <c r="AK149" s="46">
        <f t="shared" si="69"/>
        <v>0</v>
      </c>
      <c r="AL149" s="46">
        <f t="shared" si="69"/>
        <v>0</v>
      </c>
      <c r="AM149" s="46">
        <f t="shared" si="69"/>
        <v>0</v>
      </c>
      <c r="AN149" s="46">
        <f t="shared" si="69"/>
        <v>0</v>
      </c>
      <c r="AO149" s="46">
        <f t="shared" si="69"/>
        <v>0</v>
      </c>
      <c r="AP149" s="46">
        <f t="shared" si="69"/>
        <v>0</v>
      </c>
      <c r="AQ149" s="46">
        <f t="shared" si="69"/>
        <v>0</v>
      </c>
      <c r="AR149" s="46">
        <f t="shared" si="69"/>
        <v>0</v>
      </c>
      <c r="AS149" s="46">
        <f t="shared" si="69"/>
        <v>0</v>
      </c>
      <c r="AT149" s="46">
        <f t="shared" si="69"/>
        <v>0</v>
      </c>
      <c r="AU149" s="46">
        <f t="shared" si="69"/>
        <v>0</v>
      </c>
      <c r="AV149" s="46">
        <f t="shared" si="69"/>
        <v>0</v>
      </c>
      <c r="AW149" s="46">
        <f t="shared" si="69"/>
        <v>0</v>
      </c>
      <c r="AX149" s="46">
        <f t="shared" si="69"/>
        <v>0</v>
      </c>
      <c r="AY149" s="46">
        <f t="shared" si="69"/>
        <v>0</v>
      </c>
      <c r="AZ149" s="46">
        <f t="shared" si="69"/>
        <v>0</v>
      </c>
      <c r="BA149" s="46">
        <f t="shared" si="69"/>
        <v>0</v>
      </c>
      <c r="BB149" s="46">
        <f t="shared" si="69"/>
        <v>0</v>
      </c>
      <c r="BC149" s="46">
        <f t="shared" si="69"/>
        <v>0</v>
      </c>
      <c r="BD149" s="46">
        <f t="shared" si="69"/>
        <v>0</v>
      </c>
      <c r="BE149" s="46">
        <f t="shared" si="69"/>
        <v>0</v>
      </c>
      <c r="BF149" s="46">
        <f t="shared" si="69"/>
        <v>0</v>
      </c>
      <c r="BG149" s="46">
        <f t="shared" si="69"/>
        <v>0</v>
      </c>
      <c r="BH149" s="46">
        <f t="shared" si="69"/>
        <v>0</v>
      </c>
      <c r="BI149" s="46">
        <f t="shared" si="69"/>
        <v>0</v>
      </c>
      <c r="BJ149" s="46">
        <f t="shared" si="69"/>
        <v>0</v>
      </c>
      <c r="BK149" s="46">
        <f t="shared" si="69"/>
        <v>0</v>
      </c>
      <c r="BL149" s="46">
        <f t="shared" si="69"/>
        <v>0</v>
      </c>
      <c r="BM149" s="46">
        <f t="shared" ca="1" si="69"/>
        <v>40952.361276883195</v>
      </c>
      <c r="BN149" s="46">
        <f t="shared" ca="1" si="69"/>
        <v>0</v>
      </c>
      <c r="BO149" s="46">
        <f t="shared" ca="1" si="69"/>
        <v>0</v>
      </c>
    </row>
    <row r="150" spans="1:67" ht="16.5" hidden="1" customHeight="1" outlineLevel="1">
      <c r="A150" s="1"/>
      <c r="B150" s="55">
        <f t="shared" si="21"/>
        <v>47087</v>
      </c>
      <c r="C150" s="17" t="s">
        <v>104</v>
      </c>
      <c r="D150" s="46">
        <f t="shared" si="23"/>
        <v>47</v>
      </c>
      <c r="E150" s="16"/>
      <c r="F150" s="51">
        <f t="shared" si="24"/>
        <v>1</v>
      </c>
      <c r="G150" s="16" t="s">
        <v>159</v>
      </c>
      <c r="H150" s="16" t="s">
        <v>155</v>
      </c>
      <c r="I150" s="46">
        <f ca="1">IF(H150=Forecast!$H$195,T150,IF(H150=Forecast!$H$196,BO150,IF(H150=Forecast!$H$197,SUM(T150:BO150),IF(H150=Forecast!$H$198,AVERAGE(T150:BO150),0))))</f>
        <v>40973.244236091385</v>
      </c>
      <c r="J150" s="16"/>
      <c r="K150" s="16"/>
      <c r="L150" s="16"/>
      <c r="M150" s="16"/>
      <c r="N150" s="16"/>
      <c r="O150" s="16"/>
      <c r="P150" s="16"/>
      <c r="Q150" s="16"/>
      <c r="R150" s="16"/>
      <c r="S150" s="16"/>
      <c r="T150" s="46">
        <f t="shared" ref="T150:BO150" si="70">IF(T$6&lt;$D150,0,INDEX($T$44:$BO$44,,T$6-$D150+1)*INDEX($T$52:$BO$52,,$D150)*IF(T$6=$D150,1,$F150)*T$46)</f>
        <v>0</v>
      </c>
      <c r="U150" s="46">
        <f t="shared" si="70"/>
        <v>0</v>
      </c>
      <c r="V150" s="46">
        <f t="shared" si="70"/>
        <v>0</v>
      </c>
      <c r="W150" s="46">
        <f t="shared" si="70"/>
        <v>0</v>
      </c>
      <c r="X150" s="46">
        <f t="shared" si="70"/>
        <v>0</v>
      </c>
      <c r="Y150" s="46">
        <f t="shared" si="70"/>
        <v>0</v>
      </c>
      <c r="Z150" s="46">
        <f t="shared" si="70"/>
        <v>0</v>
      </c>
      <c r="AA150" s="46">
        <f t="shared" si="70"/>
        <v>0</v>
      </c>
      <c r="AB150" s="46">
        <f t="shared" si="70"/>
        <v>0</v>
      </c>
      <c r="AC150" s="46">
        <f t="shared" si="70"/>
        <v>0</v>
      </c>
      <c r="AD150" s="46">
        <f t="shared" si="70"/>
        <v>0</v>
      </c>
      <c r="AE150" s="46">
        <f t="shared" si="70"/>
        <v>0</v>
      </c>
      <c r="AF150" s="46">
        <f t="shared" si="70"/>
        <v>0</v>
      </c>
      <c r="AG150" s="46">
        <f t="shared" si="70"/>
        <v>0</v>
      </c>
      <c r="AH150" s="46">
        <f t="shared" si="70"/>
        <v>0</v>
      </c>
      <c r="AI150" s="46">
        <f t="shared" si="70"/>
        <v>0</v>
      </c>
      <c r="AJ150" s="46">
        <f t="shared" si="70"/>
        <v>0</v>
      </c>
      <c r="AK150" s="46">
        <f t="shared" si="70"/>
        <v>0</v>
      </c>
      <c r="AL150" s="46">
        <f t="shared" si="70"/>
        <v>0</v>
      </c>
      <c r="AM150" s="46">
        <f t="shared" si="70"/>
        <v>0</v>
      </c>
      <c r="AN150" s="46">
        <f t="shared" si="70"/>
        <v>0</v>
      </c>
      <c r="AO150" s="46">
        <f t="shared" si="70"/>
        <v>0</v>
      </c>
      <c r="AP150" s="46">
        <f t="shared" si="70"/>
        <v>0</v>
      </c>
      <c r="AQ150" s="46">
        <f t="shared" si="70"/>
        <v>0</v>
      </c>
      <c r="AR150" s="46">
        <f t="shared" si="70"/>
        <v>0</v>
      </c>
      <c r="AS150" s="46">
        <f t="shared" si="70"/>
        <v>0</v>
      </c>
      <c r="AT150" s="46">
        <f t="shared" si="70"/>
        <v>0</v>
      </c>
      <c r="AU150" s="46">
        <f t="shared" si="70"/>
        <v>0</v>
      </c>
      <c r="AV150" s="46">
        <f t="shared" si="70"/>
        <v>0</v>
      </c>
      <c r="AW150" s="46">
        <f t="shared" si="70"/>
        <v>0</v>
      </c>
      <c r="AX150" s="46">
        <f t="shared" si="70"/>
        <v>0</v>
      </c>
      <c r="AY150" s="46">
        <f t="shared" si="70"/>
        <v>0</v>
      </c>
      <c r="AZ150" s="46">
        <f t="shared" si="70"/>
        <v>0</v>
      </c>
      <c r="BA150" s="46">
        <f t="shared" si="70"/>
        <v>0</v>
      </c>
      <c r="BB150" s="46">
        <f t="shared" si="70"/>
        <v>0</v>
      </c>
      <c r="BC150" s="46">
        <f t="shared" si="70"/>
        <v>0</v>
      </c>
      <c r="BD150" s="46">
        <f t="shared" si="70"/>
        <v>0</v>
      </c>
      <c r="BE150" s="46">
        <f t="shared" si="70"/>
        <v>0</v>
      </c>
      <c r="BF150" s="46">
        <f t="shared" si="70"/>
        <v>0</v>
      </c>
      <c r="BG150" s="46">
        <f t="shared" si="70"/>
        <v>0</v>
      </c>
      <c r="BH150" s="46">
        <f t="shared" si="70"/>
        <v>0</v>
      </c>
      <c r="BI150" s="46">
        <f t="shared" si="70"/>
        <v>0</v>
      </c>
      <c r="BJ150" s="46">
        <f t="shared" si="70"/>
        <v>0</v>
      </c>
      <c r="BK150" s="46">
        <f t="shared" si="70"/>
        <v>0</v>
      </c>
      <c r="BL150" s="46">
        <f t="shared" si="70"/>
        <v>0</v>
      </c>
      <c r="BM150" s="46">
        <f t="shared" si="70"/>
        <v>0</v>
      </c>
      <c r="BN150" s="46">
        <f t="shared" ca="1" si="70"/>
        <v>40973.244236091385</v>
      </c>
      <c r="BO150" s="46">
        <f t="shared" ca="1" si="70"/>
        <v>0</v>
      </c>
    </row>
    <row r="151" spans="1:67" ht="16.5" hidden="1" customHeight="1" outlineLevel="1">
      <c r="A151" s="1"/>
      <c r="B151" s="55">
        <f t="shared" si="21"/>
        <v>47118</v>
      </c>
      <c r="C151" s="17" t="s">
        <v>104</v>
      </c>
      <c r="D151" s="46">
        <f t="shared" si="23"/>
        <v>48</v>
      </c>
      <c r="E151" s="16"/>
      <c r="F151" s="51">
        <f t="shared" si="24"/>
        <v>1</v>
      </c>
      <c r="G151" s="16" t="s">
        <v>159</v>
      </c>
      <c r="H151" s="16" t="s">
        <v>155</v>
      </c>
      <c r="I151" s="46">
        <f ca="1">IF(H151=Forecast!$H$195,T151,IF(H151=Forecast!$H$196,BO151,IF(H151=Forecast!$H$197,SUM(T151:BO151),IF(H151=Forecast!$H$198,AVERAGE(T151:BO151),0))))</f>
        <v>40991.003802991341</v>
      </c>
      <c r="J151" s="16"/>
      <c r="K151" s="16"/>
      <c r="L151" s="16"/>
      <c r="M151" s="16"/>
      <c r="N151" s="16"/>
      <c r="O151" s="16"/>
      <c r="P151" s="16"/>
      <c r="Q151" s="16"/>
      <c r="R151" s="16"/>
      <c r="S151" s="16"/>
      <c r="T151" s="46">
        <f t="shared" ref="T151:BO151" si="71">IF(T$6&lt;$D151,0,INDEX($T$44:$BO$44,,T$6-$D151+1)*INDEX($T$52:$BO$52,,$D151)*IF(T$6=$D151,1,$F151)*T$46)</f>
        <v>0</v>
      </c>
      <c r="U151" s="46">
        <f t="shared" si="71"/>
        <v>0</v>
      </c>
      <c r="V151" s="46">
        <f t="shared" si="71"/>
        <v>0</v>
      </c>
      <c r="W151" s="46">
        <f t="shared" si="71"/>
        <v>0</v>
      </c>
      <c r="X151" s="46">
        <f t="shared" si="71"/>
        <v>0</v>
      </c>
      <c r="Y151" s="46">
        <f t="shared" si="71"/>
        <v>0</v>
      </c>
      <c r="Z151" s="46">
        <f t="shared" si="71"/>
        <v>0</v>
      </c>
      <c r="AA151" s="46">
        <f t="shared" si="71"/>
        <v>0</v>
      </c>
      <c r="AB151" s="46">
        <f t="shared" si="71"/>
        <v>0</v>
      </c>
      <c r="AC151" s="46">
        <f t="shared" si="71"/>
        <v>0</v>
      </c>
      <c r="AD151" s="46">
        <f t="shared" si="71"/>
        <v>0</v>
      </c>
      <c r="AE151" s="46">
        <f t="shared" si="71"/>
        <v>0</v>
      </c>
      <c r="AF151" s="46">
        <f t="shared" si="71"/>
        <v>0</v>
      </c>
      <c r="AG151" s="46">
        <f t="shared" si="71"/>
        <v>0</v>
      </c>
      <c r="AH151" s="46">
        <f t="shared" si="71"/>
        <v>0</v>
      </c>
      <c r="AI151" s="46">
        <f t="shared" si="71"/>
        <v>0</v>
      </c>
      <c r="AJ151" s="46">
        <f t="shared" si="71"/>
        <v>0</v>
      </c>
      <c r="AK151" s="46">
        <f t="shared" si="71"/>
        <v>0</v>
      </c>
      <c r="AL151" s="46">
        <f t="shared" si="71"/>
        <v>0</v>
      </c>
      <c r="AM151" s="46">
        <f t="shared" si="71"/>
        <v>0</v>
      </c>
      <c r="AN151" s="46">
        <f t="shared" si="71"/>
        <v>0</v>
      </c>
      <c r="AO151" s="46">
        <f t="shared" si="71"/>
        <v>0</v>
      </c>
      <c r="AP151" s="46">
        <f t="shared" si="71"/>
        <v>0</v>
      </c>
      <c r="AQ151" s="46">
        <f t="shared" si="71"/>
        <v>0</v>
      </c>
      <c r="AR151" s="46">
        <f t="shared" si="71"/>
        <v>0</v>
      </c>
      <c r="AS151" s="46">
        <f t="shared" si="71"/>
        <v>0</v>
      </c>
      <c r="AT151" s="46">
        <f t="shared" si="71"/>
        <v>0</v>
      </c>
      <c r="AU151" s="46">
        <f t="shared" si="71"/>
        <v>0</v>
      </c>
      <c r="AV151" s="46">
        <f t="shared" si="71"/>
        <v>0</v>
      </c>
      <c r="AW151" s="46">
        <f t="shared" si="71"/>
        <v>0</v>
      </c>
      <c r="AX151" s="46">
        <f t="shared" si="71"/>
        <v>0</v>
      </c>
      <c r="AY151" s="46">
        <f t="shared" si="71"/>
        <v>0</v>
      </c>
      <c r="AZ151" s="46">
        <f t="shared" si="71"/>
        <v>0</v>
      </c>
      <c r="BA151" s="46">
        <f t="shared" si="71"/>
        <v>0</v>
      </c>
      <c r="BB151" s="46">
        <f t="shared" si="71"/>
        <v>0</v>
      </c>
      <c r="BC151" s="46">
        <f t="shared" si="71"/>
        <v>0</v>
      </c>
      <c r="BD151" s="46">
        <f t="shared" si="71"/>
        <v>0</v>
      </c>
      <c r="BE151" s="46">
        <f t="shared" si="71"/>
        <v>0</v>
      </c>
      <c r="BF151" s="46">
        <f t="shared" si="71"/>
        <v>0</v>
      </c>
      <c r="BG151" s="46">
        <f t="shared" si="71"/>
        <v>0</v>
      </c>
      <c r="BH151" s="46">
        <f t="shared" si="71"/>
        <v>0</v>
      </c>
      <c r="BI151" s="46">
        <f t="shared" si="71"/>
        <v>0</v>
      </c>
      <c r="BJ151" s="46">
        <f t="shared" si="71"/>
        <v>0</v>
      </c>
      <c r="BK151" s="46">
        <f t="shared" si="71"/>
        <v>0</v>
      </c>
      <c r="BL151" s="46">
        <f t="shared" si="71"/>
        <v>0</v>
      </c>
      <c r="BM151" s="46">
        <f t="shared" si="71"/>
        <v>0</v>
      </c>
      <c r="BN151" s="46">
        <f t="shared" si="71"/>
        <v>0</v>
      </c>
      <c r="BO151" s="46">
        <f t="shared" ca="1" si="71"/>
        <v>40991.003802991341</v>
      </c>
    </row>
    <row r="152" spans="1:67" ht="16.5" customHeight="1" collapsed="1">
      <c r="A152" s="1"/>
      <c r="B152" s="16" t="s">
        <v>173</v>
      </c>
      <c r="C152" s="17" t="s">
        <v>104</v>
      </c>
      <c r="D152" s="16" t="s">
        <v>174</v>
      </c>
      <c r="E152" s="16"/>
      <c r="F152" s="16"/>
      <c r="G152" s="16"/>
      <c r="H152" s="16" t="s">
        <v>155</v>
      </c>
      <c r="I152" s="46">
        <f>IF(H152=Forecast!$H$195,T152,IF(H152=Forecast!$H$196,BO152,IF(H152=Forecast!$H$197,SUM(T152:BO152),IF(H152=Forecast!$H$198,AVERAGE(T152:BO152),0))))</f>
        <v>1404054.1066085759</v>
      </c>
      <c r="J152" s="16"/>
      <c r="K152" s="16"/>
      <c r="L152" s="16"/>
      <c r="M152" s="16"/>
      <c r="N152" s="16"/>
      <c r="O152" s="16"/>
      <c r="P152" s="16"/>
      <c r="Q152" s="16"/>
      <c r="R152" s="16"/>
      <c r="S152" s="16"/>
      <c r="T152" s="46">
        <f t="shared" ref="T152:BO152" si="72">T52</f>
        <v>550</v>
      </c>
      <c r="U152" s="46">
        <f t="shared" si="72"/>
        <v>970.75000000000011</v>
      </c>
      <c r="V152" s="46">
        <f t="shared" si="72"/>
        <v>1601.9801875000003</v>
      </c>
      <c r="W152" s="46">
        <f t="shared" si="72"/>
        <v>2487.4146618835939</v>
      </c>
      <c r="X152" s="46">
        <f t="shared" si="72"/>
        <v>3656.0160617439792</v>
      </c>
      <c r="Y152" s="46">
        <f t="shared" si="72"/>
        <v>5115.9904360069968</v>
      </c>
      <c r="Z152" s="46">
        <f t="shared" si="72"/>
        <v>6852.5344194009513</v>
      </c>
      <c r="AA152" s="46">
        <f t="shared" si="72"/>
        <v>8829.6233977676929</v>
      </c>
      <c r="AB152" s="46">
        <f t="shared" si="72"/>
        <v>10995.01324176711</v>
      </c>
      <c r="AC152" s="46">
        <f t="shared" si="72"/>
        <v>13286.981494028441</v>
      </c>
      <c r="AD152" s="46">
        <f t="shared" si="72"/>
        <v>15641.26140443919</v>
      </c>
      <c r="AE152" s="46">
        <f t="shared" si="72"/>
        <v>17996.974881373611</v>
      </c>
      <c r="AF152" s="46">
        <f t="shared" si="72"/>
        <v>20300.904078609532</v>
      </c>
      <c r="AG152" s="46">
        <f t="shared" si="72"/>
        <v>22509.945823319176</v>
      </c>
      <c r="AH152" s="46">
        <f t="shared" si="72"/>
        <v>24591.951547397737</v>
      </c>
      <c r="AI152" s="46">
        <f t="shared" si="72"/>
        <v>26525.341198636608</v>
      </c>
      <c r="AJ152" s="46">
        <f t="shared" si="72"/>
        <v>28297.923055739495</v>
      </c>
      <c r="AK152" s="46">
        <f t="shared" si="72"/>
        <v>29905.303972451104</v>
      </c>
      <c r="AL152" s="46">
        <f t="shared" si="72"/>
        <v>31349.18494549036</v>
      </c>
      <c r="AM152" s="46">
        <f t="shared" si="72"/>
        <v>32635.739930822161</v>
      </c>
      <c r="AN152" s="46">
        <f t="shared" si="72"/>
        <v>33774.191309505499</v>
      </c>
      <c r="AO152" s="46">
        <f t="shared" si="72"/>
        <v>34775.631250210557</v>
      </c>
      <c r="AP152" s="46">
        <f t="shared" si="72"/>
        <v>35652.094876277653</v>
      </c>
      <c r="AQ152" s="46">
        <f t="shared" si="72"/>
        <v>36415.865331175359</v>
      </c>
      <c r="AR152" s="46">
        <f t="shared" si="72"/>
        <v>37078.978054483887</v>
      </c>
      <c r="AS152" s="46">
        <f t="shared" si="72"/>
        <v>37652.887547169572</v>
      </c>
      <c r="AT152" s="46">
        <f t="shared" si="72"/>
        <v>38148.261155493004</v>
      </c>
      <c r="AU152" s="46">
        <f t="shared" si="72"/>
        <v>38574.868424132335</v>
      </c>
      <c r="AV152" s="46">
        <f t="shared" si="72"/>
        <v>38941.539694181709</v>
      </c>
      <c r="AW152" s="46">
        <f t="shared" si="72"/>
        <v>39256.172841112915</v>
      </c>
      <c r="AX152" s="46">
        <f t="shared" si="72"/>
        <v>39525.77181691875</v>
      </c>
      <c r="AY152" s="46">
        <f t="shared" si="72"/>
        <v>39756.504738756812</v>
      </c>
      <c r="AZ152" s="46">
        <f t="shared" si="72"/>
        <v>39953.772596333176</v>
      </c>
      <c r="BA152" s="46">
        <f t="shared" si="72"/>
        <v>40122.282275387413</v>
      </c>
      <c r="BB152" s="46">
        <f t="shared" si="72"/>
        <v>40266.119605364707</v>
      </c>
      <c r="BC152" s="46">
        <f t="shared" si="72"/>
        <v>40388.819640943562</v>
      </c>
      <c r="BD152" s="46">
        <f t="shared" si="72"/>
        <v>40493.43248189213</v>
      </c>
      <c r="BE152" s="46">
        <f t="shared" si="72"/>
        <v>40582.583714632943</v>
      </c>
      <c r="BF152" s="46">
        <f t="shared" si="72"/>
        <v>40658.5290981824</v>
      </c>
      <c r="BG152" s="46">
        <f t="shared" si="72"/>
        <v>40723.203478387877</v>
      </c>
      <c r="BH152" s="46">
        <f t="shared" si="72"/>
        <v>40778.264145924521</v>
      </c>
      <c r="BI152" s="46">
        <f t="shared" si="72"/>
        <v>40825.128992378559</v>
      </c>
      <c r="BJ152" s="46">
        <f t="shared" si="72"/>
        <v>40865.009892792084</v>
      </c>
      <c r="BK152" s="46">
        <f t="shared" si="72"/>
        <v>40898.941772877537</v>
      </c>
      <c r="BL152" s="46">
        <f t="shared" si="72"/>
        <v>40927.807819717484</v>
      </c>
      <c r="BM152" s="46">
        <f t="shared" si="72"/>
        <v>40952.361276883195</v>
      </c>
      <c r="BN152" s="46">
        <f t="shared" si="72"/>
        <v>40973.244236091385</v>
      </c>
      <c r="BO152" s="46">
        <f t="shared" si="72"/>
        <v>40991.003802991341</v>
      </c>
    </row>
    <row r="153" spans="1:67" ht="16.5" customHeight="1">
      <c r="A153" s="1"/>
      <c r="B153" s="16" t="s">
        <v>175</v>
      </c>
      <c r="C153" s="17" t="s">
        <v>104</v>
      </c>
      <c r="D153" s="16" t="s">
        <v>176</v>
      </c>
      <c r="E153" s="16"/>
      <c r="F153" s="16"/>
      <c r="G153" s="16"/>
      <c r="H153" s="16" t="s">
        <v>155</v>
      </c>
      <c r="I153" s="46">
        <f ca="1">IF(H153=Forecast!$H$195,T153,IF(H153=Forecast!$H$196,BO153,IF(H153=Forecast!$H$197,SUM(T153:BO153),IF(H153=Forecast!$H$198,AVERAGE(T153:BO153),0))))</f>
        <v>1174617.942896425</v>
      </c>
      <c r="J153" s="16"/>
      <c r="K153" s="16"/>
      <c r="L153" s="16"/>
      <c r="M153" s="16"/>
      <c r="N153" s="16"/>
      <c r="O153" s="16"/>
      <c r="P153" s="16"/>
      <c r="Q153" s="16"/>
      <c r="R153" s="16"/>
      <c r="S153" s="16"/>
      <c r="T153" s="46">
        <f t="shared" ref="T153:BO153" ca="1" si="73">T54-T152</f>
        <v>6960.723954767851</v>
      </c>
      <c r="U153" s="46">
        <f t="shared" ca="1" si="73"/>
        <v>1660.9411608882929</v>
      </c>
      <c r="V153" s="46">
        <f t="shared" ca="1" si="73"/>
        <v>1749.4996988508419</v>
      </c>
      <c r="W153" s="46">
        <f t="shared" ca="1" si="73"/>
        <v>1063.9470514219392</v>
      </c>
      <c r="X153" s="46">
        <f t="shared" ca="1" si="73"/>
        <v>1315.845580444146</v>
      </c>
      <c r="Y153" s="46">
        <f t="shared" ca="1" si="73"/>
        <v>1675.7399431754211</v>
      </c>
      <c r="Z153" s="46">
        <f t="shared" ca="1" si="73"/>
        <v>1775.6808566527661</v>
      </c>
      <c r="AA153" s="46">
        <f t="shared" ca="1" si="73"/>
        <v>2485.9308210940617</v>
      </c>
      <c r="AB153" s="46">
        <f t="shared" ca="1" si="73"/>
        <v>3395.8651895912099</v>
      </c>
      <c r="AC153" s="46">
        <f t="shared" ca="1" si="73"/>
        <v>4314.1076380268569</v>
      </c>
      <c r="AD153" s="46">
        <f t="shared" ca="1" si="73"/>
        <v>5657.7771094308755</v>
      </c>
      <c r="AE153" s="46">
        <f t="shared" ca="1" si="73"/>
        <v>7195.2966429133703</v>
      </c>
      <c r="AF153" s="46">
        <f t="shared" ca="1" si="73"/>
        <v>8800.3944894320812</v>
      </c>
      <c r="AG153" s="46">
        <f t="shared" ca="1" si="73"/>
        <v>10649.361281571277</v>
      </c>
      <c r="AH153" s="46">
        <f t="shared" ca="1" si="73"/>
        <v>12595.969472286903</v>
      </c>
      <c r="AI153" s="46">
        <f t="shared" ca="1" si="73"/>
        <v>14550.474242066502</v>
      </c>
      <c r="AJ153" s="46">
        <f t="shared" ca="1" si="73"/>
        <v>16579.469297756488</v>
      </c>
      <c r="AK153" s="46">
        <f t="shared" ca="1" si="73"/>
        <v>18593.766557538387</v>
      </c>
      <c r="AL153" s="46">
        <f t="shared" ca="1" si="73"/>
        <v>20537.703560031627</v>
      </c>
      <c r="AM153" s="46">
        <f t="shared" ca="1" si="73"/>
        <v>22438.481271148066</v>
      </c>
      <c r="AN153" s="46">
        <f t="shared" ca="1" si="73"/>
        <v>24249.30904857377</v>
      </c>
      <c r="AO153" s="46">
        <f t="shared" ca="1" si="73"/>
        <v>25943.206130212595</v>
      </c>
      <c r="AP153" s="46">
        <f t="shared" ca="1" si="73"/>
        <v>27536.859945671014</v>
      </c>
      <c r="AQ153" s="46">
        <f t="shared" ca="1" si="73"/>
        <v>29011.48633134058</v>
      </c>
      <c r="AR153" s="46">
        <f t="shared" ca="1" si="73"/>
        <v>30359.140955791518</v>
      </c>
      <c r="AS153" s="46">
        <f t="shared" ca="1" si="73"/>
        <v>31594.185058953219</v>
      </c>
      <c r="AT153" s="46">
        <f t="shared" ca="1" si="73"/>
        <v>32713.36809228838</v>
      </c>
      <c r="AU153" s="46">
        <f t="shared" ca="1" si="73"/>
        <v>33718.735569380238</v>
      </c>
      <c r="AV153" s="46">
        <f t="shared" ca="1" si="73"/>
        <v>34623.195318053527</v>
      </c>
      <c r="AW153" s="46">
        <f t="shared" ca="1" si="73"/>
        <v>35430.455692303469</v>
      </c>
      <c r="AX153" s="46">
        <f t="shared" ca="1" si="73"/>
        <v>36146.424174032894</v>
      </c>
      <c r="AY153" s="46">
        <f t="shared" ca="1" si="73"/>
        <v>36781.969797987746</v>
      </c>
      <c r="AZ153" s="46">
        <f t="shared" ca="1" si="73"/>
        <v>37342.895626571466</v>
      </c>
      <c r="BA153" s="46">
        <f t="shared" ca="1" si="73"/>
        <v>37835.657321647705</v>
      </c>
      <c r="BB153" s="46">
        <f t="shared" ca="1" si="73"/>
        <v>38268.773401184772</v>
      </c>
      <c r="BC153" s="46">
        <f t="shared" ca="1" si="73"/>
        <v>38647.845830202321</v>
      </c>
      <c r="BD153" s="46">
        <f t="shared" ca="1" si="73"/>
        <v>38978.969798517559</v>
      </c>
      <c r="BE153" s="46">
        <f t="shared" ca="1" si="73"/>
        <v>39267.446503274739</v>
      </c>
      <c r="BF153" s="46">
        <f t="shared" ca="1" si="73"/>
        <v>39518.332735572934</v>
      </c>
      <c r="BG153" s="46">
        <f t="shared" ca="1" si="73"/>
        <v>39736.201140204852</v>
      </c>
      <c r="BH153" s="46">
        <f t="shared" ca="1" si="73"/>
        <v>39925.015108953841</v>
      </c>
      <c r="BI153" s="46">
        <f t="shared" ca="1" si="73"/>
        <v>40088.430916877674</v>
      </c>
      <c r="BJ153" s="46">
        <f t="shared" ca="1" si="73"/>
        <v>40229.702309296357</v>
      </c>
      <c r="BK153" s="46">
        <f t="shared" ca="1" si="73"/>
        <v>40351.639627439181</v>
      </c>
      <c r="BL153" s="46">
        <f t="shared" ca="1" si="73"/>
        <v>40456.779954628109</v>
      </c>
      <c r="BM153" s="46">
        <f t="shared" ca="1" si="73"/>
        <v>40547.356101044221</v>
      </c>
      <c r="BN153" s="46">
        <f t="shared" ca="1" si="73"/>
        <v>40625.290700158366</v>
      </c>
      <c r="BO153" s="46">
        <f t="shared" ca="1" si="73"/>
        <v>40692.293887172797</v>
      </c>
    </row>
    <row r="154" spans="1:67" ht="16.5" customHeight="1">
      <c r="A154" s="1"/>
      <c r="B154" s="16" t="s">
        <v>177</v>
      </c>
      <c r="C154" s="17" t="s">
        <v>104</v>
      </c>
      <c r="D154" s="16" t="s">
        <v>178</v>
      </c>
      <c r="E154" s="16"/>
      <c r="F154" s="16"/>
      <c r="G154" s="16"/>
      <c r="H154" s="16" t="s">
        <v>155</v>
      </c>
      <c r="I154" s="46">
        <f>IF(H154=Forecast!$H$195,T154,IF(H154=Forecast!$H$196,BO154,IF(H154=Forecast!$H$197,SUM(T154:BO154),IF(H154=Forecast!$H$198,AVERAGE(T154:BO154),0))))</f>
        <v>26001955.511779405</v>
      </c>
      <c r="J154" s="16"/>
      <c r="K154" s="16"/>
      <c r="L154" s="16"/>
      <c r="M154" s="16"/>
      <c r="N154" s="16"/>
      <c r="O154" s="16"/>
      <c r="P154" s="16"/>
      <c r="Q154" s="16"/>
      <c r="R154" s="16"/>
      <c r="S154" s="16"/>
      <c r="T154" s="46">
        <f t="shared" ref="T154:BO154" si="74">S154+T152</f>
        <v>550</v>
      </c>
      <c r="U154" s="46">
        <f t="shared" si="74"/>
        <v>1520.75</v>
      </c>
      <c r="V154" s="46">
        <f t="shared" si="74"/>
        <v>3122.7301875000003</v>
      </c>
      <c r="W154" s="46">
        <f t="shared" si="74"/>
        <v>5610.1448493835942</v>
      </c>
      <c r="X154" s="46">
        <f t="shared" si="74"/>
        <v>9266.1609111275739</v>
      </c>
      <c r="Y154" s="46">
        <f t="shared" si="74"/>
        <v>14382.151347134572</v>
      </c>
      <c r="Z154" s="46">
        <f t="shared" si="74"/>
        <v>21234.685766535524</v>
      </c>
      <c r="AA154" s="46">
        <f t="shared" si="74"/>
        <v>30064.309164303217</v>
      </c>
      <c r="AB154" s="46">
        <f t="shared" si="74"/>
        <v>41059.322406070329</v>
      </c>
      <c r="AC154" s="46">
        <f t="shared" si="74"/>
        <v>54346.30390009877</v>
      </c>
      <c r="AD154" s="46">
        <f t="shared" si="74"/>
        <v>69987.565304537959</v>
      </c>
      <c r="AE154" s="46">
        <f t="shared" si="74"/>
        <v>87984.540185911566</v>
      </c>
      <c r="AF154" s="46">
        <f t="shared" si="74"/>
        <v>108285.44426452109</v>
      </c>
      <c r="AG154" s="46">
        <f t="shared" si="74"/>
        <v>130795.39008784026</v>
      </c>
      <c r="AH154" s="46">
        <f t="shared" si="74"/>
        <v>155387.341635238</v>
      </c>
      <c r="AI154" s="46">
        <f t="shared" si="74"/>
        <v>181912.6828338746</v>
      </c>
      <c r="AJ154" s="46">
        <f t="shared" si="74"/>
        <v>210210.60588961409</v>
      </c>
      <c r="AK154" s="46">
        <f t="shared" si="74"/>
        <v>240115.90986206519</v>
      </c>
      <c r="AL154" s="46">
        <f t="shared" si="74"/>
        <v>271465.09480755555</v>
      </c>
      <c r="AM154" s="46">
        <f t="shared" si="74"/>
        <v>304100.83473837771</v>
      </c>
      <c r="AN154" s="46">
        <f t="shared" si="74"/>
        <v>337875.02604788321</v>
      </c>
      <c r="AO154" s="46">
        <f t="shared" si="74"/>
        <v>372650.65729809378</v>
      </c>
      <c r="AP154" s="46">
        <f t="shared" si="74"/>
        <v>408302.75217437145</v>
      </c>
      <c r="AQ154" s="46">
        <f t="shared" si="74"/>
        <v>444718.61750554678</v>
      </c>
      <c r="AR154" s="46">
        <f t="shared" si="74"/>
        <v>481797.59556003066</v>
      </c>
      <c r="AS154" s="46">
        <f t="shared" si="74"/>
        <v>519450.48310720024</v>
      </c>
      <c r="AT154" s="46">
        <f t="shared" si="74"/>
        <v>557598.74426269322</v>
      </c>
      <c r="AU154" s="46">
        <f t="shared" si="74"/>
        <v>596173.61268682557</v>
      </c>
      <c r="AV154" s="46">
        <f t="shared" si="74"/>
        <v>635115.15238100733</v>
      </c>
      <c r="AW154" s="46">
        <f t="shared" si="74"/>
        <v>674371.32522212027</v>
      </c>
      <c r="AX154" s="46">
        <f t="shared" si="74"/>
        <v>713897.09703903901</v>
      </c>
      <c r="AY154" s="46">
        <f t="shared" si="74"/>
        <v>753653.60177779582</v>
      </c>
      <c r="AZ154" s="46">
        <f t="shared" si="74"/>
        <v>793607.37437412899</v>
      </c>
      <c r="BA154" s="46">
        <f t="shared" si="74"/>
        <v>833729.65664951643</v>
      </c>
      <c r="BB154" s="46">
        <f t="shared" si="74"/>
        <v>873995.77625488117</v>
      </c>
      <c r="BC154" s="46">
        <f t="shared" si="74"/>
        <v>914384.59589582472</v>
      </c>
      <c r="BD154" s="46">
        <f t="shared" si="74"/>
        <v>954878.0283777169</v>
      </c>
      <c r="BE154" s="46">
        <f t="shared" si="74"/>
        <v>995460.61209234979</v>
      </c>
      <c r="BF154" s="46">
        <f t="shared" si="74"/>
        <v>1036119.1411905322</v>
      </c>
      <c r="BG154" s="46">
        <f t="shared" si="74"/>
        <v>1076842.3446689202</v>
      </c>
      <c r="BH154" s="46">
        <f t="shared" si="74"/>
        <v>1117620.6088148446</v>
      </c>
      <c r="BI154" s="46">
        <f t="shared" si="74"/>
        <v>1158445.7378072231</v>
      </c>
      <c r="BJ154" s="46">
        <f t="shared" si="74"/>
        <v>1199310.7477000151</v>
      </c>
      <c r="BK154" s="46">
        <f t="shared" si="74"/>
        <v>1240209.6894728926</v>
      </c>
      <c r="BL154" s="46">
        <f t="shared" si="74"/>
        <v>1281137.4972926101</v>
      </c>
      <c r="BM154" s="46">
        <f t="shared" si="74"/>
        <v>1322089.8585694933</v>
      </c>
      <c r="BN154" s="46">
        <f t="shared" si="74"/>
        <v>1363063.1028055847</v>
      </c>
      <c r="BO154" s="46">
        <f t="shared" si="74"/>
        <v>1404054.1066085759</v>
      </c>
    </row>
    <row r="155" spans="1:67" ht="16.5" customHeight="1">
      <c r="A155" s="1"/>
      <c r="B155" s="16" t="s">
        <v>179</v>
      </c>
      <c r="C155" s="17" t="s">
        <v>104</v>
      </c>
      <c r="D155" s="16" t="s">
        <v>180</v>
      </c>
      <c r="E155" s="16"/>
      <c r="F155" s="16"/>
      <c r="G155" s="16"/>
      <c r="H155" s="16" t="s">
        <v>155</v>
      </c>
      <c r="I155" s="46">
        <f ca="1">IF(H155=Forecast!$H$195,T155,IF(H155=Forecast!$H$196,BO155,IF(H155=Forecast!$H$197,SUM(T155:BO155),IF(H155=Forecast!$H$198,AVERAGE(T155:BO155),0))))</f>
        <v>19253672.903930601</v>
      </c>
      <c r="J155" s="16"/>
      <c r="K155" s="16"/>
      <c r="L155" s="16"/>
      <c r="M155" s="16"/>
      <c r="N155" s="16"/>
      <c r="O155" s="16"/>
      <c r="P155" s="16"/>
      <c r="Q155" s="16"/>
      <c r="R155" s="16"/>
      <c r="S155" s="16"/>
      <c r="T155" s="46">
        <f t="shared" ref="T155:BO155" ca="1" si="75">S155+T153</f>
        <v>6960.723954767851</v>
      </c>
      <c r="U155" s="46">
        <f t="shared" ca="1" si="75"/>
        <v>8621.6651156561438</v>
      </c>
      <c r="V155" s="46">
        <f t="shared" ca="1" si="75"/>
        <v>10371.164814506985</v>
      </c>
      <c r="W155" s="46">
        <f t="shared" ca="1" si="75"/>
        <v>11435.111865928924</v>
      </c>
      <c r="X155" s="46">
        <f t="shared" ca="1" si="75"/>
        <v>12750.95744637307</v>
      </c>
      <c r="Y155" s="46">
        <f t="shared" ca="1" si="75"/>
        <v>14426.697389548492</v>
      </c>
      <c r="Z155" s="46">
        <f t="shared" ca="1" si="75"/>
        <v>16202.378246201257</v>
      </c>
      <c r="AA155" s="46">
        <f t="shared" ca="1" si="75"/>
        <v>18688.309067295319</v>
      </c>
      <c r="AB155" s="46">
        <f t="shared" ca="1" si="75"/>
        <v>22084.17425688653</v>
      </c>
      <c r="AC155" s="46">
        <f t="shared" ca="1" si="75"/>
        <v>26398.281894913387</v>
      </c>
      <c r="AD155" s="46">
        <f t="shared" ca="1" si="75"/>
        <v>32056.059004344264</v>
      </c>
      <c r="AE155" s="46">
        <f t="shared" ca="1" si="75"/>
        <v>39251.355647257631</v>
      </c>
      <c r="AF155" s="46">
        <f t="shared" ca="1" si="75"/>
        <v>48051.750136689712</v>
      </c>
      <c r="AG155" s="46">
        <f t="shared" ca="1" si="75"/>
        <v>58701.111418260989</v>
      </c>
      <c r="AH155" s="46">
        <f t="shared" ca="1" si="75"/>
        <v>71297.080890547892</v>
      </c>
      <c r="AI155" s="46">
        <f t="shared" ca="1" si="75"/>
        <v>85847.55513261439</v>
      </c>
      <c r="AJ155" s="46">
        <f t="shared" ca="1" si="75"/>
        <v>102427.02443037088</v>
      </c>
      <c r="AK155" s="46">
        <f t="shared" ca="1" si="75"/>
        <v>121020.79098790926</v>
      </c>
      <c r="AL155" s="46">
        <f t="shared" ca="1" si="75"/>
        <v>141558.49454794088</v>
      </c>
      <c r="AM155" s="46">
        <f t="shared" ca="1" si="75"/>
        <v>163996.97581908896</v>
      </c>
      <c r="AN155" s="46">
        <f t="shared" ca="1" si="75"/>
        <v>188246.28486766273</v>
      </c>
      <c r="AO155" s="46">
        <f t="shared" ca="1" si="75"/>
        <v>214189.49099787534</v>
      </c>
      <c r="AP155" s="46">
        <f t="shared" ca="1" si="75"/>
        <v>241726.35094354636</v>
      </c>
      <c r="AQ155" s="46">
        <f t="shared" ca="1" si="75"/>
        <v>270737.83727488696</v>
      </c>
      <c r="AR155" s="46">
        <f t="shared" ca="1" si="75"/>
        <v>301096.97823067848</v>
      </c>
      <c r="AS155" s="46">
        <f t="shared" ca="1" si="75"/>
        <v>332691.16328963172</v>
      </c>
      <c r="AT155" s="46">
        <f t="shared" ca="1" si="75"/>
        <v>365404.5313819201</v>
      </c>
      <c r="AU155" s="46">
        <f t="shared" ca="1" si="75"/>
        <v>399123.26695130032</v>
      </c>
      <c r="AV155" s="46">
        <f t="shared" ca="1" si="75"/>
        <v>433746.46226935385</v>
      </c>
      <c r="AW155" s="46">
        <f t="shared" ca="1" si="75"/>
        <v>469176.91796165734</v>
      </c>
      <c r="AX155" s="46">
        <f t="shared" ca="1" si="75"/>
        <v>505323.34213569021</v>
      </c>
      <c r="AY155" s="46">
        <f t="shared" ca="1" si="75"/>
        <v>542105.31193367799</v>
      </c>
      <c r="AZ155" s="46">
        <f t="shared" ca="1" si="75"/>
        <v>579448.20756024949</v>
      </c>
      <c r="BA155" s="46">
        <f t="shared" ca="1" si="75"/>
        <v>617283.86488189723</v>
      </c>
      <c r="BB155" s="46">
        <f t="shared" ca="1" si="75"/>
        <v>655552.63828308205</v>
      </c>
      <c r="BC155" s="46">
        <f t="shared" ca="1" si="75"/>
        <v>694200.48411328439</v>
      </c>
      <c r="BD155" s="46">
        <f t="shared" ca="1" si="75"/>
        <v>733179.45391180192</v>
      </c>
      <c r="BE155" s="46">
        <f t="shared" ca="1" si="75"/>
        <v>772446.90041507664</v>
      </c>
      <c r="BF155" s="46">
        <f t="shared" ca="1" si="75"/>
        <v>811965.23315064958</v>
      </c>
      <c r="BG155" s="46">
        <f t="shared" ca="1" si="75"/>
        <v>851701.43429085449</v>
      </c>
      <c r="BH155" s="46">
        <f t="shared" ca="1" si="75"/>
        <v>891626.44939980831</v>
      </c>
      <c r="BI155" s="46">
        <f t="shared" ca="1" si="75"/>
        <v>931714.880316686</v>
      </c>
      <c r="BJ155" s="46">
        <f t="shared" ca="1" si="75"/>
        <v>971944.58262598235</v>
      </c>
      <c r="BK155" s="46">
        <f t="shared" ca="1" si="75"/>
        <v>1012296.2222534216</v>
      </c>
      <c r="BL155" s="46">
        <f t="shared" ca="1" si="75"/>
        <v>1052753.0022080496</v>
      </c>
      <c r="BM155" s="46">
        <f t="shared" ca="1" si="75"/>
        <v>1093300.3583090939</v>
      </c>
      <c r="BN155" s="46">
        <f t="shared" ca="1" si="75"/>
        <v>1133925.6490092522</v>
      </c>
      <c r="BO155" s="46">
        <f t="shared" ca="1" si="75"/>
        <v>1174617.942896425</v>
      </c>
    </row>
    <row r="156" spans="1:67" ht="16.5" customHeight="1">
      <c r="A156" s="1"/>
      <c r="B156" s="16" t="s">
        <v>181</v>
      </c>
      <c r="C156" s="17" t="s">
        <v>85</v>
      </c>
      <c r="D156" s="16" t="s">
        <v>182</v>
      </c>
      <c r="E156" s="16"/>
      <c r="F156" s="16"/>
      <c r="G156" s="16"/>
      <c r="H156" s="16" t="s">
        <v>143</v>
      </c>
      <c r="I156" s="48">
        <f ca="1">IF(H156=Forecast!$H$195,T156,IF(H156=Forecast!$H$196,BO156,IF(H156=Forecast!$H$197,SUM(T156:BO156),IF(H156=Forecast!$H$198,AVERAGE(T156:BO156),0))))</f>
        <v>0.57144395313408036</v>
      </c>
      <c r="J156" s="16"/>
      <c r="K156" s="16"/>
      <c r="L156" s="16"/>
      <c r="M156" s="16"/>
      <c r="N156" s="16"/>
      <c r="O156" s="16"/>
      <c r="P156" s="16"/>
      <c r="Q156" s="16"/>
      <c r="R156" s="16"/>
      <c r="S156" s="16"/>
      <c r="T156" s="48">
        <f t="shared" ref="T156:BO156" ca="1" si="76">IFERROR(T152/T54,0)</f>
        <v>7.3228626602746705E-2</v>
      </c>
      <c r="U156" s="48">
        <f t="shared" ca="1" si="76"/>
        <v>0.36886927099467709</v>
      </c>
      <c r="V156" s="48">
        <f t="shared" ca="1" si="76"/>
        <v>0.47799188472656123</v>
      </c>
      <c r="W156" s="48">
        <f t="shared" ca="1" si="76"/>
        <v>0.70041152174509436</v>
      </c>
      <c r="X156" s="48">
        <f t="shared" ca="1" si="76"/>
        <v>0.73534147264302396</v>
      </c>
      <c r="Y156" s="48">
        <f t="shared" ca="1" si="76"/>
        <v>0.75326759903311336</v>
      </c>
      <c r="Z156" s="48">
        <f t="shared" ca="1" si="76"/>
        <v>0.7942006776788596</v>
      </c>
      <c r="AA156" s="48">
        <f t="shared" ca="1" si="76"/>
        <v>0.78030852285164298</v>
      </c>
      <c r="AB156" s="48">
        <f t="shared" ca="1" si="76"/>
        <v>0.76402655294540744</v>
      </c>
      <c r="AC156" s="48">
        <f t="shared" ca="1" si="76"/>
        <v>0.75489541552460204</v>
      </c>
      <c r="AD156" s="48">
        <f t="shared" ca="1" si="76"/>
        <v>0.73436467069879718</v>
      </c>
      <c r="AE156" s="48">
        <f t="shared" ca="1" si="76"/>
        <v>0.71438476137506546</v>
      </c>
      <c r="AF156" s="48">
        <f t="shared" ca="1" si="76"/>
        <v>0.69759444002624427</v>
      </c>
      <c r="AG156" s="48">
        <f t="shared" ca="1" si="76"/>
        <v>0.67884246652425762</v>
      </c>
      <c r="AH156" s="48">
        <f t="shared" ca="1" si="76"/>
        <v>0.66128868925962569</v>
      </c>
      <c r="AI156" s="48">
        <f t="shared" ca="1" si="76"/>
        <v>0.64576541972559232</v>
      </c>
      <c r="AJ156" s="48">
        <f t="shared" ca="1" si="76"/>
        <v>0.63056076950369122</v>
      </c>
      <c r="AK156" s="48">
        <f t="shared" ca="1" si="76"/>
        <v>0.61661602265055993</v>
      </c>
      <c r="AL156" s="48">
        <f t="shared" ca="1" si="76"/>
        <v>0.60418317321444448</v>
      </c>
      <c r="AM156" s="48">
        <f t="shared" ca="1" si="76"/>
        <v>0.59257742040761985</v>
      </c>
      <c r="AN156" s="48">
        <f t="shared" ca="1" si="76"/>
        <v>0.58207779780736268</v>
      </c>
      <c r="AO156" s="48">
        <f t="shared" ca="1" si="76"/>
        <v>0.57273216600525434</v>
      </c>
      <c r="AP156" s="48">
        <f t="shared" ca="1" si="76"/>
        <v>0.56421403039086049</v>
      </c>
      <c r="AQ156" s="48">
        <f t="shared" ca="1" si="76"/>
        <v>0.55658473720614332</v>
      </c>
      <c r="AR156" s="48">
        <f t="shared" ca="1" si="76"/>
        <v>0.54982224591457307</v>
      </c>
      <c r="AS156" s="48">
        <f t="shared" ca="1" si="76"/>
        <v>0.5437469936287288</v>
      </c>
      <c r="AT156" s="48">
        <f t="shared" ca="1" si="76"/>
        <v>0.53834863183995152</v>
      </c>
      <c r="AU156" s="48">
        <f t="shared" ca="1" si="76"/>
        <v>0.53358618595905016</v>
      </c>
      <c r="AV156" s="48">
        <f t="shared" ca="1" si="76"/>
        <v>0.52935064182185909</v>
      </c>
      <c r="AW156" s="48">
        <f t="shared" ca="1" si="76"/>
        <v>0.52561179439970129</v>
      </c>
      <c r="AX156" s="48">
        <f t="shared" ca="1" si="76"/>
        <v>0.52232885935601725</v>
      </c>
      <c r="AY156" s="48">
        <f t="shared" ca="1" si="76"/>
        <v>0.51943163199144404</v>
      </c>
      <c r="AZ156" s="48">
        <f t="shared" ca="1" si="76"/>
        <v>0.51688867728575683</v>
      </c>
      <c r="BA156" s="48">
        <f t="shared" ca="1" si="76"/>
        <v>0.51466576057268365</v>
      </c>
      <c r="BB156" s="48">
        <f t="shared" ca="1" si="76"/>
        <v>0.51271629799007534</v>
      </c>
      <c r="BC156" s="48">
        <f t="shared" ca="1" si="76"/>
        <v>0.51101370990516304</v>
      </c>
      <c r="BD156" s="48">
        <f t="shared" ca="1" si="76"/>
        <v>0.50952823017750837</v>
      </c>
      <c r="BE156" s="48">
        <f t="shared" ca="1" si="76"/>
        <v>0.50823504517010976</v>
      </c>
      <c r="BF156" s="48">
        <f t="shared" ca="1" si="76"/>
        <v>0.50711050754875908</v>
      </c>
      <c r="BG156" s="48">
        <f t="shared" ca="1" si="76"/>
        <v>0.50613354239235164</v>
      </c>
      <c r="BH156" s="48">
        <f t="shared" ca="1" si="76"/>
        <v>0.50528633436490189</v>
      </c>
      <c r="BI156" s="48">
        <f t="shared" ca="1" si="76"/>
        <v>0.50455237710667455</v>
      </c>
      <c r="BJ156" s="48">
        <f t="shared" ca="1" si="76"/>
        <v>0.50391707157127918</v>
      </c>
      <c r="BK156" s="48">
        <f t="shared" ca="1" si="76"/>
        <v>0.50336798910239078</v>
      </c>
      <c r="BL156" s="48">
        <f t="shared" ca="1" si="76"/>
        <v>0.50289383947237887</v>
      </c>
      <c r="BM156" s="48">
        <f t="shared" ca="1" si="76"/>
        <v>0.50248470294664271</v>
      </c>
      <c r="BN156" s="48">
        <f t="shared" ca="1" si="76"/>
        <v>0.50213210651517737</v>
      </c>
      <c r="BO156" s="48">
        <f t="shared" ca="1" si="76"/>
        <v>0.50182846386143465</v>
      </c>
    </row>
    <row r="157" spans="1:67" ht="16.5" customHeight="1">
      <c r="A157" s="1"/>
      <c r="B157" s="16"/>
      <c r="C157" s="17"/>
      <c r="D157" s="16"/>
      <c r="E157" s="16"/>
      <c r="F157" s="16"/>
      <c r="G157" s="16"/>
      <c r="H157" s="16"/>
      <c r="I157" s="16"/>
      <c r="J157" s="16"/>
      <c r="K157" s="16"/>
      <c r="L157" s="16"/>
      <c r="M157" s="16"/>
      <c r="N157" s="16"/>
      <c r="O157" s="16"/>
      <c r="P157" s="16"/>
      <c r="Q157" s="16"/>
      <c r="R157" s="16"/>
      <c r="S157" s="1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row>
    <row r="158" spans="1:67" ht="16.5" customHeight="1">
      <c r="A158" s="1"/>
      <c r="B158" s="22" t="s">
        <v>183</v>
      </c>
      <c r="C158" s="17"/>
      <c r="D158" s="16"/>
      <c r="E158" s="16"/>
      <c r="F158" s="16"/>
      <c r="G158" s="16"/>
      <c r="H158" s="16"/>
      <c r="I158" s="46"/>
      <c r="J158" s="16"/>
      <c r="K158" s="16"/>
      <c r="L158" s="16"/>
      <c r="M158" s="16"/>
      <c r="N158" s="16"/>
      <c r="O158" s="16"/>
      <c r="P158" s="16"/>
      <c r="Q158" s="16"/>
      <c r="R158" s="16"/>
      <c r="S158" s="46"/>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row>
    <row r="159" spans="1:67" ht="16.5" customHeight="1">
      <c r="A159" s="1"/>
      <c r="B159" s="16" t="str">
        <f>'Get Started'!B17</f>
        <v>Average Revenue per Order, new Customer</v>
      </c>
      <c r="C159" s="17" t="str">
        <f>'Get Started'!D$7</f>
        <v>$</v>
      </c>
      <c r="D159" s="16" t="s">
        <v>184</v>
      </c>
      <c r="E159" s="16"/>
      <c r="F159" s="16"/>
      <c r="G159" s="16"/>
      <c r="H159" s="16" t="s">
        <v>143</v>
      </c>
      <c r="I159" s="46">
        <f>IF(H159=Forecast!$H$195,T159,IF(H159=Forecast!$H$196,BO159,IF(H159=Forecast!$H$197,SUM(T159:BO159),IF(H159=Forecast!$H$198,AVERAGE(T159:BO159),0))))</f>
        <v>172.95539226457228</v>
      </c>
      <c r="J159" s="16"/>
      <c r="K159" s="16"/>
      <c r="L159" s="16"/>
      <c r="M159" s="16"/>
      <c r="N159" s="16"/>
      <c r="O159" s="16"/>
      <c r="P159" s="16"/>
      <c r="Q159" s="16"/>
      <c r="R159" s="16"/>
      <c r="S159" s="46"/>
      <c r="T159" s="46">
        <f t="shared" ref="T159:BO159" si="77">IF(EOMONTH(T33,0)=T4,T16,S159*(1+T161))</f>
        <v>50</v>
      </c>
      <c r="U159" s="46">
        <f t="shared" si="77"/>
        <v>54.75</v>
      </c>
      <c r="V159" s="46">
        <f t="shared" si="77"/>
        <v>59.691187499999998</v>
      </c>
      <c r="W159" s="46">
        <f t="shared" si="77"/>
        <v>64.808960688281246</v>
      </c>
      <c r="X159" s="46">
        <f t="shared" si="77"/>
        <v>70.087691041942179</v>
      </c>
      <c r="Y159" s="46">
        <f t="shared" si="77"/>
        <v>75.510942970106612</v>
      </c>
      <c r="Z159" s="46">
        <f t="shared" si="77"/>
        <v>81.06169115318383</v>
      </c>
      <c r="AA159" s="46">
        <f t="shared" si="77"/>
        <v>86.722531374853929</v>
      </c>
      <c r="AB159" s="46">
        <f t="shared" si="77"/>
        <v>92.475881291572406</v>
      </c>
      <c r="AC159" s="46">
        <f t="shared" si="77"/>
        <v>98.304168251350049</v>
      </c>
      <c r="AD159" s="46">
        <f t="shared" si="77"/>
        <v>104.19000193266884</v>
      </c>
      <c r="AE159" s="46">
        <f t="shared" si="77"/>
        <v>110.11633020402749</v>
      </c>
      <c r="AF159" s="46">
        <f t="shared" si="77"/>
        <v>116.06657718824111</v>
      </c>
      <c r="AG159" s="46">
        <f t="shared" si="77"/>
        <v>122.02476304153443</v>
      </c>
      <c r="AH159" s="46">
        <f t="shared" si="77"/>
        <v>127.9756054183202</v>
      </c>
      <c r="AI159" s="46">
        <f t="shared" si="77"/>
        <v>133.90460298478948</v>
      </c>
      <c r="AJ159" s="46">
        <f t="shared" si="77"/>
        <v>139.79810166767274</v>
      </c>
      <c r="AK159" s="46">
        <f t="shared" si="77"/>
        <v>145.64334458090192</v>
      </c>
      <c r="AL159" s="46">
        <f t="shared" si="77"/>
        <v>151.42850676646978</v>
      </c>
      <c r="AM159" s="46">
        <f t="shared" si="77"/>
        <v>157.14271602195672</v>
      </c>
      <c r="AN159" s="46">
        <f t="shared" si="77"/>
        <v>162.77606117224821</v>
      </c>
      <c r="AO159" s="46">
        <f t="shared" si="77"/>
        <v>168.31958918360763</v>
      </c>
      <c r="AP159" s="46">
        <f t="shared" si="77"/>
        <v>173.76529252131672</v>
      </c>
      <c r="AQ159" s="46">
        <f t="shared" si="77"/>
        <v>179.10608812418417</v>
      </c>
      <c r="AR159" s="46">
        <f t="shared" si="77"/>
        <v>184.33578931663564</v>
      </c>
      <c r="AS159" s="46">
        <f t="shared" si="77"/>
        <v>189.44907190759741</v>
      </c>
      <c r="AT159" s="46">
        <f t="shared" si="77"/>
        <v>194.44143564015113</v>
      </c>
      <c r="AU159" s="46">
        <f t="shared" si="77"/>
        <v>199.30916206150613</v>
      </c>
      <c r="AV159" s="46">
        <f t="shared" si="77"/>
        <v>204.04926978309996</v>
      </c>
      <c r="AW159" s="46">
        <f t="shared" si="77"/>
        <v>208.65946799885822</v>
      </c>
      <c r="AX159" s="46">
        <f t="shared" si="77"/>
        <v>213.13810902848482</v>
      </c>
      <c r="AY159" s="46">
        <f t="shared" si="77"/>
        <v>217.48414055423066</v>
      </c>
      <c r="AZ159" s="46">
        <f t="shared" si="77"/>
        <v>221.69705812552479</v>
      </c>
      <c r="BA159" s="46">
        <f t="shared" si="77"/>
        <v>225.77685841733472</v>
      </c>
      <c r="BB159" s="46">
        <f t="shared" si="77"/>
        <v>229.72399364597069</v>
      </c>
      <c r="BC159" s="46">
        <f t="shared" si="77"/>
        <v>233.53932747075774</v>
      </c>
      <c r="BD159" s="46">
        <f t="shared" si="77"/>
        <v>237.22409264180843</v>
      </c>
      <c r="BE159" s="46">
        <f t="shared" si="77"/>
        <v>240.77985059306644</v>
      </c>
      <c r="BF159" s="46">
        <f t="shared" si="77"/>
        <v>244.20845312571336</v>
      </c>
      <c r="BG159" s="46">
        <f t="shared" si="77"/>
        <v>247.51200627967265</v>
      </c>
      <c r="BH159" s="46">
        <f t="shared" si="77"/>
        <v>250.69283644994826</v>
      </c>
      <c r="BI159" s="46">
        <f t="shared" si="77"/>
        <v>253.7534587694708</v>
      </c>
      <c r="BJ159" s="46">
        <f t="shared" si="77"/>
        <v>256.69654775053505</v>
      </c>
      <c r="BK159" s="46">
        <f t="shared" si="77"/>
        <v>259.5249101523093</v>
      </c>
      <c r="BL159" s="46">
        <f t="shared" si="77"/>
        <v>262.24146002179327</v>
      </c>
      <c r="BM159" s="46">
        <f t="shared" si="77"/>
        <v>264.84919583951699</v>
      </c>
      <c r="BN159" s="46">
        <f t="shared" si="77"/>
        <v>267.35117968874209</v>
      </c>
      <c r="BO159" s="46">
        <f t="shared" si="77"/>
        <v>269.7505183575102</v>
      </c>
    </row>
    <row r="160" spans="1:67" ht="16.5" customHeight="1">
      <c r="A160" s="1"/>
      <c r="B160" s="16" t="str">
        <f>'Get Started'!B18</f>
        <v>Average Revenue per Order, repeat Customer</v>
      </c>
      <c r="C160" s="17" t="str">
        <f>'Get Started'!D$7</f>
        <v>$</v>
      </c>
      <c r="D160" s="16" t="s">
        <v>184</v>
      </c>
      <c r="E160" s="16"/>
      <c r="F160" s="16"/>
      <c r="G160" s="16"/>
      <c r="H160" s="16" t="s">
        <v>143</v>
      </c>
      <c r="I160" s="46">
        <f>IF(H160=Forecast!$H$195,T160,IF(H160=Forecast!$H$196,BO160,IF(H160=Forecast!$H$197,SUM(T160:BO160),IF(H160=Forecast!$H$198,AVERAGE(T160:BO160),0))))</f>
        <v>138.36431381165781</v>
      </c>
      <c r="J160" s="16"/>
      <c r="K160" s="16"/>
      <c r="L160" s="16"/>
      <c r="M160" s="16"/>
      <c r="N160" s="16"/>
      <c r="O160" s="16"/>
      <c r="P160" s="16"/>
      <c r="Q160" s="16"/>
      <c r="R160" s="16"/>
      <c r="S160" s="46"/>
      <c r="T160" s="46">
        <f t="shared" ref="T160:BO160" si="78">IF(EOMONTH(T$33,0)=T$4,T17,S160*(1+T161))</f>
        <v>40</v>
      </c>
      <c r="U160" s="46">
        <f t="shared" si="78"/>
        <v>43.8</v>
      </c>
      <c r="V160" s="46">
        <f t="shared" si="78"/>
        <v>47.752949999999991</v>
      </c>
      <c r="W160" s="46">
        <f t="shared" si="78"/>
        <v>51.847168550624993</v>
      </c>
      <c r="X160" s="46">
        <f t="shared" si="78"/>
        <v>56.070152833553742</v>
      </c>
      <c r="Y160" s="46">
        <f t="shared" si="78"/>
        <v>60.408754376085291</v>
      </c>
      <c r="Z160" s="46">
        <f t="shared" si="78"/>
        <v>64.84935292254707</v>
      </c>
      <c r="AA160" s="46">
        <f t="shared" si="78"/>
        <v>69.378025099883146</v>
      </c>
      <c r="AB160" s="46">
        <f t="shared" si="78"/>
        <v>73.980705033257919</v>
      </c>
      <c r="AC160" s="46">
        <f t="shared" si="78"/>
        <v>78.643334601080028</v>
      </c>
      <c r="AD160" s="46">
        <f t="shared" si="78"/>
        <v>83.352001546135057</v>
      </c>
      <c r="AE160" s="46">
        <f t="shared" si="78"/>
        <v>88.093064163221982</v>
      </c>
      <c r="AF160" s="46">
        <f t="shared" si="78"/>
        <v>92.853261750592878</v>
      </c>
      <c r="AG160" s="46">
        <f t="shared" si="78"/>
        <v>97.619810433227528</v>
      </c>
      <c r="AH160" s="46">
        <f t="shared" si="78"/>
        <v>102.38048433465615</v>
      </c>
      <c r="AI160" s="46">
        <f t="shared" si="78"/>
        <v>107.12368238783155</v>
      </c>
      <c r="AJ160" s="46">
        <f t="shared" si="78"/>
        <v>111.83848133413817</v>
      </c>
      <c r="AK160" s="46">
        <f t="shared" si="78"/>
        <v>116.51467566472151</v>
      </c>
      <c r="AL160" s="46">
        <f t="shared" si="78"/>
        <v>121.14280541317578</v>
      </c>
      <c r="AM160" s="46">
        <f t="shared" si="78"/>
        <v>125.71417281756533</v>
      </c>
      <c r="AN160" s="46">
        <f t="shared" si="78"/>
        <v>130.22084893779851</v>
      </c>
      <c r="AO160" s="46">
        <f t="shared" si="78"/>
        <v>134.65567134688607</v>
      </c>
      <c r="AP160" s="46">
        <f t="shared" si="78"/>
        <v>139.01223401705334</v>
      </c>
      <c r="AQ160" s="46">
        <f t="shared" si="78"/>
        <v>143.28487049934731</v>
      </c>
      <c r="AR160" s="46">
        <f t="shared" si="78"/>
        <v>147.46863145330849</v>
      </c>
      <c r="AS160" s="46">
        <f t="shared" si="78"/>
        <v>151.55925752607791</v>
      </c>
      <c r="AT160" s="46">
        <f t="shared" si="78"/>
        <v>155.55314851212088</v>
      </c>
      <c r="AU160" s="46">
        <f t="shared" si="78"/>
        <v>159.44732964920487</v>
      </c>
      <c r="AV160" s="46">
        <f t="shared" si="78"/>
        <v>163.23941582647993</v>
      </c>
      <c r="AW160" s="46">
        <f t="shared" si="78"/>
        <v>166.92757439908655</v>
      </c>
      <c r="AX160" s="46">
        <f t="shared" si="78"/>
        <v>170.51048722278782</v>
      </c>
      <c r="AY160" s="46">
        <f t="shared" si="78"/>
        <v>173.9873124433845</v>
      </c>
      <c r="AZ160" s="46">
        <f t="shared" si="78"/>
        <v>177.3576465004198</v>
      </c>
      <c r="BA160" s="46">
        <f t="shared" si="78"/>
        <v>180.62148673386775</v>
      </c>
      <c r="BB160" s="46">
        <f t="shared" si="78"/>
        <v>183.77919491677653</v>
      </c>
      <c r="BC160" s="46">
        <f t="shared" si="78"/>
        <v>186.83146197660616</v>
      </c>
      <c r="BD160" s="46">
        <f t="shared" si="78"/>
        <v>189.77927411344672</v>
      </c>
      <c r="BE160" s="46">
        <f t="shared" si="78"/>
        <v>192.62388047445313</v>
      </c>
      <c r="BF160" s="46">
        <f t="shared" si="78"/>
        <v>195.36676250057067</v>
      </c>
      <c r="BG160" s="46">
        <f t="shared" si="78"/>
        <v>198.00960502373809</v>
      </c>
      <c r="BH160" s="46">
        <f t="shared" si="78"/>
        <v>200.55426915995858</v>
      </c>
      <c r="BI160" s="46">
        <f t="shared" si="78"/>
        <v>203.00276701557661</v>
      </c>
      <c r="BJ160" s="46">
        <f t="shared" si="78"/>
        <v>205.35723820042801</v>
      </c>
      <c r="BK160" s="46">
        <f t="shared" si="78"/>
        <v>207.61992812184741</v>
      </c>
      <c r="BL160" s="46">
        <f t="shared" si="78"/>
        <v>209.7931680174346</v>
      </c>
      <c r="BM160" s="46">
        <f t="shared" si="78"/>
        <v>211.87935667161355</v>
      </c>
      <c r="BN160" s="46">
        <f t="shared" si="78"/>
        <v>213.88094375099362</v>
      </c>
      <c r="BO160" s="46">
        <f t="shared" si="78"/>
        <v>215.80041468600811</v>
      </c>
    </row>
    <row r="161" spans="1:67" ht="16.5" customHeight="1">
      <c r="A161" s="1"/>
      <c r="B161" s="16" t="str">
        <f>"Rate of Change in Average Revenue per Order"</f>
        <v>Rate of Change in Average Revenue per Order</v>
      </c>
      <c r="C161" s="17" t="s">
        <v>85</v>
      </c>
      <c r="D161" s="16" t="s">
        <v>185</v>
      </c>
      <c r="E161" s="16"/>
      <c r="F161" s="16"/>
      <c r="G161" s="16"/>
      <c r="H161" s="16" t="s">
        <v>143</v>
      </c>
      <c r="I161" s="48">
        <f>IF(H161=Forecast!$H$195,T161,IF(H161=Forecast!$H$196,BO161,IF(H161=Forecast!$H$197,SUM(T161:BO161),IF(H161=Forecast!$H$198,AVERAGE(T161:BO161),0))))</f>
        <v>3.8114267069403789E-2</v>
      </c>
      <c r="J161" s="16"/>
      <c r="K161" s="16"/>
      <c r="L161" s="16"/>
      <c r="M161" s="16"/>
      <c r="N161" s="16"/>
      <c r="O161" s="16"/>
      <c r="P161" s="16"/>
      <c r="Q161" s="16"/>
      <c r="R161" s="16"/>
      <c r="S161" s="46"/>
      <c r="T161" s="48">
        <f t="shared" ref="T161:BO161" si="79">IF(EOMONTH(T33,0)=T4,T18,S161*(1+T19))</f>
        <v>0.1</v>
      </c>
      <c r="U161" s="48">
        <f t="shared" si="79"/>
        <v>9.5000000000000001E-2</v>
      </c>
      <c r="V161" s="48">
        <f t="shared" si="79"/>
        <v>9.0249999999999997E-2</v>
      </c>
      <c r="W161" s="48">
        <f t="shared" si="79"/>
        <v>8.5737499999999994E-2</v>
      </c>
      <c r="X161" s="48">
        <f t="shared" si="79"/>
        <v>8.1450624999999985E-2</v>
      </c>
      <c r="Y161" s="48">
        <f t="shared" si="79"/>
        <v>7.7378093749999988E-2</v>
      </c>
      <c r="Z161" s="48">
        <f t="shared" si="79"/>
        <v>7.350918906249998E-2</v>
      </c>
      <c r="AA161" s="48">
        <f t="shared" si="79"/>
        <v>6.9833729609374978E-2</v>
      </c>
      <c r="AB161" s="48">
        <f t="shared" si="79"/>
        <v>6.6342043128906222E-2</v>
      </c>
      <c r="AC161" s="48">
        <f t="shared" si="79"/>
        <v>6.3024940972460905E-2</v>
      </c>
      <c r="AD161" s="48">
        <f t="shared" si="79"/>
        <v>5.9873693923837859E-2</v>
      </c>
      <c r="AE161" s="48">
        <f t="shared" si="79"/>
        <v>5.6880009227645967E-2</v>
      </c>
      <c r="AF161" s="48">
        <f t="shared" si="79"/>
        <v>5.4036008766263667E-2</v>
      </c>
      <c r="AG161" s="48">
        <f t="shared" si="79"/>
        <v>5.1334208327950479E-2</v>
      </c>
      <c r="AH161" s="48">
        <f t="shared" si="79"/>
        <v>4.8767497911552951E-2</v>
      </c>
      <c r="AI161" s="48">
        <f t="shared" si="79"/>
        <v>4.6329123015975304E-2</v>
      </c>
      <c r="AJ161" s="48">
        <f t="shared" si="79"/>
        <v>4.401266686517654E-2</v>
      </c>
      <c r="AK161" s="48">
        <f t="shared" si="79"/>
        <v>4.1812033521917709E-2</v>
      </c>
      <c r="AL161" s="48">
        <f t="shared" si="79"/>
        <v>3.9721431845821824E-2</v>
      </c>
      <c r="AM161" s="48">
        <f t="shared" si="79"/>
        <v>3.7735360253530734E-2</v>
      </c>
      <c r="AN161" s="48">
        <f t="shared" si="79"/>
        <v>3.5848592240854196E-2</v>
      </c>
      <c r="AO161" s="48">
        <f t="shared" si="79"/>
        <v>3.4056162628811483E-2</v>
      </c>
      <c r="AP161" s="48">
        <f t="shared" si="79"/>
        <v>3.2353354497370909E-2</v>
      </c>
      <c r="AQ161" s="48">
        <f t="shared" si="79"/>
        <v>3.0735686772502362E-2</v>
      </c>
      <c r="AR161" s="48">
        <f t="shared" si="79"/>
        <v>2.9198902433877242E-2</v>
      </c>
      <c r="AS161" s="48">
        <f t="shared" si="79"/>
        <v>2.7738957312183378E-2</v>
      </c>
      <c r="AT161" s="48">
        <f t="shared" si="79"/>
        <v>2.6352009446574207E-2</v>
      </c>
      <c r="AU161" s="48">
        <f t="shared" si="79"/>
        <v>2.5034408974245494E-2</v>
      </c>
      <c r="AV161" s="48">
        <f t="shared" si="79"/>
        <v>2.3782688525533217E-2</v>
      </c>
      <c r="AW161" s="48">
        <f t="shared" si="79"/>
        <v>2.2593554099256556E-2</v>
      </c>
      <c r="AX161" s="48">
        <f t="shared" si="79"/>
        <v>2.1463876394293726E-2</v>
      </c>
      <c r="AY161" s="48">
        <f t="shared" si="79"/>
        <v>2.0390682574579037E-2</v>
      </c>
      <c r="AZ161" s="48">
        <f t="shared" si="79"/>
        <v>1.9371148445850084E-2</v>
      </c>
      <c r="BA161" s="48">
        <f t="shared" si="79"/>
        <v>1.8402591023557579E-2</v>
      </c>
      <c r="BB161" s="48">
        <f t="shared" si="79"/>
        <v>1.7482461472379699E-2</v>
      </c>
      <c r="BC161" s="48">
        <f t="shared" si="79"/>
        <v>1.6608338398760712E-2</v>
      </c>
      <c r="BD161" s="48">
        <f t="shared" si="79"/>
        <v>1.5777921478822676E-2</v>
      </c>
      <c r="BE161" s="48">
        <f t="shared" si="79"/>
        <v>1.4989025404881541E-2</v>
      </c>
      <c r="BF161" s="48">
        <f t="shared" si="79"/>
        <v>1.4239574134637464E-2</v>
      </c>
      <c r="BG161" s="48">
        <f t="shared" si="79"/>
        <v>1.3527595427905589E-2</v>
      </c>
      <c r="BH161" s="48">
        <f t="shared" si="79"/>
        <v>1.2851215656510309E-2</v>
      </c>
      <c r="BI161" s="48">
        <f t="shared" si="79"/>
        <v>1.2208654873684792E-2</v>
      </c>
      <c r="BJ161" s="48">
        <f t="shared" si="79"/>
        <v>1.1598222130000552E-2</v>
      </c>
      <c r="BK161" s="48">
        <f t="shared" si="79"/>
        <v>1.1018311023500524E-2</v>
      </c>
      <c r="BL161" s="48">
        <f t="shared" si="79"/>
        <v>1.0467395472325497E-2</v>
      </c>
      <c r="BM161" s="48">
        <f t="shared" si="79"/>
        <v>9.9440256987092211E-3</v>
      </c>
      <c r="BN161" s="48">
        <f t="shared" si="79"/>
        <v>9.4468244137737595E-3</v>
      </c>
      <c r="BO161" s="48">
        <f t="shared" si="79"/>
        <v>8.9744831930850706E-3</v>
      </c>
    </row>
    <row r="162" spans="1:67" ht="16.5" customHeight="1">
      <c r="A162" s="1"/>
      <c r="B162" s="16" t="str">
        <f t="shared" ref="B162:B164" si="80">B20</f>
        <v>Cost of Sales</v>
      </c>
      <c r="C162" s="17" t="s">
        <v>85</v>
      </c>
      <c r="D162" s="16" t="s">
        <v>184</v>
      </c>
      <c r="E162" s="16"/>
      <c r="F162" s="16"/>
      <c r="G162" s="16"/>
      <c r="H162" s="16" t="s">
        <v>143</v>
      </c>
      <c r="I162" s="48">
        <f>IF(H162=Forecast!$H$195,T162,IF(H162=Forecast!$H$196,BO162,IF(H162=Forecast!$H$197,SUM(T162:BO162),IF(H162=Forecast!$H$198,AVERAGE(T162:BO162),0))))</f>
        <v>0.25</v>
      </c>
      <c r="J162" s="16"/>
      <c r="K162" s="16"/>
      <c r="L162" s="16"/>
      <c r="M162" s="16"/>
      <c r="N162" s="16"/>
      <c r="O162" s="16"/>
      <c r="P162" s="16"/>
      <c r="Q162" s="16"/>
      <c r="R162" s="16"/>
      <c r="S162" s="46"/>
      <c r="T162" s="48">
        <f t="shared" ref="T162:BO162" si="81">IF(EOMONTH(T$33,0)=T$4,T20,S162*(1+T165))</f>
        <v>0.25</v>
      </c>
      <c r="U162" s="48">
        <f t="shared" si="81"/>
        <v>0.25</v>
      </c>
      <c r="V162" s="48">
        <f t="shared" si="81"/>
        <v>0.25</v>
      </c>
      <c r="W162" s="48">
        <f t="shared" si="81"/>
        <v>0.25</v>
      </c>
      <c r="X162" s="48">
        <f t="shared" si="81"/>
        <v>0.25</v>
      </c>
      <c r="Y162" s="48">
        <f t="shared" si="81"/>
        <v>0.25</v>
      </c>
      <c r="Z162" s="48">
        <f t="shared" si="81"/>
        <v>0.25</v>
      </c>
      <c r="AA162" s="48">
        <f t="shared" si="81"/>
        <v>0.25</v>
      </c>
      <c r="AB162" s="48">
        <f t="shared" si="81"/>
        <v>0.25</v>
      </c>
      <c r="AC162" s="48">
        <f t="shared" si="81"/>
        <v>0.25</v>
      </c>
      <c r="AD162" s="48">
        <f t="shared" si="81"/>
        <v>0.25</v>
      </c>
      <c r="AE162" s="48">
        <f t="shared" si="81"/>
        <v>0.25</v>
      </c>
      <c r="AF162" s="48">
        <f t="shared" si="81"/>
        <v>0.25</v>
      </c>
      <c r="AG162" s="48">
        <f t="shared" si="81"/>
        <v>0.25</v>
      </c>
      <c r="AH162" s="48">
        <f t="shared" si="81"/>
        <v>0.25</v>
      </c>
      <c r="AI162" s="48">
        <f t="shared" si="81"/>
        <v>0.25</v>
      </c>
      <c r="AJ162" s="48">
        <f t="shared" si="81"/>
        <v>0.25</v>
      </c>
      <c r="AK162" s="48">
        <f t="shared" si="81"/>
        <v>0.25</v>
      </c>
      <c r="AL162" s="48">
        <f t="shared" si="81"/>
        <v>0.25</v>
      </c>
      <c r="AM162" s="48">
        <f t="shared" si="81"/>
        <v>0.25</v>
      </c>
      <c r="AN162" s="48">
        <f t="shared" si="81"/>
        <v>0.25</v>
      </c>
      <c r="AO162" s="48">
        <f t="shared" si="81"/>
        <v>0.25</v>
      </c>
      <c r="AP162" s="48">
        <f t="shared" si="81"/>
        <v>0.25</v>
      </c>
      <c r="AQ162" s="48">
        <f t="shared" si="81"/>
        <v>0.25</v>
      </c>
      <c r="AR162" s="48">
        <f t="shared" si="81"/>
        <v>0.25</v>
      </c>
      <c r="AS162" s="48">
        <f t="shared" si="81"/>
        <v>0.25</v>
      </c>
      <c r="AT162" s="48">
        <f t="shared" si="81"/>
        <v>0.25</v>
      </c>
      <c r="AU162" s="48">
        <f t="shared" si="81"/>
        <v>0.25</v>
      </c>
      <c r="AV162" s="48">
        <f t="shared" si="81"/>
        <v>0.25</v>
      </c>
      <c r="AW162" s="48">
        <f t="shared" si="81"/>
        <v>0.25</v>
      </c>
      <c r="AX162" s="48">
        <f t="shared" si="81"/>
        <v>0.25</v>
      </c>
      <c r="AY162" s="48">
        <f t="shared" si="81"/>
        <v>0.25</v>
      </c>
      <c r="AZ162" s="48">
        <f t="shared" si="81"/>
        <v>0.25</v>
      </c>
      <c r="BA162" s="48">
        <f t="shared" si="81"/>
        <v>0.25</v>
      </c>
      <c r="BB162" s="48">
        <f t="shared" si="81"/>
        <v>0.25</v>
      </c>
      <c r="BC162" s="48">
        <f t="shared" si="81"/>
        <v>0.25</v>
      </c>
      <c r="BD162" s="48">
        <f t="shared" si="81"/>
        <v>0.25</v>
      </c>
      <c r="BE162" s="48">
        <f t="shared" si="81"/>
        <v>0.25</v>
      </c>
      <c r="BF162" s="48">
        <f t="shared" si="81"/>
        <v>0.25</v>
      </c>
      <c r="BG162" s="48">
        <f t="shared" si="81"/>
        <v>0.25</v>
      </c>
      <c r="BH162" s="48">
        <f t="shared" si="81"/>
        <v>0.25</v>
      </c>
      <c r="BI162" s="48">
        <f t="shared" si="81"/>
        <v>0.25</v>
      </c>
      <c r="BJ162" s="48">
        <f t="shared" si="81"/>
        <v>0.25</v>
      </c>
      <c r="BK162" s="48">
        <f t="shared" si="81"/>
        <v>0.25</v>
      </c>
      <c r="BL162" s="48">
        <f t="shared" si="81"/>
        <v>0.25</v>
      </c>
      <c r="BM162" s="48">
        <f t="shared" si="81"/>
        <v>0.25</v>
      </c>
      <c r="BN162" s="48">
        <f t="shared" si="81"/>
        <v>0.25</v>
      </c>
      <c r="BO162" s="48">
        <f t="shared" si="81"/>
        <v>0.25</v>
      </c>
    </row>
    <row r="163" spans="1:67" ht="16.5" customHeight="1">
      <c r="A163" s="1"/>
      <c r="B163" s="16" t="str">
        <f t="shared" si="80"/>
        <v>Additional Cost of Sales</v>
      </c>
      <c r="C163" s="17" t="s">
        <v>85</v>
      </c>
      <c r="D163" s="16" t="s">
        <v>184</v>
      </c>
      <c r="E163" s="16"/>
      <c r="F163" s="16"/>
      <c r="G163" s="16"/>
      <c r="H163" s="16" t="s">
        <v>143</v>
      </c>
      <c r="I163" s="48">
        <f>IF(H163=Forecast!$H$195,T163,IF(H163=Forecast!$H$196,BO163,IF(H163=Forecast!$H$197,SUM(T163:BO163),IF(H163=Forecast!$H$198,AVERAGE(T163:BO163),0))))</f>
        <v>9.9999999999999978E-2</v>
      </c>
      <c r="J163" s="16"/>
      <c r="K163" s="16"/>
      <c r="L163" s="16"/>
      <c r="M163" s="16"/>
      <c r="N163" s="16"/>
      <c r="O163" s="16"/>
      <c r="P163" s="16"/>
      <c r="Q163" s="16"/>
      <c r="R163" s="16"/>
      <c r="S163" s="46"/>
      <c r="T163" s="48">
        <f t="shared" ref="T163:BO163" si="82">IF(EOMONTH(T$33,0)=T$4,T21,S163*(1+T165))</f>
        <v>0.1</v>
      </c>
      <c r="U163" s="48">
        <f t="shared" si="82"/>
        <v>0.1</v>
      </c>
      <c r="V163" s="48">
        <f t="shared" si="82"/>
        <v>0.1</v>
      </c>
      <c r="W163" s="48">
        <f t="shared" si="82"/>
        <v>0.1</v>
      </c>
      <c r="X163" s="48">
        <f t="shared" si="82"/>
        <v>0.1</v>
      </c>
      <c r="Y163" s="48">
        <f t="shared" si="82"/>
        <v>0.1</v>
      </c>
      <c r="Z163" s="48">
        <f t="shared" si="82"/>
        <v>0.1</v>
      </c>
      <c r="AA163" s="48">
        <f t="shared" si="82"/>
        <v>0.1</v>
      </c>
      <c r="AB163" s="48">
        <f t="shared" si="82"/>
        <v>0.1</v>
      </c>
      <c r="AC163" s="48">
        <f t="shared" si="82"/>
        <v>0.1</v>
      </c>
      <c r="AD163" s="48">
        <f t="shared" si="82"/>
        <v>0.1</v>
      </c>
      <c r="AE163" s="48">
        <f t="shared" si="82"/>
        <v>0.1</v>
      </c>
      <c r="AF163" s="48">
        <f t="shared" si="82"/>
        <v>0.1</v>
      </c>
      <c r="AG163" s="48">
        <f t="shared" si="82"/>
        <v>0.1</v>
      </c>
      <c r="AH163" s="48">
        <f t="shared" si="82"/>
        <v>0.1</v>
      </c>
      <c r="AI163" s="48">
        <f t="shared" si="82"/>
        <v>0.1</v>
      </c>
      <c r="AJ163" s="48">
        <f t="shared" si="82"/>
        <v>0.1</v>
      </c>
      <c r="AK163" s="48">
        <f t="shared" si="82"/>
        <v>0.1</v>
      </c>
      <c r="AL163" s="48">
        <f t="shared" si="82"/>
        <v>0.1</v>
      </c>
      <c r="AM163" s="48">
        <f t="shared" si="82"/>
        <v>0.1</v>
      </c>
      <c r="AN163" s="48">
        <f t="shared" si="82"/>
        <v>0.1</v>
      </c>
      <c r="AO163" s="48">
        <f t="shared" si="82"/>
        <v>0.1</v>
      </c>
      <c r="AP163" s="48">
        <f t="shared" si="82"/>
        <v>0.1</v>
      </c>
      <c r="AQ163" s="48">
        <f t="shared" si="82"/>
        <v>0.1</v>
      </c>
      <c r="AR163" s="48">
        <f t="shared" si="82"/>
        <v>0.1</v>
      </c>
      <c r="AS163" s="48">
        <f t="shared" si="82"/>
        <v>0.1</v>
      </c>
      <c r="AT163" s="48">
        <f t="shared" si="82"/>
        <v>0.1</v>
      </c>
      <c r="AU163" s="48">
        <f t="shared" si="82"/>
        <v>0.1</v>
      </c>
      <c r="AV163" s="48">
        <f t="shared" si="82"/>
        <v>0.1</v>
      </c>
      <c r="AW163" s="48">
        <f t="shared" si="82"/>
        <v>0.1</v>
      </c>
      <c r="AX163" s="48">
        <f t="shared" si="82"/>
        <v>0.1</v>
      </c>
      <c r="AY163" s="48">
        <f t="shared" si="82"/>
        <v>0.1</v>
      </c>
      <c r="AZ163" s="48">
        <f t="shared" si="82"/>
        <v>0.1</v>
      </c>
      <c r="BA163" s="48">
        <f t="shared" si="82"/>
        <v>0.1</v>
      </c>
      <c r="BB163" s="48">
        <f t="shared" si="82"/>
        <v>0.1</v>
      </c>
      <c r="BC163" s="48">
        <f t="shared" si="82"/>
        <v>0.1</v>
      </c>
      <c r="BD163" s="48">
        <f t="shared" si="82"/>
        <v>0.1</v>
      </c>
      <c r="BE163" s="48">
        <f t="shared" si="82"/>
        <v>0.1</v>
      </c>
      <c r="BF163" s="48">
        <f t="shared" si="82"/>
        <v>0.1</v>
      </c>
      <c r="BG163" s="48">
        <f t="shared" si="82"/>
        <v>0.1</v>
      </c>
      <c r="BH163" s="48">
        <f t="shared" si="82"/>
        <v>0.1</v>
      </c>
      <c r="BI163" s="48">
        <f t="shared" si="82"/>
        <v>0.1</v>
      </c>
      <c r="BJ163" s="48">
        <f t="shared" si="82"/>
        <v>0.1</v>
      </c>
      <c r="BK163" s="48">
        <f t="shared" si="82"/>
        <v>0.1</v>
      </c>
      <c r="BL163" s="48">
        <f t="shared" si="82"/>
        <v>0.1</v>
      </c>
      <c r="BM163" s="48">
        <f t="shared" si="82"/>
        <v>0.1</v>
      </c>
      <c r="BN163" s="48">
        <f t="shared" si="82"/>
        <v>0.1</v>
      </c>
      <c r="BO163" s="48">
        <f t="shared" si="82"/>
        <v>0.1</v>
      </c>
    </row>
    <row r="164" spans="1:67" ht="16.5" customHeight="1">
      <c r="A164" s="1"/>
      <c r="B164" s="16" t="str">
        <f t="shared" si="80"/>
        <v>Additional Cost of Sales</v>
      </c>
      <c r="C164" s="17" t="s">
        <v>85</v>
      </c>
      <c r="D164" s="16" t="s">
        <v>184</v>
      </c>
      <c r="E164" s="16"/>
      <c r="F164" s="16"/>
      <c r="G164" s="16"/>
      <c r="H164" s="16" t="s">
        <v>143</v>
      </c>
      <c r="I164" s="48">
        <f>IF(H164=Forecast!$H$195,T164,IF(H164=Forecast!$H$196,BO164,IF(H164=Forecast!$H$197,SUM(T164:BO164),IF(H164=Forecast!$H$198,AVERAGE(T164:BO164),0))))</f>
        <v>0</v>
      </c>
      <c r="J164" s="16"/>
      <c r="K164" s="16"/>
      <c r="L164" s="16"/>
      <c r="M164" s="16"/>
      <c r="N164" s="16"/>
      <c r="O164" s="16"/>
      <c r="P164" s="16"/>
      <c r="Q164" s="16"/>
      <c r="R164" s="16"/>
      <c r="S164" s="46"/>
      <c r="T164" s="48">
        <f t="shared" ref="T164:BO164" si="83">IF(EOMONTH(T$33,0)=T$4,T22,S164*(1+T165))</f>
        <v>0</v>
      </c>
      <c r="U164" s="48">
        <f t="shared" si="83"/>
        <v>0</v>
      </c>
      <c r="V164" s="48">
        <f t="shared" si="83"/>
        <v>0</v>
      </c>
      <c r="W164" s="48">
        <f t="shared" si="83"/>
        <v>0</v>
      </c>
      <c r="X164" s="48">
        <f t="shared" si="83"/>
        <v>0</v>
      </c>
      <c r="Y164" s="48">
        <f t="shared" si="83"/>
        <v>0</v>
      </c>
      <c r="Z164" s="48">
        <f t="shared" si="83"/>
        <v>0</v>
      </c>
      <c r="AA164" s="48">
        <f t="shared" si="83"/>
        <v>0</v>
      </c>
      <c r="AB164" s="48">
        <f t="shared" si="83"/>
        <v>0</v>
      </c>
      <c r="AC164" s="48">
        <f t="shared" si="83"/>
        <v>0</v>
      </c>
      <c r="AD164" s="48">
        <f t="shared" si="83"/>
        <v>0</v>
      </c>
      <c r="AE164" s="48">
        <f t="shared" si="83"/>
        <v>0</v>
      </c>
      <c r="AF164" s="48">
        <f t="shared" si="83"/>
        <v>0</v>
      </c>
      <c r="AG164" s="48">
        <f t="shared" si="83"/>
        <v>0</v>
      </c>
      <c r="AH164" s="48">
        <f t="shared" si="83"/>
        <v>0</v>
      </c>
      <c r="AI164" s="48">
        <f t="shared" si="83"/>
        <v>0</v>
      </c>
      <c r="AJ164" s="48">
        <f t="shared" si="83"/>
        <v>0</v>
      </c>
      <c r="AK164" s="48">
        <f t="shared" si="83"/>
        <v>0</v>
      </c>
      <c r="AL164" s="48">
        <f t="shared" si="83"/>
        <v>0</v>
      </c>
      <c r="AM164" s="48">
        <f t="shared" si="83"/>
        <v>0</v>
      </c>
      <c r="AN164" s="48">
        <f t="shared" si="83"/>
        <v>0</v>
      </c>
      <c r="AO164" s="48">
        <f t="shared" si="83"/>
        <v>0</v>
      </c>
      <c r="AP164" s="48">
        <f t="shared" si="83"/>
        <v>0</v>
      </c>
      <c r="AQ164" s="48">
        <f t="shared" si="83"/>
        <v>0</v>
      </c>
      <c r="AR164" s="48">
        <f t="shared" si="83"/>
        <v>0</v>
      </c>
      <c r="AS164" s="48">
        <f t="shared" si="83"/>
        <v>0</v>
      </c>
      <c r="AT164" s="48">
        <f t="shared" si="83"/>
        <v>0</v>
      </c>
      <c r="AU164" s="48">
        <f t="shared" si="83"/>
        <v>0</v>
      </c>
      <c r="AV164" s="48">
        <f t="shared" si="83"/>
        <v>0</v>
      </c>
      <c r="AW164" s="48">
        <f t="shared" si="83"/>
        <v>0</v>
      </c>
      <c r="AX164" s="48">
        <f t="shared" si="83"/>
        <v>0</v>
      </c>
      <c r="AY164" s="48">
        <f t="shared" si="83"/>
        <v>0</v>
      </c>
      <c r="AZ164" s="48">
        <f t="shared" si="83"/>
        <v>0</v>
      </c>
      <c r="BA164" s="48">
        <f t="shared" si="83"/>
        <v>0</v>
      </c>
      <c r="BB164" s="48">
        <f t="shared" si="83"/>
        <v>0</v>
      </c>
      <c r="BC164" s="48">
        <f t="shared" si="83"/>
        <v>0</v>
      </c>
      <c r="BD164" s="48">
        <f t="shared" si="83"/>
        <v>0</v>
      </c>
      <c r="BE164" s="48">
        <f t="shared" si="83"/>
        <v>0</v>
      </c>
      <c r="BF164" s="48">
        <f t="shared" si="83"/>
        <v>0</v>
      </c>
      <c r="BG164" s="48">
        <f t="shared" si="83"/>
        <v>0</v>
      </c>
      <c r="BH164" s="48">
        <f t="shared" si="83"/>
        <v>0</v>
      </c>
      <c r="BI164" s="48">
        <f t="shared" si="83"/>
        <v>0</v>
      </c>
      <c r="BJ164" s="48">
        <f t="shared" si="83"/>
        <v>0</v>
      </c>
      <c r="BK164" s="48">
        <f t="shared" si="83"/>
        <v>0</v>
      </c>
      <c r="BL164" s="48">
        <f t="shared" si="83"/>
        <v>0</v>
      </c>
      <c r="BM164" s="48">
        <f t="shared" si="83"/>
        <v>0</v>
      </c>
      <c r="BN164" s="48">
        <f t="shared" si="83"/>
        <v>0</v>
      </c>
      <c r="BO164" s="48">
        <f t="shared" si="83"/>
        <v>0</v>
      </c>
    </row>
    <row r="165" spans="1:67" ht="16.5" customHeight="1">
      <c r="A165" s="1"/>
      <c r="B165" s="16" t="s">
        <v>186</v>
      </c>
      <c r="C165" s="17" t="s">
        <v>85</v>
      </c>
      <c r="D165" s="16" t="s">
        <v>185</v>
      </c>
      <c r="E165" s="16"/>
      <c r="F165" s="16"/>
      <c r="G165" s="16"/>
      <c r="H165" s="16" t="s">
        <v>143</v>
      </c>
      <c r="I165" s="48">
        <f>IF(H165=Forecast!$H$195,T165,IF(H165=Forecast!$H$196,BO165,IF(H165=Forecast!$H$197,SUM(T165:BO165),IF(H165=Forecast!$H$198,AVERAGE(T165:BO165),0))))</f>
        <v>0</v>
      </c>
      <c r="J165" s="16"/>
      <c r="K165" s="16"/>
      <c r="L165" s="16"/>
      <c r="M165" s="16"/>
      <c r="N165" s="16"/>
      <c r="O165" s="16"/>
      <c r="P165" s="16"/>
      <c r="Q165" s="16"/>
      <c r="R165" s="16"/>
      <c r="S165" s="46"/>
      <c r="T165" s="48">
        <f t="shared" ref="T165:BO165" si="84">IF(EOMONTH(T33,0)=T4,T23,S165*(1+T24))</f>
        <v>0</v>
      </c>
      <c r="U165" s="48">
        <f t="shared" si="84"/>
        <v>0</v>
      </c>
      <c r="V165" s="48">
        <f t="shared" si="84"/>
        <v>0</v>
      </c>
      <c r="W165" s="48">
        <f t="shared" si="84"/>
        <v>0</v>
      </c>
      <c r="X165" s="48">
        <f t="shared" si="84"/>
        <v>0</v>
      </c>
      <c r="Y165" s="48">
        <f t="shared" si="84"/>
        <v>0</v>
      </c>
      <c r="Z165" s="48">
        <f t="shared" si="84"/>
        <v>0</v>
      </c>
      <c r="AA165" s="48">
        <f t="shared" si="84"/>
        <v>0</v>
      </c>
      <c r="AB165" s="48">
        <f t="shared" si="84"/>
        <v>0</v>
      </c>
      <c r="AC165" s="48">
        <f t="shared" si="84"/>
        <v>0</v>
      </c>
      <c r="AD165" s="48">
        <f t="shared" si="84"/>
        <v>0</v>
      </c>
      <c r="AE165" s="48">
        <f t="shared" si="84"/>
        <v>0</v>
      </c>
      <c r="AF165" s="48">
        <f t="shared" si="84"/>
        <v>0</v>
      </c>
      <c r="AG165" s="48">
        <f t="shared" si="84"/>
        <v>0</v>
      </c>
      <c r="AH165" s="48">
        <f t="shared" si="84"/>
        <v>0</v>
      </c>
      <c r="AI165" s="48">
        <f t="shared" si="84"/>
        <v>0</v>
      </c>
      <c r="AJ165" s="48">
        <f t="shared" si="84"/>
        <v>0</v>
      </c>
      <c r="AK165" s="48">
        <f t="shared" si="84"/>
        <v>0</v>
      </c>
      <c r="AL165" s="48">
        <f t="shared" si="84"/>
        <v>0</v>
      </c>
      <c r="AM165" s="48">
        <f t="shared" si="84"/>
        <v>0</v>
      </c>
      <c r="AN165" s="48">
        <f t="shared" si="84"/>
        <v>0</v>
      </c>
      <c r="AO165" s="48">
        <f t="shared" si="84"/>
        <v>0</v>
      </c>
      <c r="AP165" s="48">
        <f t="shared" si="84"/>
        <v>0</v>
      </c>
      <c r="AQ165" s="48">
        <f t="shared" si="84"/>
        <v>0</v>
      </c>
      <c r="AR165" s="48">
        <f t="shared" si="84"/>
        <v>0</v>
      </c>
      <c r="AS165" s="48">
        <f t="shared" si="84"/>
        <v>0</v>
      </c>
      <c r="AT165" s="48">
        <f t="shared" si="84"/>
        <v>0</v>
      </c>
      <c r="AU165" s="48">
        <f t="shared" si="84"/>
        <v>0</v>
      </c>
      <c r="AV165" s="48">
        <f t="shared" si="84"/>
        <v>0</v>
      </c>
      <c r="AW165" s="48">
        <f t="shared" si="84"/>
        <v>0</v>
      </c>
      <c r="AX165" s="48">
        <f t="shared" si="84"/>
        <v>0</v>
      </c>
      <c r="AY165" s="48">
        <f t="shared" si="84"/>
        <v>0</v>
      </c>
      <c r="AZ165" s="48">
        <f t="shared" si="84"/>
        <v>0</v>
      </c>
      <c r="BA165" s="48">
        <f t="shared" si="84"/>
        <v>0</v>
      </c>
      <c r="BB165" s="48">
        <f t="shared" si="84"/>
        <v>0</v>
      </c>
      <c r="BC165" s="48">
        <f t="shared" si="84"/>
        <v>0</v>
      </c>
      <c r="BD165" s="48">
        <f t="shared" si="84"/>
        <v>0</v>
      </c>
      <c r="BE165" s="48">
        <f t="shared" si="84"/>
        <v>0</v>
      </c>
      <c r="BF165" s="48">
        <f t="shared" si="84"/>
        <v>0</v>
      </c>
      <c r="BG165" s="48">
        <f t="shared" si="84"/>
        <v>0</v>
      </c>
      <c r="BH165" s="48">
        <f t="shared" si="84"/>
        <v>0</v>
      </c>
      <c r="BI165" s="48">
        <f t="shared" si="84"/>
        <v>0</v>
      </c>
      <c r="BJ165" s="48">
        <f t="shared" si="84"/>
        <v>0</v>
      </c>
      <c r="BK165" s="48">
        <f t="shared" si="84"/>
        <v>0</v>
      </c>
      <c r="BL165" s="48">
        <f t="shared" si="84"/>
        <v>0</v>
      </c>
      <c r="BM165" s="48">
        <f t="shared" si="84"/>
        <v>0</v>
      </c>
      <c r="BN165" s="48">
        <f t="shared" si="84"/>
        <v>0</v>
      </c>
      <c r="BO165" s="48">
        <f t="shared" si="84"/>
        <v>0</v>
      </c>
    </row>
    <row r="166" spans="1:67" ht="16.5" customHeight="1">
      <c r="A166" s="1"/>
      <c r="B166" s="16" t="str">
        <f t="shared" ref="B166:B167" si="85">B27</f>
        <v>Customer Acquisition Cost (CAC), new customer</v>
      </c>
      <c r="C166" s="17" t="str">
        <f>'Get Started'!D$7</f>
        <v>$</v>
      </c>
      <c r="D166" s="16" t="s">
        <v>184</v>
      </c>
      <c r="E166" s="16"/>
      <c r="F166" s="16"/>
      <c r="G166" s="16"/>
      <c r="H166" s="16" t="s">
        <v>143</v>
      </c>
      <c r="I166" s="46">
        <f>IF(H166=Forecast!$H$195,T166,IF(H166=Forecast!$H$196,BO166,IF(H166=Forecast!$H$197,SUM(T166:BO166),IF(H166=Forecast!$H$198,AVERAGE(T166:BO166),0))))</f>
        <v>30</v>
      </c>
      <c r="J166" s="16"/>
      <c r="K166" s="16"/>
      <c r="L166" s="16"/>
      <c r="M166" s="16"/>
      <c r="N166" s="16"/>
      <c r="O166" s="16"/>
      <c r="P166" s="16"/>
      <c r="Q166" s="16"/>
      <c r="R166" s="16"/>
      <c r="S166" s="46"/>
      <c r="T166" s="46">
        <f t="shared" ref="T166:BO166" si="86">IF(EOMONTH(T$33,0)=T$4,T27,S166*(1+T168))</f>
        <v>30</v>
      </c>
      <c r="U166" s="46">
        <f t="shared" si="86"/>
        <v>30</v>
      </c>
      <c r="V166" s="46">
        <f t="shared" si="86"/>
        <v>30</v>
      </c>
      <c r="W166" s="46">
        <f t="shared" si="86"/>
        <v>30</v>
      </c>
      <c r="X166" s="46">
        <f t="shared" si="86"/>
        <v>30</v>
      </c>
      <c r="Y166" s="46">
        <f t="shared" si="86"/>
        <v>30</v>
      </c>
      <c r="Z166" s="46">
        <f t="shared" si="86"/>
        <v>30</v>
      </c>
      <c r="AA166" s="46">
        <f t="shared" si="86"/>
        <v>30</v>
      </c>
      <c r="AB166" s="46">
        <f t="shared" si="86"/>
        <v>30</v>
      </c>
      <c r="AC166" s="46">
        <f t="shared" si="86"/>
        <v>30</v>
      </c>
      <c r="AD166" s="46">
        <f t="shared" si="86"/>
        <v>30</v>
      </c>
      <c r="AE166" s="46">
        <f t="shared" si="86"/>
        <v>30</v>
      </c>
      <c r="AF166" s="46">
        <f t="shared" si="86"/>
        <v>30</v>
      </c>
      <c r="AG166" s="46">
        <f t="shared" si="86"/>
        <v>30</v>
      </c>
      <c r="AH166" s="46">
        <f t="shared" si="86"/>
        <v>30</v>
      </c>
      <c r="AI166" s="46">
        <f t="shared" si="86"/>
        <v>30</v>
      </c>
      <c r="AJ166" s="46">
        <f t="shared" si="86"/>
        <v>30</v>
      </c>
      <c r="AK166" s="46">
        <f t="shared" si="86"/>
        <v>30</v>
      </c>
      <c r="AL166" s="46">
        <f t="shared" si="86"/>
        <v>30</v>
      </c>
      <c r="AM166" s="46">
        <f t="shared" si="86"/>
        <v>30</v>
      </c>
      <c r="AN166" s="46">
        <f t="shared" si="86"/>
        <v>30</v>
      </c>
      <c r="AO166" s="46">
        <f t="shared" si="86"/>
        <v>30</v>
      </c>
      <c r="AP166" s="46">
        <f t="shared" si="86"/>
        <v>30</v>
      </c>
      <c r="AQ166" s="46">
        <f t="shared" si="86"/>
        <v>30</v>
      </c>
      <c r="AR166" s="46">
        <f t="shared" si="86"/>
        <v>30</v>
      </c>
      <c r="AS166" s="46">
        <f t="shared" si="86"/>
        <v>30</v>
      </c>
      <c r="AT166" s="46">
        <f t="shared" si="86"/>
        <v>30</v>
      </c>
      <c r="AU166" s="46">
        <f t="shared" si="86"/>
        <v>30</v>
      </c>
      <c r="AV166" s="46">
        <f t="shared" si="86"/>
        <v>30</v>
      </c>
      <c r="AW166" s="46">
        <f t="shared" si="86"/>
        <v>30</v>
      </c>
      <c r="AX166" s="46">
        <f t="shared" si="86"/>
        <v>30</v>
      </c>
      <c r="AY166" s="46">
        <f t="shared" si="86"/>
        <v>30</v>
      </c>
      <c r="AZ166" s="46">
        <f t="shared" si="86"/>
        <v>30</v>
      </c>
      <c r="BA166" s="46">
        <f t="shared" si="86"/>
        <v>30</v>
      </c>
      <c r="BB166" s="46">
        <f t="shared" si="86"/>
        <v>30</v>
      </c>
      <c r="BC166" s="46">
        <f t="shared" si="86"/>
        <v>30</v>
      </c>
      <c r="BD166" s="46">
        <f t="shared" si="86"/>
        <v>30</v>
      </c>
      <c r="BE166" s="46">
        <f t="shared" si="86"/>
        <v>30</v>
      </c>
      <c r="BF166" s="46">
        <f t="shared" si="86"/>
        <v>30</v>
      </c>
      <c r="BG166" s="46">
        <f t="shared" si="86"/>
        <v>30</v>
      </c>
      <c r="BH166" s="46">
        <f t="shared" si="86"/>
        <v>30</v>
      </c>
      <c r="BI166" s="46">
        <f t="shared" si="86"/>
        <v>30</v>
      </c>
      <c r="BJ166" s="46">
        <f t="shared" si="86"/>
        <v>30</v>
      </c>
      <c r="BK166" s="46">
        <f t="shared" si="86"/>
        <v>30</v>
      </c>
      <c r="BL166" s="46">
        <f t="shared" si="86"/>
        <v>30</v>
      </c>
      <c r="BM166" s="46">
        <f t="shared" si="86"/>
        <v>30</v>
      </c>
      <c r="BN166" s="46">
        <f t="shared" si="86"/>
        <v>30</v>
      </c>
      <c r="BO166" s="46">
        <f t="shared" si="86"/>
        <v>30</v>
      </c>
    </row>
    <row r="167" spans="1:67" ht="16.5" customHeight="1">
      <c r="A167" s="1"/>
      <c r="B167" s="16" t="str">
        <f t="shared" si="85"/>
        <v>Customer Acquisition Cost (CAC), repeat customer</v>
      </c>
      <c r="C167" s="17" t="str">
        <f>'Get Started'!D$7</f>
        <v>$</v>
      </c>
      <c r="D167" s="16" t="s">
        <v>184</v>
      </c>
      <c r="E167" s="16"/>
      <c r="F167" s="16"/>
      <c r="G167" s="16"/>
      <c r="H167" s="16" t="s">
        <v>143</v>
      </c>
      <c r="I167" s="46">
        <f>IF(H167=Forecast!$H$195,T167,IF(H167=Forecast!$H$196,BO167,IF(H167=Forecast!$H$197,SUM(T167:BO167),IF(H167=Forecast!$H$198,AVERAGE(T167:BO167),0))))</f>
        <v>10</v>
      </c>
      <c r="J167" s="16"/>
      <c r="K167" s="16"/>
      <c r="L167" s="16"/>
      <c r="M167" s="16"/>
      <c r="N167" s="16"/>
      <c r="O167" s="16"/>
      <c r="P167" s="16"/>
      <c r="Q167" s="16"/>
      <c r="R167" s="16"/>
      <c r="S167" s="46"/>
      <c r="T167" s="46">
        <f t="shared" ref="T167:BO167" si="87">IF(EOMONTH(T$33,0)=T$4,T28,S167*(1+T168))</f>
        <v>10</v>
      </c>
      <c r="U167" s="46">
        <f t="shared" si="87"/>
        <v>10</v>
      </c>
      <c r="V167" s="46">
        <f t="shared" si="87"/>
        <v>10</v>
      </c>
      <c r="W167" s="46">
        <f t="shared" si="87"/>
        <v>10</v>
      </c>
      <c r="X167" s="46">
        <f t="shared" si="87"/>
        <v>10</v>
      </c>
      <c r="Y167" s="46">
        <f t="shared" si="87"/>
        <v>10</v>
      </c>
      <c r="Z167" s="46">
        <f t="shared" si="87"/>
        <v>10</v>
      </c>
      <c r="AA167" s="46">
        <f t="shared" si="87"/>
        <v>10</v>
      </c>
      <c r="AB167" s="46">
        <f t="shared" si="87"/>
        <v>10</v>
      </c>
      <c r="AC167" s="46">
        <f t="shared" si="87"/>
        <v>10</v>
      </c>
      <c r="AD167" s="46">
        <f t="shared" si="87"/>
        <v>10</v>
      </c>
      <c r="AE167" s="46">
        <f t="shared" si="87"/>
        <v>10</v>
      </c>
      <c r="AF167" s="46">
        <f t="shared" si="87"/>
        <v>10</v>
      </c>
      <c r="AG167" s="46">
        <f t="shared" si="87"/>
        <v>10</v>
      </c>
      <c r="AH167" s="46">
        <f t="shared" si="87"/>
        <v>10</v>
      </c>
      <c r="AI167" s="46">
        <f t="shared" si="87"/>
        <v>10</v>
      </c>
      <c r="AJ167" s="46">
        <f t="shared" si="87"/>
        <v>10</v>
      </c>
      <c r="AK167" s="46">
        <f t="shared" si="87"/>
        <v>10</v>
      </c>
      <c r="AL167" s="46">
        <f t="shared" si="87"/>
        <v>10</v>
      </c>
      <c r="AM167" s="46">
        <f t="shared" si="87"/>
        <v>10</v>
      </c>
      <c r="AN167" s="46">
        <f t="shared" si="87"/>
        <v>10</v>
      </c>
      <c r="AO167" s="46">
        <f t="shared" si="87"/>
        <v>10</v>
      </c>
      <c r="AP167" s="46">
        <f t="shared" si="87"/>
        <v>10</v>
      </c>
      <c r="AQ167" s="46">
        <f t="shared" si="87"/>
        <v>10</v>
      </c>
      <c r="AR167" s="46">
        <f t="shared" si="87"/>
        <v>10</v>
      </c>
      <c r="AS167" s="46">
        <f t="shared" si="87"/>
        <v>10</v>
      </c>
      <c r="AT167" s="46">
        <f t="shared" si="87"/>
        <v>10</v>
      </c>
      <c r="AU167" s="46">
        <f t="shared" si="87"/>
        <v>10</v>
      </c>
      <c r="AV167" s="46">
        <f t="shared" si="87"/>
        <v>10</v>
      </c>
      <c r="AW167" s="46">
        <f t="shared" si="87"/>
        <v>10</v>
      </c>
      <c r="AX167" s="46">
        <f t="shared" si="87"/>
        <v>10</v>
      </c>
      <c r="AY167" s="46">
        <f t="shared" si="87"/>
        <v>10</v>
      </c>
      <c r="AZ167" s="46">
        <f t="shared" si="87"/>
        <v>10</v>
      </c>
      <c r="BA167" s="46">
        <f t="shared" si="87"/>
        <v>10</v>
      </c>
      <c r="BB167" s="46">
        <f t="shared" si="87"/>
        <v>10</v>
      </c>
      <c r="BC167" s="46">
        <f t="shared" si="87"/>
        <v>10</v>
      </c>
      <c r="BD167" s="46">
        <f t="shared" si="87"/>
        <v>10</v>
      </c>
      <c r="BE167" s="46">
        <f t="shared" si="87"/>
        <v>10</v>
      </c>
      <c r="BF167" s="46">
        <f t="shared" si="87"/>
        <v>10</v>
      </c>
      <c r="BG167" s="46">
        <f t="shared" si="87"/>
        <v>10</v>
      </c>
      <c r="BH167" s="46">
        <f t="shared" si="87"/>
        <v>10</v>
      </c>
      <c r="BI167" s="46">
        <f t="shared" si="87"/>
        <v>10</v>
      </c>
      <c r="BJ167" s="46">
        <f t="shared" si="87"/>
        <v>10</v>
      </c>
      <c r="BK167" s="46">
        <f t="shared" si="87"/>
        <v>10</v>
      </c>
      <c r="BL167" s="46">
        <f t="shared" si="87"/>
        <v>10</v>
      </c>
      <c r="BM167" s="46">
        <f t="shared" si="87"/>
        <v>10</v>
      </c>
      <c r="BN167" s="46">
        <f t="shared" si="87"/>
        <v>10</v>
      </c>
      <c r="BO167" s="46">
        <f t="shared" si="87"/>
        <v>10</v>
      </c>
    </row>
    <row r="168" spans="1:67" ht="16.5" customHeight="1">
      <c r="A168" s="1"/>
      <c r="B168" s="16" t="s">
        <v>187</v>
      </c>
      <c r="C168" s="17" t="s">
        <v>85</v>
      </c>
      <c r="D168" s="16" t="s">
        <v>185</v>
      </c>
      <c r="E168" s="16"/>
      <c r="F168" s="16"/>
      <c r="G168" s="16"/>
      <c r="H168" s="16" t="s">
        <v>143</v>
      </c>
      <c r="I168" s="48">
        <f>IF(H168=Forecast!$H$195,T168,IF(H168=Forecast!$H$196,BO168,IF(H168=Forecast!$H$197,SUM(T168:BO168),IF(H168=Forecast!$H$198,AVERAGE(T168:BO168),0))))</f>
        <v>0</v>
      </c>
      <c r="J168" s="16"/>
      <c r="K168" s="16"/>
      <c r="L168" s="16"/>
      <c r="M168" s="16"/>
      <c r="N168" s="16"/>
      <c r="O168" s="16"/>
      <c r="P168" s="16"/>
      <c r="Q168" s="16"/>
      <c r="R168" s="16"/>
      <c r="S168" s="46"/>
      <c r="T168" s="48">
        <f t="shared" ref="T168:BO168" si="88">IF(EOMONTH(T33,0)=T4,T29,S168*(1+T30))</f>
        <v>0</v>
      </c>
      <c r="U168" s="48">
        <f t="shared" si="88"/>
        <v>0</v>
      </c>
      <c r="V168" s="48">
        <f t="shared" si="88"/>
        <v>0</v>
      </c>
      <c r="W168" s="48">
        <f t="shared" si="88"/>
        <v>0</v>
      </c>
      <c r="X168" s="48">
        <f t="shared" si="88"/>
        <v>0</v>
      </c>
      <c r="Y168" s="48">
        <f t="shared" si="88"/>
        <v>0</v>
      </c>
      <c r="Z168" s="48">
        <f t="shared" si="88"/>
        <v>0</v>
      </c>
      <c r="AA168" s="48">
        <f t="shared" si="88"/>
        <v>0</v>
      </c>
      <c r="AB168" s="48">
        <f t="shared" si="88"/>
        <v>0</v>
      </c>
      <c r="AC168" s="48">
        <f t="shared" si="88"/>
        <v>0</v>
      </c>
      <c r="AD168" s="48">
        <f t="shared" si="88"/>
        <v>0</v>
      </c>
      <c r="AE168" s="48">
        <f t="shared" si="88"/>
        <v>0</v>
      </c>
      <c r="AF168" s="48">
        <f t="shared" si="88"/>
        <v>0</v>
      </c>
      <c r="AG168" s="48">
        <f t="shared" si="88"/>
        <v>0</v>
      </c>
      <c r="AH168" s="48">
        <f t="shared" si="88"/>
        <v>0</v>
      </c>
      <c r="AI168" s="48">
        <f t="shared" si="88"/>
        <v>0</v>
      </c>
      <c r="AJ168" s="48">
        <f t="shared" si="88"/>
        <v>0</v>
      </c>
      <c r="AK168" s="48">
        <f t="shared" si="88"/>
        <v>0</v>
      </c>
      <c r="AL168" s="48">
        <f t="shared" si="88"/>
        <v>0</v>
      </c>
      <c r="AM168" s="48">
        <f t="shared" si="88"/>
        <v>0</v>
      </c>
      <c r="AN168" s="48">
        <f t="shared" si="88"/>
        <v>0</v>
      </c>
      <c r="AO168" s="48">
        <f t="shared" si="88"/>
        <v>0</v>
      </c>
      <c r="AP168" s="48">
        <f t="shared" si="88"/>
        <v>0</v>
      </c>
      <c r="AQ168" s="48">
        <f t="shared" si="88"/>
        <v>0</v>
      </c>
      <c r="AR168" s="48">
        <f t="shared" si="88"/>
        <v>0</v>
      </c>
      <c r="AS168" s="48">
        <f t="shared" si="88"/>
        <v>0</v>
      </c>
      <c r="AT168" s="48">
        <f t="shared" si="88"/>
        <v>0</v>
      </c>
      <c r="AU168" s="48">
        <f t="shared" si="88"/>
        <v>0</v>
      </c>
      <c r="AV168" s="48">
        <f t="shared" si="88"/>
        <v>0</v>
      </c>
      <c r="AW168" s="48">
        <f t="shared" si="88"/>
        <v>0</v>
      </c>
      <c r="AX168" s="48">
        <f t="shared" si="88"/>
        <v>0</v>
      </c>
      <c r="AY168" s="48">
        <f t="shared" si="88"/>
        <v>0</v>
      </c>
      <c r="AZ168" s="48">
        <f t="shared" si="88"/>
        <v>0</v>
      </c>
      <c r="BA168" s="48">
        <f t="shared" si="88"/>
        <v>0</v>
      </c>
      <c r="BB168" s="48">
        <f t="shared" si="88"/>
        <v>0</v>
      </c>
      <c r="BC168" s="48">
        <f t="shared" si="88"/>
        <v>0</v>
      </c>
      <c r="BD168" s="48">
        <f t="shared" si="88"/>
        <v>0</v>
      </c>
      <c r="BE168" s="48">
        <f t="shared" si="88"/>
        <v>0</v>
      </c>
      <c r="BF168" s="48">
        <f t="shared" si="88"/>
        <v>0</v>
      </c>
      <c r="BG168" s="48">
        <f t="shared" si="88"/>
        <v>0</v>
      </c>
      <c r="BH168" s="48">
        <f t="shared" si="88"/>
        <v>0</v>
      </c>
      <c r="BI168" s="48">
        <f t="shared" si="88"/>
        <v>0</v>
      </c>
      <c r="BJ168" s="48">
        <f t="shared" si="88"/>
        <v>0</v>
      </c>
      <c r="BK168" s="48">
        <f t="shared" si="88"/>
        <v>0</v>
      </c>
      <c r="BL168" s="48">
        <f t="shared" si="88"/>
        <v>0</v>
      </c>
      <c r="BM168" s="48">
        <f t="shared" si="88"/>
        <v>0</v>
      </c>
      <c r="BN168" s="48">
        <f t="shared" si="88"/>
        <v>0</v>
      </c>
      <c r="BO168" s="48">
        <f t="shared" si="88"/>
        <v>0</v>
      </c>
    </row>
    <row r="169" spans="1:67" ht="16.5" customHeight="1">
      <c r="A169" s="1"/>
      <c r="B169" s="16"/>
      <c r="C169" s="17"/>
      <c r="D169" s="16"/>
      <c r="E169" s="16"/>
      <c r="F169" s="16"/>
      <c r="G169" s="16"/>
      <c r="H169" s="16"/>
      <c r="I169" s="46"/>
      <c r="J169" s="16"/>
      <c r="K169" s="16"/>
      <c r="L169" s="16"/>
      <c r="M169" s="16"/>
      <c r="N169" s="16"/>
      <c r="O169" s="16"/>
      <c r="P169" s="16"/>
      <c r="Q169" s="16"/>
      <c r="R169" s="16"/>
      <c r="S169" s="46"/>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row>
    <row r="170" spans="1:67" ht="16.5" customHeight="1">
      <c r="A170" s="1"/>
      <c r="B170" s="22" t="s">
        <v>188</v>
      </c>
      <c r="C170" s="17"/>
      <c r="D170" s="16"/>
      <c r="E170" s="16"/>
      <c r="F170" s="16"/>
      <c r="G170" s="16"/>
      <c r="H170" s="16"/>
      <c r="I170" s="46"/>
      <c r="J170" s="16"/>
      <c r="K170" s="16"/>
      <c r="L170" s="16"/>
      <c r="M170" s="16"/>
      <c r="N170" s="16"/>
      <c r="O170" s="16"/>
      <c r="P170" s="16"/>
      <c r="Q170" s="16"/>
      <c r="R170" s="16"/>
      <c r="S170" s="46"/>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row>
    <row r="171" spans="1:67" ht="16.5" customHeight="1">
      <c r="A171" s="1"/>
      <c r="B171" s="16" t="s">
        <v>189</v>
      </c>
      <c r="C171" s="17" t="str">
        <f>'Get Started'!D$7</f>
        <v>$</v>
      </c>
      <c r="D171" s="16" t="s">
        <v>190</v>
      </c>
      <c r="E171" s="16"/>
      <c r="F171" s="16"/>
      <c r="G171" s="16"/>
      <c r="H171" s="16" t="s">
        <v>155</v>
      </c>
      <c r="I171" s="46">
        <f t="shared" ref="I171:I180" ca="1" si="89">IF(H171="initial",T171,IF(H171="final",BO171,IF(H171="sum",SUM(T171:BO171))))</f>
        <v>486610414.08494234</v>
      </c>
      <c r="J171" s="16"/>
      <c r="K171" s="16"/>
      <c r="L171" s="16"/>
      <c r="M171" s="16"/>
      <c r="N171" s="16"/>
      <c r="O171" s="16"/>
      <c r="P171" s="16"/>
      <c r="Q171" s="16"/>
      <c r="R171" s="16"/>
      <c r="S171" s="56" t="str">
        <f t="shared" ref="S171:S180" si="90">B171</f>
        <v>Revenues</v>
      </c>
      <c r="T171" s="46">
        <f t="shared" ref="T171:BO171" ca="1" si="91">T152*T159+T160*T153</f>
        <v>305928.95819071401</v>
      </c>
      <c r="U171" s="46">
        <f t="shared" ca="1" si="91"/>
        <v>125897.78534690724</v>
      </c>
      <c r="V171" s="46">
        <f t="shared" ca="1" si="91"/>
        <v>179167.87138758699</v>
      </c>
      <c r="W171" s="46">
        <f t="shared" ca="1" si="91"/>
        <v>216369.401141482</v>
      </c>
      <c r="X171" s="46">
        <f t="shared" ca="1" si="91"/>
        <v>330021.38698074972</v>
      </c>
      <c r="Y171" s="46">
        <f t="shared" ca="1" si="91"/>
        <v>487542.62467441428</v>
      </c>
      <c r="Z171" s="46">
        <f t="shared" ca="1" si="91"/>
        <v>670629.78327292774</v>
      </c>
      <c r="AA171" s="46">
        <f t="shared" ca="1" si="91"/>
        <v>938196.26304349001</v>
      </c>
      <c r="AB171" s="46">
        <f t="shared" ca="1" si="91"/>
        <v>1268002.0402687776</v>
      </c>
      <c r="AC171" s="46">
        <f t="shared" ca="1" si="91"/>
        <v>1645441.4748239676</v>
      </c>
      <c r="AD171" s="46">
        <f t="shared" ca="1" si="91"/>
        <v>2101250.1023308677</v>
      </c>
      <c r="AE171" s="46">
        <f t="shared" ca="1" si="91"/>
        <v>2615616.557548508</v>
      </c>
      <c r="AF171" s="46">
        <f t="shared" ca="1" si="91"/>
        <v>3173401.7832667241</v>
      </c>
      <c r="AG171" s="46">
        <f t="shared" ca="1" si="91"/>
        <v>3786359.4347102409</v>
      </c>
      <c r="AH171" s="46">
        <f t="shared" ca="1" si="91"/>
        <v>4436751.3429334974</v>
      </c>
      <c r="AI171" s="46">
        <f t="shared" ca="1" si="91"/>
        <v>5110565.663538971</v>
      </c>
      <c r="AJ171" s="46">
        <f t="shared" ca="1" si="91"/>
        <v>5810218.5919173062</v>
      </c>
      <c r="AK171" s="46">
        <f t="shared" ca="1" si="91"/>
        <v>6521955.1710934415</v>
      </c>
      <c r="AL171" s="46">
        <f t="shared" ca="1" si="91"/>
        <v>7235155.2906478988</v>
      </c>
      <c r="AM171" s="46">
        <f t="shared" ca="1" si="91"/>
        <v>7949303.9244004302</v>
      </c>
      <c r="AN171" s="46">
        <f t="shared" ca="1" si="91"/>
        <v>8655395.4410995953</v>
      </c>
      <c r="AO171" s="46">
        <f t="shared" ca="1" si="91"/>
        <v>9346819.8039904963</v>
      </c>
      <c r="AP171" s="46">
        <f t="shared" ca="1" si="91"/>
        <v>10023057.114036566</v>
      </c>
      <c r="AQ171" s="46">
        <f t="shared" ca="1" si="91"/>
        <v>10679210.247103635</v>
      </c>
      <c r="AR171" s="46">
        <f t="shared" ca="1" si="91"/>
        <v>11312003.655576162</v>
      </c>
      <c r="AS171" s="46">
        <f t="shared" ca="1" si="91"/>
        <v>11921695.830128862</v>
      </c>
      <c r="AT171" s="46">
        <f t="shared" ca="1" si="91"/>
        <v>12506270.071440881</v>
      </c>
      <c r="AU171" s="46">
        <f t="shared" ca="1" si="91"/>
        <v>13064687.047932006</v>
      </c>
      <c r="AV171" s="46">
        <f t="shared" ca="1" si="91"/>
        <v>13597862.916592553</v>
      </c>
      <c r="AW171" s="46">
        <f t="shared" ca="1" si="91"/>
        <v>14105492.169268373</v>
      </c>
      <c r="AX171" s="46">
        <f t="shared" ca="1" si="91"/>
        <v>14587792.660225345</v>
      </c>
      <c r="AY171" s="46">
        <f t="shared" ca="1" si="91"/>
        <v>15046005.33607435</v>
      </c>
      <c r="AZ171" s="46">
        <f t="shared" ca="1" si="91"/>
        <v>15480681.927462809</v>
      </c>
      <c r="BA171" s="46">
        <f t="shared" ca="1" si="91"/>
        <v>15892615.521659639</v>
      </c>
      <c r="BB171" s="46">
        <f t="shared" ca="1" si="91"/>
        <v>16283098.170492988</v>
      </c>
      <c r="BC171" s="46">
        <f t="shared" ca="1" si="91"/>
        <v>16653011.314986873</v>
      </c>
      <c r="BD171" s="46">
        <f t="shared" ca="1" si="91"/>
        <v>17003418.372521818</v>
      </c>
      <c r="BE171" s="46">
        <f t="shared" ca="1" si="91"/>
        <v>17335316.365273707</v>
      </c>
      <c r="BF171" s="46">
        <f t="shared" ca="1" si="91"/>
        <v>17649725.223403133</v>
      </c>
      <c r="BG171" s="46">
        <f t="shared" ca="1" si="91"/>
        <v>17947631.287986901</v>
      </c>
      <c r="BH171" s="46">
        <f t="shared" ca="1" si="91"/>
        <v>18229950.930623587</v>
      </c>
      <c r="BI171" s="46">
        <f t="shared" ca="1" si="91"/>
        <v>18497580.087964818</v>
      </c>
      <c r="BJ171" s="46">
        <f t="shared" ca="1" si="91"/>
        <v>18751367.523133673</v>
      </c>
      <c r="BK171" s="46">
        <f t="shared" ca="1" si="91"/>
        <v>18992098.707978185</v>
      </c>
      <c r="BL171" s="46">
        <f t="shared" ca="1" si="91"/>
        <v>19220524.112599753</v>
      </c>
      <c r="BM171" s="46">
        <f t="shared" ca="1" si="91"/>
        <v>19437347.677335963</v>
      </c>
      <c r="BN171" s="46">
        <f t="shared" ca="1" si="91"/>
        <v>19643220.697302319</v>
      </c>
      <c r="BO171" s="46">
        <f t="shared" ca="1" si="91"/>
        <v>19838758.41922839</v>
      </c>
    </row>
    <row r="172" spans="1:67" ht="16.5" customHeight="1">
      <c r="A172" s="1"/>
      <c r="B172" s="16" t="s">
        <v>191</v>
      </c>
      <c r="C172" s="17" t="str">
        <f>'Get Started'!D$7</f>
        <v>$</v>
      </c>
      <c r="D172" s="16" t="s">
        <v>192</v>
      </c>
      <c r="E172" s="16"/>
      <c r="F172" s="16"/>
      <c r="G172" s="16"/>
      <c r="H172" s="16" t="s">
        <v>155</v>
      </c>
      <c r="I172" s="46">
        <f t="shared" ca="1" si="89"/>
        <v>0</v>
      </c>
      <c r="J172" s="16"/>
      <c r="K172" s="16"/>
      <c r="L172" s="16"/>
      <c r="M172" s="16"/>
      <c r="N172" s="16"/>
      <c r="O172" s="16"/>
      <c r="P172" s="16"/>
      <c r="Q172" s="16"/>
      <c r="R172" s="16"/>
      <c r="S172" s="56" t="str">
        <f t="shared" si="90"/>
        <v>Shipping Revenues</v>
      </c>
      <c r="T172" s="46">
        <f t="shared" ref="T172:BO172" ca="1" si="92">T54*T25</f>
        <v>0</v>
      </c>
      <c r="U172" s="46">
        <f t="shared" ca="1" si="92"/>
        <v>0</v>
      </c>
      <c r="V172" s="46">
        <f t="shared" ca="1" si="92"/>
        <v>0</v>
      </c>
      <c r="W172" s="46">
        <f t="shared" ca="1" si="92"/>
        <v>0</v>
      </c>
      <c r="X172" s="46">
        <f t="shared" ca="1" si="92"/>
        <v>0</v>
      </c>
      <c r="Y172" s="46">
        <f t="shared" ca="1" si="92"/>
        <v>0</v>
      </c>
      <c r="Z172" s="46">
        <f t="shared" ca="1" si="92"/>
        <v>0</v>
      </c>
      <c r="AA172" s="46">
        <f t="shared" ca="1" si="92"/>
        <v>0</v>
      </c>
      <c r="AB172" s="46">
        <f t="shared" ca="1" si="92"/>
        <v>0</v>
      </c>
      <c r="AC172" s="46">
        <f t="shared" ca="1" si="92"/>
        <v>0</v>
      </c>
      <c r="AD172" s="46">
        <f t="shared" ca="1" si="92"/>
        <v>0</v>
      </c>
      <c r="AE172" s="46">
        <f t="shared" ca="1" si="92"/>
        <v>0</v>
      </c>
      <c r="AF172" s="46">
        <f t="shared" ca="1" si="92"/>
        <v>0</v>
      </c>
      <c r="AG172" s="46">
        <f t="shared" ca="1" si="92"/>
        <v>0</v>
      </c>
      <c r="AH172" s="46">
        <f t="shared" ca="1" si="92"/>
        <v>0</v>
      </c>
      <c r="AI172" s="46">
        <f t="shared" ca="1" si="92"/>
        <v>0</v>
      </c>
      <c r="AJ172" s="46">
        <f t="shared" ca="1" si="92"/>
        <v>0</v>
      </c>
      <c r="AK172" s="46">
        <f t="shared" ca="1" si="92"/>
        <v>0</v>
      </c>
      <c r="AL172" s="46">
        <f t="shared" ca="1" si="92"/>
        <v>0</v>
      </c>
      <c r="AM172" s="46">
        <f t="shared" ca="1" si="92"/>
        <v>0</v>
      </c>
      <c r="AN172" s="46">
        <f t="shared" ca="1" si="92"/>
        <v>0</v>
      </c>
      <c r="AO172" s="46">
        <f t="shared" ca="1" si="92"/>
        <v>0</v>
      </c>
      <c r="AP172" s="46">
        <f t="shared" ca="1" si="92"/>
        <v>0</v>
      </c>
      <c r="AQ172" s="46">
        <f t="shared" ca="1" si="92"/>
        <v>0</v>
      </c>
      <c r="AR172" s="46">
        <f t="shared" ca="1" si="92"/>
        <v>0</v>
      </c>
      <c r="AS172" s="46">
        <f t="shared" ca="1" si="92"/>
        <v>0</v>
      </c>
      <c r="AT172" s="46">
        <f t="shared" ca="1" si="92"/>
        <v>0</v>
      </c>
      <c r="AU172" s="46">
        <f t="shared" ca="1" si="92"/>
        <v>0</v>
      </c>
      <c r="AV172" s="46">
        <f t="shared" ca="1" si="92"/>
        <v>0</v>
      </c>
      <c r="AW172" s="46">
        <f t="shared" ca="1" si="92"/>
        <v>0</v>
      </c>
      <c r="AX172" s="46">
        <f t="shared" ca="1" si="92"/>
        <v>0</v>
      </c>
      <c r="AY172" s="46">
        <f t="shared" ca="1" si="92"/>
        <v>0</v>
      </c>
      <c r="AZ172" s="46">
        <f t="shared" ca="1" si="92"/>
        <v>0</v>
      </c>
      <c r="BA172" s="46">
        <f t="shared" ca="1" si="92"/>
        <v>0</v>
      </c>
      <c r="BB172" s="46">
        <f t="shared" ca="1" si="92"/>
        <v>0</v>
      </c>
      <c r="BC172" s="46">
        <f t="shared" ca="1" si="92"/>
        <v>0</v>
      </c>
      <c r="BD172" s="46">
        <f t="shared" ca="1" si="92"/>
        <v>0</v>
      </c>
      <c r="BE172" s="46">
        <f t="shared" ca="1" si="92"/>
        <v>0</v>
      </c>
      <c r="BF172" s="46">
        <f t="shared" ca="1" si="92"/>
        <v>0</v>
      </c>
      <c r="BG172" s="46">
        <f t="shared" ca="1" si="92"/>
        <v>0</v>
      </c>
      <c r="BH172" s="46">
        <f t="shared" ca="1" si="92"/>
        <v>0</v>
      </c>
      <c r="BI172" s="46">
        <f t="shared" ca="1" si="92"/>
        <v>0</v>
      </c>
      <c r="BJ172" s="46">
        <f t="shared" ca="1" si="92"/>
        <v>0</v>
      </c>
      <c r="BK172" s="46">
        <f t="shared" ca="1" si="92"/>
        <v>0</v>
      </c>
      <c r="BL172" s="46">
        <f t="shared" ca="1" si="92"/>
        <v>0</v>
      </c>
      <c r="BM172" s="46">
        <f t="shared" ca="1" si="92"/>
        <v>0</v>
      </c>
      <c r="BN172" s="46">
        <f t="shared" ca="1" si="92"/>
        <v>0</v>
      </c>
      <c r="BO172" s="46">
        <f t="shared" ca="1" si="92"/>
        <v>0</v>
      </c>
    </row>
    <row r="173" spans="1:67" ht="16.5" customHeight="1">
      <c r="A173" s="1"/>
      <c r="B173" s="16" t="s">
        <v>193</v>
      </c>
      <c r="C173" s="17" t="str">
        <f>'Get Started'!D$7</f>
        <v>$</v>
      </c>
      <c r="D173" s="16" t="s">
        <v>194</v>
      </c>
      <c r="E173" s="16"/>
      <c r="F173" s="16"/>
      <c r="G173" s="16"/>
      <c r="H173" s="16" t="s">
        <v>155</v>
      </c>
      <c r="I173" s="46">
        <f t="shared" ca="1" si="89"/>
        <v>486610414.08494234</v>
      </c>
      <c r="J173" s="16"/>
      <c r="K173" s="16"/>
      <c r="L173" s="16"/>
      <c r="M173" s="16"/>
      <c r="N173" s="16"/>
      <c r="O173" s="16"/>
      <c r="P173" s="16"/>
      <c r="Q173" s="16"/>
      <c r="R173" s="16"/>
      <c r="S173" s="56" t="str">
        <f t="shared" si="90"/>
        <v>Total Revenues</v>
      </c>
      <c r="T173" s="46">
        <f t="shared" ref="T173:BO173" ca="1" si="93">T171+T172</f>
        <v>305928.95819071401</v>
      </c>
      <c r="U173" s="46">
        <f t="shared" ca="1" si="93"/>
        <v>125897.78534690724</v>
      </c>
      <c r="V173" s="46">
        <f t="shared" ca="1" si="93"/>
        <v>179167.87138758699</v>
      </c>
      <c r="W173" s="46">
        <f t="shared" ca="1" si="93"/>
        <v>216369.401141482</v>
      </c>
      <c r="X173" s="46">
        <f t="shared" ca="1" si="93"/>
        <v>330021.38698074972</v>
      </c>
      <c r="Y173" s="46">
        <f t="shared" ca="1" si="93"/>
        <v>487542.62467441428</v>
      </c>
      <c r="Z173" s="46">
        <f t="shared" ca="1" si="93"/>
        <v>670629.78327292774</v>
      </c>
      <c r="AA173" s="46">
        <f t="shared" ca="1" si="93"/>
        <v>938196.26304349001</v>
      </c>
      <c r="AB173" s="46">
        <f t="shared" ca="1" si="93"/>
        <v>1268002.0402687776</v>
      </c>
      <c r="AC173" s="46">
        <f t="shared" ca="1" si="93"/>
        <v>1645441.4748239676</v>
      </c>
      <c r="AD173" s="46">
        <f t="shared" ca="1" si="93"/>
        <v>2101250.1023308677</v>
      </c>
      <c r="AE173" s="46">
        <f t="shared" ca="1" si="93"/>
        <v>2615616.557548508</v>
      </c>
      <c r="AF173" s="46">
        <f t="shared" ca="1" si="93"/>
        <v>3173401.7832667241</v>
      </c>
      <c r="AG173" s="46">
        <f t="shared" ca="1" si="93"/>
        <v>3786359.4347102409</v>
      </c>
      <c r="AH173" s="46">
        <f t="shared" ca="1" si="93"/>
        <v>4436751.3429334974</v>
      </c>
      <c r="AI173" s="46">
        <f t="shared" ca="1" si="93"/>
        <v>5110565.663538971</v>
      </c>
      <c r="AJ173" s="46">
        <f t="shared" ca="1" si="93"/>
        <v>5810218.5919173062</v>
      </c>
      <c r="AK173" s="46">
        <f t="shared" ca="1" si="93"/>
        <v>6521955.1710934415</v>
      </c>
      <c r="AL173" s="46">
        <f t="shared" ca="1" si="93"/>
        <v>7235155.2906478988</v>
      </c>
      <c r="AM173" s="46">
        <f t="shared" ca="1" si="93"/>
        <v>7949303.9244004302</v>
      </c>
      <c r="AN173" s="46">
        <f t="shared" ca="1" si="93"/>
        <v>8655395.4410995953</v>
      </c>
      <c r="AO173" s="46">
        <f t="shared" ca="1" si="93"/>
        <v>9346819.8039904963</v>
      </c>
      <c r="AP173" s="46">
        <f t="shared" ca="1" si="93"/>
        <v>10023057.114036566</v>
      </c>
      <c r="AQ173" s="46">
        <f t="shared" ca="1" si="93"/>
        <v>10679210.247103635</v>
      </c>
      <c r="AR173" s="46">
        <f t="shared" ca="1" si="93"/>
        <v>11312003.655576162</v>
      </c>
      <c r="AS173" s="46">
        <f t="shared" ca="1" si="93"/>
        <v>11921695.830128862</v>
      </c>
      <c r="AT173" s="46">
        <f t="shared" ca="1" si="93"/>
        <v>12506270.071440881</v>
      </c>
      <c r="AU173" s="46">
        <f t="shared" ca="1" si="93"/>
        <v>13064687.047932006</v>
      </c>
      <c r="AV173" s="46">
        <f t="shared" ca="1" si="93"/>
        <v>13597862.916592553</v>
      </c>
      <c r="AW173" s="46">
        <f t="shared" ca="1" si="93"/>
        <v>14105492.169268373</v>
      </c>
      <c r="AX173" s="46">
        <f t="shared" ca="1" si="93"/>
        <v>14587792.660225345</v>
      </c>
      <c r="AY173" s="46">
        <f t="shared" ca="1" si="93"/>
        <v>15046005.33607435</v>
      </c>
      <c r="AZ173" s="46">
        <f t="shared" ca="1" si="93"/>
        <v>15480681.927462809</v>
      </c>
      <c r="BA173" s="46">
        <f t="shared" ca="1" si="93"/>
        <v>15892615.521659639</v>
      </c>
      <c r="BB173" s="46">
        <f t="shared" ca="1" si="93"/>
        <v>16283098.170492988</v>
      </c>
      <c r="BC173" s="46">
        <f t="shared" ca="1" si="93"/>
        <v>16653011.314986873</v>
      </c>
      <c r="BD173" s="46">
        <f t="shared" ca="1" si="93"/>
        <v>17003418.372521818</v>
      </c>
      <c r="BE173" s="46">
        <f t="shared" ca="1" si="93"/>
        <v>17335316.365273707</v>
      </c>
      <c r="BF173" s="46">
        <f t="shared" ca="1" si="93"/>
        <v>17649725.223403133</v>
      </c>
      <c r="BG173" s="46">
        <f t="shared" ca="1" si="93"/>
        <v>17947631.287986901</v>
      </c>
      <c r="BH173" s="46">
        <f t="shared" ca="1" si="93"/>
        <v>18229950.930623587</v>
      </c>
      <c r="BI173" s="46">
        <f t="shared" ca="1" si="93"/>
        <v>18497580.087964818</v>
      </c>
      <c r="BJ173" s="46">
        <f t="shared" ca="1" si="93"/>
        <v>18751367.523133673</v>
      </c>
      <c r="BK173" s="46">
        <f t="shared" ca="1" si="93"/>
        <v>18992098.707978185</v>
      </c>
      <c r="BL173" s="46">
        <f t="shared" ca="1" si="93"/>
        <v>19220524.112599753</v>
      </c>
      <c r="BM173" s="46">
        <f t="shared" ca="1" si="93"/>
        <v>19437347.677335963</v>
      </c>
      <c r="BN173" s="46">
        <f t="shared" ca="1" si="93"/>
        <v>19643220.697302319</v>
      </c>
      <c r="BO173" s="46">
        <f t="shared" ca="1" si="93"/>
        <v>19838758.41922839</v>
      </c>
    </row>
    <row r="174" spans="1:67" ht="16.5" customHeight="1">
      <c r="A174" s="1"/>
      <c r="B174" s="16" t="s">
        <v>88</v>
      </c>
      <c r="C174" s="17" t="str">
        <f>'Get Started'!D$7</f>
        <v>$</v>
      </c>
      <c r="D174" s="16" t="s">
        <v>195</v>
      </c>
      <c r="E174" s="16"/>
      <c r="F174" s="16"/>
      <c r="G174" s="16"/>
      <c r="H174" s="16" t="s">
        <v>155</v>
      </c>
      <c r="I174" s="46">
        <f t="shared" ca="1" si="89"/>
        <v>121652603.52123559</v>
      </c>
      <c r="J174" s="16"/>
      <c r="K174" s="16"/>
      <c r="L174" s="16"/>
      <c r="M174" s="16"/>
      <c r="N174" s="16"/>
      <c r="O174" s="16"/>
      <c r="P174" s="16"/>
      <c r="Q174" s="16"/>
      <c r="R174" s="16"/>
      <c r="S174" s="56" t="str">
        <f t="shared" si="90"/>
        <v>Cost of Sales</v>
      </c>
      <c r="T174" s="46">
        <f t="shared" ref="T174:BO174" ca="1" si="94">T171*T162</f>
        <v>76482.239547678502</v>
      </c>
      <c r="U174" s="46">
        <f t="shared" ca="1" si="94"/>
        <v>31474.446336726811</v>
      </c>
      <c r="V174" s="46">
        <f t="shared" ca="1" si="94"/>
        <v>44791.967846896747</v>
      </c>
      <c r="W174" s="46">
        <f t="shared" ca="1" si="94"/>
        <v>54092.350285370499</v>
      </c>
      <c r="X174" s="46">
        <f t="shared" ca="1" si="94"/>
        <v>82505.346745187431</v>
      </c>
      <c r="Y174" s="46">
        <f t="shared" ca="1" si="94"/>
        <v>121885.65616860357</v>
      </c>
      <c r="Z174" s="46">
        <f t="shared" ca="1" si="94"/>
        <v>167657.44581823194</v>
      </c>
      <c r="AA174" s="46">
        <f t="shared" ca="1" si="94"/>
        <v>234549.0657608725</v>
      </c>
      <c r="AB174" s="46">
        <f t="shared" ca="1" si="94"/>
        <v>317000.51006719441</v>
      </c>
      <c r="AC174" s="46">
        <f t="shared" ca="1" si="94"/>
        <v>411360.36870599189</v>
      </c>
      <c r="AD174" s="46">
        <f t="shared" ca="1" si="94"/>
        <v>525312.52558271692</v>
      </c>
      <c r="AE174" s="46">
        <f t="shared" ca="1" si="94"/>
        <v>653904.13938712701</v>
      </c>
      <c r="AF174" s="46">
        <f t="shared" ca="1" si="94"/>
        <v>793350.44581668102</v>
      </c>
      <c r="AG174" s="46">
        <f t="shared" ca="1" si="94"/>
        <v>946589.85867756023</v>
      </c>
      <c r="AH174" s="46">
        <f t="shared" ca="1" si="94"/>
        <v>1109187.8357333743</v>
      </c>
      <c r="AI174" s="46">
        <f t="shared" ca="1" si="94"/>
        <v>1277641.4158847427</v>
      </c>
      <c r="AJ174" s="46">
        <f t="shared" ca="1" si="94"/>
        <v>1452554.6479793265</v>
      </c>
      <c r="AK174" s="46">
        <f t="shared" ca="1" si="94"/>
        <v>1630488.7927733604</v>
      </c>
      <c r="AL174" s="46">
        <f t="shared" ca="1" si="94"/>
        <v>1808788.8226619747</v>
      </c>
      <c r="AM174" s="46">
        <f t="shared" ca="1" si="94"/>
        <v>1987325.9811001075</v>
      </c>
      <c r="AN174" s="46">
        <f t="shared" ca="1" si="94"/>
        <v>2163848.8602748988</v>
      </c>
      <c r="AO174" s="46">
        <f t="shared" ca="1" si="94"/>
        <v>2336704.9509976241</v>
      </c>
      <c r="AP174" s="46">
        <f t="shared" ca="1" si="94"/>
        <v>2505764.2785091414</v>
      </c>
      <c r="AQ174" s="46">
        <f t="shared" ca="1" si="94"/>
        <v>2669802.5617759088</v>
      </c>
      <c r="AR174" s="46">
        <f t="shared" ca="1" si="94"/>
        <v>2828000.9138940405</v>
      </c>
      <c r="AS174" s="46">
        <f t="shared" ca="1" si="94"/>
        <v>2980423.9575322154</v>
      </c>
      <c r="AT174" s="46">
        <f t="shared" ca="1" si="94"/>
        <v>3126567.5178602203</v>
      </c>
      <c r="AU174" s="46">
        <f t="shared" ca="1" si="94"/>
        <v>3266171.7619830016</v>
      </c>
      <c r="AV174" s="46">
        <f t="shared" ca="1" si="94"/>
        <v>3399465.7291481383</v>
      </c>
      <c r="AW174" s="46">
        <f t="shared" ca="1" si="94"/>
        <v>3526373.0423170933</v>
      </c>
      <c r="AX174" s="46">
        <f t="shared" ca="1" si="94"/>
        <v>3646948.1650563362</v>
      </c>
      <c r="AY174" s="46">
        <f t="shared" ca="1" si="94"/>
        <v>3761501.3340185876</v>
      </c>
      <c r="AZ174" s="46">
        <f t="shared" ca="1" si="94"/>
        <v>3870170.4818657022</v>
      </c>
      <c r="BA174" s="46">
        <f t="shared" ca="1" si="94"/>
        <v>3973153.8804149097</v>
      </c>
      <c r="BB174" s="46">
        <f t="shared" ca="1" si="94"/>
        <v>4070774.542623247</v>
      </c>
      <c r="BC174" s="46">
        <f t="shared" ca="1" si="94"/>
        <v>4163252.8287467184</v>
      </c>
      <c r="BD174" s="46">
        <f t="shared" ca="1" si="94"/>
        <v>4250854.5931304544</v>
      </c>
      <c r="BE174" s="46">
        <f t="shared" ca="1" si="94"/>
        <v>4333829.0913184267</v>
      </c>
      <c r="BF174" s="46">
        <f t="shared" ca="1" si="94"/>
        <v>4412431.3058507834</v>
      </c>
      <c r="BG174" s="46">
        <f t="shared" ca="1" si="94"/>
        <v>4486907.8219967252</v>
      </c>
      <c r="BH174" s="46">
        <f t="shared" ca="1" si="94"/>
        <v>4557487.7326558968</v>
      </c>
      <c r="BI174" s="46">
        <f t="shared" ca="1" si="94"/>
        <v>4624395.0219912045</v>
      </c>
      <c r="BJ174" s="46">
        <f t="shared" ca="1" si="94"/>
        <v>4687841.8807834182</v>
      </c>
      <c r="BK174" s="46">
        <f t="shared" ca="1" si="94"/>
        <v>4748024.6769945463</v>
      </c>
      <c r="BL174" s="46">
        <f t="shared" ca="1" si="94"/>
        <v>4805131.0281499382</v>
      </c>
      <c r="BM174" s="46">
        <f t="shared" ca="1" si="94"/>
        <v>4859336.9193339907</v>
      </c>
      <c r="BN174" s="46">
        <f t="shared" ca="1" si="94"/>
        <v>4910805.1743255798</v>
      </c>
      <c r="BO174" s="46">
        <f t="shared" ca="1" si="94"/>
        <v>4959689.6048070975</v>
      </c>
    </row>
    <row r="175" spans="1:67" ht="16.5" customHeight="1">
      <c r="A175" s="1"/>
      <c r="B175" s="16" t="str">
        <f>'Get Started'!B23</f>
        <v>Additional Cost of Sales</v>
      </c>
      <c r="C175" s="17" t="str">
        <f>'Get Started'!D$7</f>
        <v>$</v>
      </c>
      <c r="D175" s="16" t="str">
        <f t="shared" ref="D175:D176" si="95">"orders * average cost, as % of revenue"</f>
        <v>orders * average cost, as % of revenue</v>
      </c>
      <c r="E175" s="16"/>
      <c r="F175" s="16"/>
      <c r="G175" s="16"/>
      <c r="H175" s="16" t="s">
        <v>155</v>
      </c>
      <c r="I175" s="46">
        <f t="shared" ca="1" si="89"/>
        <v>48661041.408494227</v>
      </c>
      <c r="J175" s="16"/>
      <c r="K175" s="16"/>
      <c r="L175" s="16"/>
      <c r="M175" s="16"/>
      <c r="N175" s="16"/>
      <c r="O175" s="16"/>
      <c r="P175" s="16"/>
      <c r="Q175" s="16"/>
      <c r="R175" s="16"/>
      <c r="S175" s="56" t="str">
        <f t="shared" si="90"/>
        <v>Additional Cost of Sales</v>
      </c>
      <c r="T175" s="46">
        <f t="shared" ref="T175:BO175" ca="1" si="96">T171*T163</f>
        <v>30592.895819071404</v>
      </c>
      <c r="U175" s="46">
        <f t="shared" ca="1" si="96"/>
        <v>12589.778534690726</v>
      </c>
      <c r="V175" s="46">
        <f t="shared" ca="1" si="96"/>
        <v>17916.7871387587</v>
      </c>
      <c r="W175" s="46">
        <f t="shared" ca="1" si="96"/>
        <v>21636.940114148201</v>
      </c>
      <c r="X175" s="46">
        <f t="shared" ca="1" si="96"/>
        <v>33002.138698074974</v>
      </c>
      <c r="Y175" s="46">
        <f t="shared" ca="1" si="96"/>
        <v>48754.262467441433</v>
      </c>
      <c r="Z175" s="46">
        <f t="shared" ca="1" si="96"/>
        <v>67062.978327292774</v>
      </c>
      <c r="AA175" s="46">
        <f t="shared" ca="1" si="96"/>
        <v>93819.626304349003</v>
      </c>
      <c r="AB175" s="46">
        <f t="shared" ca="1" si="96"/>
        <v>126800.20402687776</v>
      </c>
      <c r="AC175" s="46">
        <f t="shared" ca="1" si="96"/>
        <v>164544.14748239677</v>
      </c>
      <c r="AD175" s="46">
        <f t="shared" ca="1" si="96"/>
        <v>210125.01023308677</v>
      </c>
      <c r="AE175" s="46">
        <f t="shared" ca="1" si="96"/>
        <v>261561.65575485083</v>
      </c>
      <c r="AF175" s="46">
        <f t="shared" ca="1" si="96"/>
        <v>317340.17832667241</v>
      </c>
      <c r="AG175" s="46">
        <f t="shared" ca="1" si="96"/>
        <v>378635.9434710241</v>
      </c>
      <c r="AH175" s="46">
        <f t="shared" ca="1" si="96"/>
        <v>443675.13429334975</v>
      </c>
      <c r="AI175" s="46">
        <f t="shared" ca="1" si="96"/>
        <v>511056.5663538971</v>
      </c>
      <c r="AJ175" s="46">
        <f t="shared" ca="1" si="96"/>
        <v>581021.85919173062</v>
      </c>
      <c r="AK175" s="46">
        <f t="shared" ca="1" si="96"/>
        <v>652195.51710934425</v>
      </c>
      <c r="AL175" s="46">
        <f t="shared" ca="1" si="96"/>
        <v>723515.52906478988</v>
      </c>
      <c r="AM175" s="46">
        <f t="shared" ca="1" si="96"/>
        <v>794930.39244004304</v>
      </c>
      <c r="AN175" s="46">
        <f t="shared" ca="1" si="96"/>
        <v>865539.54410995962</v>
      </c>
      <c r="AO175" s="46">
        <f t="shared" ca="1" si="96"/>
        <v>934681.9803990497</v>
      </c>
      <c r="AP175" s="46">
        <f t="shared" ca="1" si="96"/>
        <v>1002305.7114036566</v>
      </c>
      <c r="AQ175" s="46">
        <f t="shared" ca="1" si="96"/>
        <v>1067921.0247103635</v>
      </c>
      <c r="AR175" s="46">
        <f t="shared" ca="1" si="96"/>
        <v>1131200.3655576163</v>
      </c>
      <c r="AS175" s="46">
        <f t="shared" ca="1" si="96"/>
        <v>1192169.5830128861</v>
      </c>
      <c r="AT175" s="46">
        <f t="shared" ca="1" si="96"/>
        <v>1250627.0071440882</v>
      </c>
      <c r="AU175" s="46">
        <f t="shared" ca="1" si="96"/>
        <v>1306468.7047932008</v>
      </c>
      <c r="AV175" s="46">
        <f t="shared" ca="1" si="96"/>
        <v>1359786.2916592555</v>
      </c>
      <c r="AW175" s="46">
        <f t="shared" ca="1" si="96"/>
        <v>1410549.2169268373</v>
      </c>
      <c r="AX175" s="46">
        <f t="shared" ca="1" si="96"/>
        <v>1458779.2660225346</v>
      </c>
      <c r="AY175" s="46">
        <f t="shared" ca="1" si="96"/>
        <v>1504600.5336074352</v>
      </c>
      <c r="AZ175" s="46">
        <f t="shared" ca="1" si="96"/>
        <v>1548068.1927462809</v>
      </c>
      <c r="BA175" s="46">
        <f t="shared" ca="1" si="96"/>
        <v>1589261.5521659639</v>
      </c>
      <c r="BB175" s="46">
        <f t="shared" ca="1" si="96"/>
        <v>1628309.8170492989</v>
      </c>
      <c r="BC175" s="46">
        <f t="shared" ca="1" si="96"/>
        <v>1665301.1314986874</v>
      </c>
      <c r="BD175" s="46">
        <f t="shared" ca="1" si="96"/>
        <v>1700341.837252182</v>
      </c>
      <c r="BE175" s="46">
        <f t="shared" ca="1" si="96"/>
        <v>1733531.6365273707</v>
      </c>
      <c r="BF175" s="46">
        <f t="shared" ca="1" si="96"/>
        <v>1764972.5223403135</v>
      </c>
      <c r="BG175" s="46">
        <f t="shared" ca="1" si="96"/>
        <v>1794763.1287986902</v>
      </c>
      <c r="BH175" s="46">
        <f t="shared" ca="1" si="96"/>
        <v>1822995.0930623589</v>
      </c>
      <c r="BI175" s="46">
        <f t="shared" ca="1" si="96"/>
        <v>1849758.0087964819</v>
      </c>
      <c r="BJ175" s="46">
        <f t="shared" ca="1" si="96"/>
        <v>1875136.7523133673</v>
      </c>
      <c r="BK175" s="46">
        <f t="shared" ca="1" si="96"/>
        <v>1899209.8707978185</v>
      </c>
      <c r="BL175" s="46">
        <f t="shared" ca="1" si="96"/>
        <v>1922052.4112599753</v>
      </c>
      <c r="BM175" s="46">
        <f t="shared" ca="1" si="96"/>
        <v>1943734.7677335963</v>
      </c>
      <c r="BN175" s="46">
        <f t="shared" ca="1" si="96"/>
        <v>1964322.069730232</v>
      </c>
      <c r="BO175" s="46">
        <f t="shared" ca="1" si="96"/>
        <v>1983875.8419228392</v>
      </c>
    </row>
    <row r="176" spans="1:67" ht="16.5" customHeight="1">
      <c r="A176" s="1"/>
      <c r="B176" s="16" t="str">
        <f>'Get Started'!B24</f>
        <v>Additional Cost of Sales</v>
      </c>
      <c r="C176" s="17" t="str">
        <f>'Get Started'!D$7</f>
        <v>$</v>
      </c>
      <c r="D176" s="16" t="str">
        <f t="shared" si="95"/>
        <v>orders * average cost, as % of revenue</v>
      </c>
      <c r="E176" s="16"/>
      <c r="F176" s="16"/>
      <c r="G176" s="16"/>
      <c r="H176" s="16" t="s">
        <v>155</v>
      </c>
      <c r="I176" s="46">
        <f t="shared" ca="1" si="89"/>
        <v>0</v>
      </c>
      <c r="J176" s="16"/>
      <c r="K176" s="16"/>
      <c r="L176" s="16"/>
      <c r="M176" s="16"/>
      <c r="N176" s="16"/>
      <c r="O176" s="16"/>
      <c r="P176" s="16"/>
      <c r="Q176" s="16"/>
      <c r="R176" s="16"/>
      <c r="S176" s="56" t="str">
        <f t="shared" si="90"/>
        <v>Additional Cost of Sales</v>
      </c>
      <c r="T176" s="46">
        <f t="shared" ref="T176:BO176" ca="1" si="97">T171*T164</f>
        <v>0</v>
      </c>
      <c r="U176" s="46">
        <f t="shared" ca="1" si="97"/>
        <v>0</v>
      </c>
      <c r="V176" s="46">
        <f t="shared" ca="1" si="97"/>
        <v>0</v>
      </c>
      <c r="W176" s="46">
        <f t="shared" ca="1" si="97"/>
        <v>0</v>
      </c>
      <c r="X176" s="46">
        <f t="shared" ca="1" si="97"/>
        <v>0</v>
      </c>
      <c r="Y176" s="46">
        <f t="shared" ca="1" si="97"/>
        <v>0</v>
      </c>
      <c r="Z176" s="46">
        <f t="shared" ca="1" si="97"/>
        <v>0</v>
      </c>
      <c r="AA176" s="46">
        <f t="shared" ca="1" si="97"/>
        <v>0</v>
      </c>
      <c r="AB176" s="46">
        <f t="shared" ca="1" si="97"/>
        <v>0</v>
      </c>
      <c r="AC176" s="46">
        <f t="shared" ca="1" si="97"/>
        <v>0</v>
      </c>
      <c r="AD176" s="46">
        <f t="shared" ca="1" si="97"/>
        <v>0</v>
      </c>
      <c r="AE176" s="46">
        <f t="shared" ca="1" si="97"/>
        <v>0</v>
      </c>
      <c r="AF176" s="46">
        <f t="shared" ca="1" si="97"/>
        <v>0</v>
      </c>
      <c r="AG176" s="46">
        <f t="shared" ca="1" si="97"/>
        <v>0</v>
      </c>
      <c r="AH176" s="46">
        <f t="shared" ca="1" si="97"/>
        <v>0</v>
      </c>
      <c r="AI176" s="46">
        <f t="shared" ca="1" si="97"/>
        <v>0</v>
      </c>
      <c r="AJ176" s="46">
        <f t="shared" ca="1" si="97"/>
        <v>0</v>
      </c>
      <c r="AK176" s="46">
        <f t="shared" ca="1" si="97"/>
        <v>0</v>
      </c>
      <c r="AL176" s="46">
        <f t="shared" ca="1" si="97"/>
        <v>0</v>
      </c>
      <c r="AM176" s="46">
        <f t="shared" ca="1" si="97"/>
        <v>0</v>
      </c>
      <c r="AN176" s="46">
        <f t="shared" ca="1" si="97"/>
        <v>0</v>
      </c>
      <c r="AO176" s="46">
        <f t="shared" ca="1" si="97"/>
        <v>0</v>
      </c>
      <c r="AP176" s="46">
        <f t="shared" ca="1" si="97"/>
        <v>0</v>
      </c>
      <c r="AQ176" s="46">
        <f t="shared" ca="1" si="97"/>
        <v>0</v>
      </c>
      <c r="AR176" s="46">
        <f t="shared" ca="1" si="97"/>
        <v>0</v>
      </c>
      <c r="AS176" s="46">
        <f t="shared" ca="1" si="97"/>
        <v>0</v>
      </c>
      <c r="AT176" s="46">
        <f t="shared" ca="1" si="97"/>
        <v>0</v>
      </c>
      <c r="AU176" s="46">
        <f t="shared" ca="1" si="97"/>
        <v>0</v>
      </c>
      <c r="AV176" s="46">
        <f t="shared" ca="1" si="97"/>
        <v>0</v>
      </c>
      <c r="AW176" s="46">
        <f t="shared" ca="1" si="97"/>
        <v>0</v>
      </c>
      <c r="AX176" s="46">
        <f t="shared" ca="1" si="97"/>
        <v>0</v>
      </c>
      <c r="AY176" s="46">
        <f t="shared" ca="1" si="97"/>
        <v>0</v>
      </c>
      <c r="AZ176" s="46">
        <f t="shared" ca="1" si="97"/>
        <v>0</v>
      </c>
      <c r="BA176" s="46">
        <f t="shared" ca="1" si="97"/>
        <v>0</v>
      </c>
      <c r="BB176" s="46">
        <f t="shared" ca="1" si="97"/>
        <v>0</v>
      </c>
      <c r="BC176" s="46">
        <f t="shared" ca="1" si="97"/>
        <v>0</v>
      </c>
      <c r="BD176" s="46">
        <f t="shared" ca="1" si="97"/>
        <v>0</v>
      </c>
      <c r="BE176" s="46">
        <f t="shared" ca="1" si="97"/>
        <v>0</v>
      </c>
      <c r="BF176" s="46">
        <f t="shared" ca="1" si="97"/>
        <v>0</v>
      </c>
      <c r="BG176" s="46">
        <f t="shared" ca="1" si="97"/>
        <v>0</v>
      </c>
      <c r="BH176" s="46">
        <f t="shared" ca="1" si="97"/>
        <v>0</v>
      </c>
      <c r="BI176" s="46">
        <f t="shared" ca="1" si="97"/>
        <v>0</v>
      </c>
      <c r="BJ176" s="46">
        <f t="shared" ca="1" si="97"/>
        <v>0</v>
      </c>
      <c r="BK176" s="46">
        <f t="shared" ca="1" si="97"/>
        <v>0</v>
      </c>
      <c r="BL176" s="46">
        <f t="shared" ca="1" si="97"/>
        <v>0</v>
      </c>
      <c r="BM176" s="46">
        <f t="shared" ca="1" si="97"/>
        <v>0</v>
      </c>
      <c r="BN176" s="46">
        <f t="shared" ca="1" si="97"/>
        <v>0</v>
      </c>
      <c r="BO176" s="46">
        <f t="shared" ca="1" si="97"/>
        <v>0</v>
      </c>
    </row>
    <row r="177" spans="1:67" ht="16.5" customHeight="1">
      <c r="A177" s="1"/>
      <c r="B177" s="16" t="s">
        <v>196</v>
      </c>
      <c r="C177" s="17" t="str">
        <f>'Get Started'!D$7</f>
        <v>$</v>
      </c>
      <c r="D177" s="16" t="s">
        <v>197</v>
      </c>
      <c r="E177" s="16"/>
      <c r="F177" s="16"/>
      <c r="G177" s="16"/>
      <c r="H177" s="16" t="s">
        <v>155</v>
      </c>
      <c r="I177" s="46">
        <f t="shared" ca="1" si="89"/>
        <v>0</v>
      </c>
      <c r="J177" s="16"/>
      <c r="K177" s="16"/>
      <c r="L177" s="16"/>
      <c r="M177" s="16"/>
      <c r="N177" s="16"/>
      <c r="O177" s="16"/>
      <c r="P177" s="16"/>
      <c r="Q177" s="16"/>
      <c r="R177" s="16"/>
      <c r="S177" s="56" t="str">
        <f t="shared" si="90"/>
        <v>Shipping Cost of Sales</v>
      </c>
      <c r="T177" s="46">
        <f t="shared" ref="T177:BO177" ca="1" si="98">T54*T26</f>
        <v>0</v>
      </c>
      <c r="U177" s="46">
        <f t="shared" ca="1" si="98"/>
        <v>0</v>
      </c>
      <c r="V177" s="46">
        <f t="shared" ca="1" si="98"/>
        <v>0</v>
      </c>
      <c r="W177" s="46">
        <f t="shared" ca="1" si="98"/>
        <v>0</v>
      </c>
      <c r="X177" s="46">
        <f t="shared" ca="1" si="98"/>
        <v>0</v>
      </c>
      <c r="Y177" s="46">
        <f t="shared" ca="1" si="98"/>
        <v>0</v>
      </c>
      <c r="Z177" s="46">
        <f t="shared" ca="1" si="98"/>
        <v>0</v>
      </c>
      <c r="AA177" s="46">
        <f t="shared" ca="1" si="98"/>
        <v>0</v>
      </c>
      <c r="AB177" s="46">
        <f t="shared" ca="1" si="98"/>
        <v>0</v>
      </c>
      <c r="AC177" s="46">
        <f t="shared" ca="1" si="98"/>
        <v>0</v>
      </c>
      <c r="AD177" s="46">
        <f t="shared" ca="1" si="98"/>
        <v>0</v>
      </c>
      <c r="AE177" s="46">
        <f t="shared" ca="1" si="98"/>
        <v>0</v>
      </c>
      <c r="AF177" s="46">
        <f t="shared" ca="1" si="98"/>
        <v>0</v>
      </c>
      <c r="AG177" s="46">
        <f t="shared" ca="1" si="98"/>
        <v>0</v>
      </c>
      <c r="AH177" s="46">
        <f t="shared" ca="1" si="98"/>
        <v>0</v>
      </c>
      <c r="AI177" s="46">
        <f t="shared" ca="1" si="98"/>
        <v>0</v>
      </c>
      <c r="AJ177" s="46">
        <f t="shared" ca="1" si="98"/>
        <v>0</v>
      </c>
      <c r="AK177" s="46">
        <f t="shared" ca="1" si="98"/>
        <v>0</v>
      </c>
      <c r="AL177" s="46">
        <f t="shared" ca="1" si="98"/>
        <v>0</v>
      </c>
      <c r="AM177" s="46">
        <f t="shared" ca="1" si="98"/>
        <v>0</v>
      </c>
      <c r="AN177" s="46">
        <f t="shared" ca="1" si="98"/>
        <v>0</v>
      </c>
      <c r="AO177" s="46">
        <f t="shared" ca="1" si="98"/>
        <v>0</v>
      </c>
      <c r="AP177" s="46">
        <f t="shared" ca="1" si="98"/>
        <v>0</v>
      </c>
      <c r="AQ177" s="46">
        <f t="shared" ca="1" si="98"/>
        <v>0</v>
      </c>
      <c r="AR177" s="46">
        <f t="shared" ca="1" si="98"/>
        <v>0</v>
      </c>
      <c r="AS177" s="46">
        <f t="shared" ca="1" si="98"/>
        <v>0</v>
      </c>
      <c r="AT177" s="46">
        <f t="shared" ca="1" si="98"/>
        <v>0</v>
      </c>
      <c r="AU177" s="46">
        <f t="shared" ca="1" si="98"/>
        <v>0</v>
      </c>
      <c r="AV177" s="46">
        <f t="shared" ca="1" si="98"/>
        <v>0</v>
      </c>
      <c r="AW177" s="46">
        <f t="shared" ca="1" si="98"/>
        <v>0</v>
      </c>
      <c r="AX177" s="46">
        <f t="shared" ca="1" si="98"/>
        <v>0</v>
      </c>
      <c r="AY177" s="46">
        <f t="shared" ca="1" si="98"/>
        <v>0</v>
      </c>
      <c r="AZ177" s="46">
        <f t="shared" ca="1" si="98"/>
        <v>0</v>
      </c>
      <c r="BA177" s="46">
        <f t="shared" ca="1" si="98"/>
        <v>0</v>
      </c>
      <c r="BB177" s="46">
        <f t="shared" ca="1" si="98"/>
        <v>0</v>
      </c>
      <c r="BC177" s="46">
        <f t="shared" ca="1" si="98"/>
        <v>0</v>
      </c>
      <c r="BD177" s="46">
        <f t="shared" ca="1" si="98"/>
        <v>0</v>
      </c>
      <c r="BE177" s="46">
        <f t="shared" ca="1" si="98"/>
        <v>0</v>
      </c>
      <c r="BF177" s="46">
        <f t="shared" ca="1" si="98"/>
        <v>0</v>
      </c>
      <c r="BG177" s="46">
        <f t="shared" ca="1" si="98"/>
        <v>0</v>
      </c>
      <c r="BH177" s="46">
        <f t="shared" ca="1" si="98"/>
        <v>0</v>
      </c>
      <c r="BI177" s="46">
        <f t="shared" ca="1" si="98"/>
        <v>0</v>
      </c>
      <c r="BJ177" s="46">
        <f t="shared" ca="1" si="98"/>
        <v>0</v>
      </c>
      <c r="BK177" s="46">
        <f t="shared" ca="1" si="98"/>
        <v>0</v>
      </c>
      <c r="BL177" s="46">
        <f t="shared" ca="1" si="98"/>
        <v>0</v>
      </c>
      <c r="BM177" s="46">
        <f t="shared" ca="1" si="98"/>
        <v>0</v>
      </c>
      <c r="BN177" s="46">
        <f t="shared" ca="1" si="98"/>
        <v>0</v>
      </c>
      <c r="BO177" s="46">
        <f t="shared" ca="1" si="98"/>
        <v>0</v>
      </c>
    </row>
    <row r="178" spans="1:67" ht="16.5" customHeight="1">
      <c r="A178" s="1"/>
      <c r="B178" s="16" t="s">
        <v>198</v>
      </c>
      <c r="C178" s="17" t="str">
        <f>'Get Started'!D$7</f>
        <v>$</v>
      </c>
      <c r="D178" s="16" t="s">
        <v>199</v>
      </c>
      <c r="E178" s="16"/>
      <c r="F178" s="16"/>
      <c r="G178" s="16"/>
      <c r="H178" s="16" t="s">
        <v>155</v>
      </c>
      <c r="I178" s="46">
        <f t="shared" ca="1" si="89"/>
        <v>170313644.92972982</v>
      </c>
      <c r="J178" s="16"/>
      <c r="K178" s="16"/>
      <c r="L178" s="16"/>
      <c r="M178" s="16"/>
      <c r="N178" s="16"/>
      <c r="O178" s="16"/>
      <c r="P178" s="16"/>
      <c r="Q178" s="16"/>
      <c r="R178" s="16"/>
      <c r="S178" s="56" t="str">
        <f t="shared" si="90"/>
        <v>Total Cost of Sales</v>
      </c>
      <c r="T178" s="46">
        <f t="shared" ref="T178:BO178" ca="1" si="99">T174+T177+T175+T176</f>
        <v>107075.13536674991</v>
      </c>
      <c r="U178" s="46">
        <f t="shared" ca="1" si="99"/>
        <v>44064.224871417537</v>
      </c>
      <c r="V178" s="46">
        <f t="shared" ca="1" si="99"/>
        <v>62708.754985655447</v>
      </c>
      <c r="W178" s="46">
        <f t="shared" ca="1" si="99"/>
        <v>75729.290399518708</v>
      </c>
      <c r="X178" s="46">
        <f t="shared" ca="1" si="99"/>
        <v>115507.48544326241</v>
      </c>
      <c r="Y178" s="46">
        <f t="shared" ca="1" si="99"/>
        <v>170639.91863604501</v>
      </c>
      <c r="Z178" s="46">
        <f t="shared" ca="1" si="99"/>
        <v>234720.42414552471</v>
      </c>
      <c r="AA178" s="46">
        <f t="shared" ca="1" si="99"/>
        <v>328368.69206522149</v>
      </c>
      <c r="AB178" s="46">
        <f t="shared" ca="1" si="99"/>
        <v>443800.71409407217</v>
      </c>
      <c r="AC178" s="46">
        <f t="shared" ca="1" si="99"/>
        <v>575904.51618838869</v>
      </c>
      <c r="AD178" s="46">
        <f t="shared" ca="1" si="99"/>
        <v>735437.53581580368</v>
      </c>
      <c r="AE178" s="46">
        <f t="shared" ca="1" si="99"/>
        <v>915465.79514197784</v>
      </c>
      <c r="AF178" s="46">
        <f t="shared" ca="1" si="99"/>
        <v>1110690.6241433534</v>
      </c>
      <c r="AG178" s="46">
        <f t="shared" ca="1" si="99"/>
        <v>1325225.8021485843</v>
      </c>
      <c r="AH178" s="46">
        <f t="shared" ca="1" si="99"/>
        <v>1552862.970026724</v>
      </c>
      <c r="AI178" s="46">
        <f t="shared" ca="1" si="99"/>
        <v>1788697.9822386398</v>
      </c>
      <c r="AJ178" s="46">
        <f t="shared" ca="1" si="99"/>
        <v>2033576.5071710572</v>
      </c>
      <c r="AK178" s="46">
        <f t="shared" ca="1" si="99"/>
        <v>2282684.3098827046</v>
      </c>
      <c r="AL178" s="46">
        <f t="shared" ca="1" si="99"/>
        <v>2532304.3517267648</v>
      </c>
      <c r="AM178" s="46">
        <f t="shared" ca="1" si="99"/>
        <v>2782256.3735401505</v>
      </c>
      <c r="AN178" s="46">
        <f t="shared" ca="1" si="99"/>
        <v>3029388.4043848584</v>
      </c>
      <c r="AO178" s="46">
        <f t="shared" ca="1" si="99"/>
        <v>3271386.9313966739</v>
      </c>
      <c r="AP178" s="46">
        <f t="shared" ca="1" si="99"/>
        <v>3508069.9899127982</v>
      </c>
      <c r="AQ178" s="46">
        <f t="shared" ca="1" si="99"/>
        <v>3737723.5864862725</v>
      </c>
      <c r="AR178" s="46">
        <f t="shared" ca="1" si="99"/>
        <v>3959201.2794516571</v>
      </c>
      <c r="AS178" s="46">
        <f t="shared" ca="1" si="99"/>
        <v>4172593.5405451013</v>
      </c>
      <c r="AT178" s="46">
        <f t="shared" ca="1" si="99"/>
        <v>4377194.5250043087</v>
      </c>
      <c r="AU178" s="46">
        <f t="shared" ca="1" si="99"/>
        <v>4572640.4667762024</v>
      </c>
      <c r="AV178" s="46">
        <f t="shared" ca="1" si="99"/>
        <v>4759252.0208073938</v>
      </c>
      <c r="AW178" s="46">
        <f t="shared" ca="1" si="99"/>
        <v>4936922.2592439307</v>
      </c>
      <c r="AX178" s="46">
        <f t="shared" ca="1" si="99"/>
        <v>5105727.4310788708</v>
      </c>
      <c r="AY178" s="46">
        <f t="shared" ca="1" si="99"/>
        <v>5266101.8676260225</v>
      </c>
      <c r="AZ178" s="46">
        <f t="shared" ca="1" si="99"/>
        <v>5418238.6746119829</v>
      </c>
      <c r="BA178" s="46">
        <f t="shared" ca="1" si="99"/>
        <v>5562415.4325808734</v>
      </c>
      <c r="BB178" s="46">
        <f t="shared" ca="1" si="99"/>
        <v>5699084.3596725464</v>
      </c>
      <c r="BC178" s="46">
        <f t="shared" ca="1" si="99"/>
        <v>5828553.9602454063</v>
      </c>
      <c r="BD178" s="46">
        <f t="shared" ca="1" si="99"/>
        <v>5951196.4303826364</v>
      </c>
      <c r="BE178" s="46">
        <f t="shared" ca="1" si="99"/>
        <v>6067360.7278457973</v>
      </c>
      <c r="BF178" s="46">
        <f t="shared" ca="1" si="99"/>
        <v>6177403.8281910969</v>
      </c>
      <c r="BG178" s="46">
        <f t="shared" ca="1" si="99"/>
        <v>6281670.9507954158</v>
      </c>
      <c r="BH178" s="46">
        <f t="shared" ca="1" si="99"/>
        <v>6380482.8257182557</v>
      </c>
      <c r="BI178" s="46">
        <f t="shared" ca="1" si="99"/>
        <v>6474153.0307876859</v>
      </c>
      <c r="BJ178" s="46">
        <f t="shared" ca="1" si="99"/>
        <v>6562978.6330967853</v>
      </c>
      <c r="BK178" s="46">
        <f t="shared" ca="1" si="99"/>
        <v>6647234.5477923648</v>
      </c>
      <c r="BL178" s="46">
        <f t="shared" ca="1" si="99"/>
        <v>6727183.4394099135</v>
      </c>
      <c r="BM178" s="46">
        <f t="shared" ca="1" si="99"/>
        <v>6803071.6870675869</v>
      </c>
      <c r="BN178" s="46">
        <f t="shared" ca="1" si="99"/>
        <v>6875127.2440558113</v>
      </c>
      <c r="BO178" s="46">
        <f t="shared" ca="1" si="99"/>
        <v>6943565.4467299366</v>
      </c>
    </row>
    <row r="179" spans="1:67" ht="16.5" customHeight="1">
      <c r="A179" s="1"/>
      <c r="B179" s="16" t="s">
        <v>200</v>
      </c>
      <c r="C179" s="17" t="str">
        <f>'Get Started'!D$7</f>
        <v>$</v>
      </c>
      <c r="D179" s="16" t="s">
        <v>201</v>
      </c>
      <c r="E179" s="16"/>
      <c r="F179" s="16"/>
      <c r="G179" s="16"/>
      <c r="H179" s="16" t="s">
        <v>155</v>
      </c>
      <c r="I179" s="46">
        <f t="shared" ca="1" si="89"/>
        <v>53867802.627221532</v>
      </c>
      <c r="J179" s="16"/>
      <c r="K179" s="16"/>
      <c r="L179" s="16"/>
      <c r="M179" s="16"/>
      <c r="N179" s="16"/>
      <c r="O179" s="16"/>
      <c r="P179" s="16"/>
      <c r="Q179" s="16"/>
      <c r="R179" s="16"/>
      <c r="S179" s="56" t="str">
        <f t="shared" si="90"/>
        <v>Marketing Spend</v>
      </c>
      <c r="T179" s="46">
        <f t="shared" ref="T179:BO179" ca="1" si="100">T166*T152+T167*T153</f>
        <v>86107.239547678502</v>
      </c>
      <c r="U179" s="46">
        <f t="shared" ca="1" si="100"/>
        <v>45731.911608882932</v>
      </c>
      <c r="V179" s="46">
        <f t="shared" ca="1" si="100"/>
        <v>65554.402613508428</v>
      </c>
      <c r="W179" s="46">
        <f t="shared" ca="1" si="100"/>
        <v>85261.910370727215</v>
      </c>
      <c r="X179" s="46">
        <f t="shared" ca="1" si="100"/>
        <v>122838.93765676084</v>
      </c>
      <c r="Y179" s="46">
        <f t="shared" ca="1" si="100"/>
        <v>170237.11251196411</v>
      </c>
      <c r="Z179" s="46">
        <f t="shared" ca="1" si="100"/>
        <v>223332.84114855621</v>
      </c>
      <c r="AA179" s="46">
        <f t="shared" ca="1" si="100"/>
        <v>289748.01014397142</v>
      </c>
      <c r="AB179" s="46">
        <f t="shared" ca="1" si="100"/>
        <v>363809.04914892546</v>
      </c>
      <c r="AC179" s="46">
        <f t="shared" ca="1" si="100"/>
        <v>441750.5212011218</v>
      </c>
      <c r="AD179" s="46">
        <f t="shared" ca="1" si="100"/>
        <v>525815.61322748451</v>
      </c>
      <c r="AE179" s="46">
        <f t="shared" ca="1" si="100"/>
        <v>611862.21287034196</v>
      </c>
      <c r="AF179" s="46">
        <f t="shared" ca="1" si="100"/>
        <v>697031.06725260674</v>
      </c>
      <c r="AG179" s="46">
        <f t="shared" ca="1" si="100"/>
        <v>781791.98751528806</v>
      </c>
      <c r="AH179" s="46">
        <f t="shared" ca="1" si="100"/>
        <v>863718.24114480102</v>
      </c>
      <c r="AI179" s="46">
        <f t="shared" ca="1" si="100"/>
        <v>941264.9783797632</v>
      </c>
      <c r="AJ179" s="46">
        <f t="shared" ca="1" si="100"/>
        <v>1014732.3846497497</v>
      </c>
      <c r="AK179" s="46">
        <f t="shared" ca="1" si="100"/>
        <v>1083096.784748917</v>
      </c>
      <c r="AL179" s="46">
        <f t="shared" ca="1" si="100"/>
        <v>1145852.583965027</v>
      </c>
      <c r="AM179" s="46">
        <f t="shared" ca="1" si="100"/>
        <v>1203457.0106361455</v>
      </c>
      <c r="AN179" s="46">
        <f t="shared" ca="1" si="100"/>
        <v>1255718.8297709026</v>
      </c>
      <c r="AO179" s="46">
        <f t="shared" ca="1" si="100"/>
        <v>1302700.9988084426</v>
      </c>
      <c r="AP179" s="46">
        <f t="shared" ca="1" si="100"/>
        <v>1344931.4457450397</v>
      </c>
      <c r="AQ179" s="46">
        <f t="shared" ca="1" si="100"/>
        <v>1382590.8232486665</v>
      </c>
      <c r="AR179" s="46">
        <f t="shared" ca="1" si="100"/>
        <v>1415960.7511924319</v>
      </c>
      <c r="AS179" s="46">
        <f t="shared" ca="1" si="100"/>
        <v>1445528.4770046193</v>
      </c>
      <c r="AT179" s="46">
        <f t="shared" ca="1" si="100"/>
        <v>1471581.515587674</v>
      </c>
      <c r="AU179" s="46">
        <f t="shared" ca="1" si="100"/>
        <v>1494433.4084177725</v>
      </c>
      <c r="AV179" s="46">
        <f t="shared" ca="1" si="100"/>
        <v>1514478.1440059864</v>
      </c>
      <c r="AW179" s="46">
        <f t="shared" ca="1" si="100"/>
        <v>1531989.7421564222</v>
      </c>
      <c r="AX179" s="46">
        <f t="shared" ca="1" si="100"/>
        <v>1547237.3962478915</v>
      </c>
      <c r="AY179" s="46">
        <f t="shared" ca="1" si="100"/>
        <v>1560514.8401425818</v>
      </c>
      <c r="AZ179" s="46">
        <f t="shared" ca="1" si="100"/>
        <v>1572042.13415571</v>
      </c>
      <c r="BA179" s="46">
        <f t="shared" ca="1" si="100"/>
        <v>1582025.0414780993</v>
      </c>
      <c r="BB179" s="46">
        <f t="shared" ca="1" si="100"/>
        <v>1590671.3221727889</v>
      </c>
      <c r="BC179" s="46">
        <f t="shared" ca="1" si="100"/>
        <v>1598143.0475303303</v>
      </c>
      <c r="BD179" s="46">
        <f t="shared" ca="1" si="100"/>
        <v>1604592.6724419394</v>
      </c>
      <c r="BE179" s="46">
        <f t="shared" ca="1" si="100"/>
        <v>1610151.9764717356</v>
      </c>
      <c r="BF179" s="46">
        <f t="shared" ca="1" si="100"/>
        <v>1614939.2003012013</v>
      </c>
      <c r="BG179" s="46">
        <f t="shared" ca="1" si="100"/>
        <v>1619058.1157536847</v>
      </c>
      <c r="BH179" s="46">
        <f t="shared" ca="1" si="100"/>
        <v>1622598.0754672741</v>
      </c>
      <c r="BI179" s="46">
        <f t="shared" ca="1" si="100"/>
        <v>1625638.1789401334</v>
      </c>
      <c r="BJ179" s="46">
        <f t="shared" ca="1" si="100"/>
        <v>1628247.319876726</v>
      </c>
      <c r="BK179" s="46">
        <f t="shared" ca="1" si="100"/>
        <v>1630484.6494607178</v>
      </c>
      <c r="BL179" s="46">
        <f t="shared" ca="1" si="100"/>
        <v>1632402.0341378057</v>
      </c>
      <c r="BM179" s="46">
        <f t="shared" ca="1" si="100"/>
        <v>1634044.3993169381</v>
      </c>
      <c r="BN179" s="46">
        <f t="shared" ca="1" si="100"/>
        <v>1635450.2340843251</v>
      </c>
      <c r="BO179" s="46">
        <f t="shared" ca="1" si="100"/>
        <v>1636653.0529614682</v>
      </c>
    </row>
    <row r="180" spans="1:67" ht="16.5" customHeight="1">
      <c r="A180" s="1"/>
      <c r="B180" s="16" t="s">
        <v>202</v>
      </c>
      <c r="C180" s="17" t="str">
        <f>'Get Started'!D$7</f>
        <v>$</v>
      </c>
      <c r="D180" s="16" t="s">
        <v>203</v>
      </c>
      <c r="E180" s="16"/>
      <c r="F180" s="16"/>
      <c r="G180" s="16"/>
      <c r="H180" s="16" t="s">
        <v>155</v>
      </c>
      <c r="I180" s="46">
        <f t="shared" ca="1" si="89"/>
        <v>262428966.52799097</v>
      </c>
      <c r="J180" s="16"/>
      <c r="K180" s="16"/>
      <c r="L180" s="16"/>
      <c r="M180" s="16"/>
      <c r="N180" s="16"/>
      <c r="O180" s="16"/>
      <c r="P180" s="16"/>
      <c r="Q180" s="16"/>
      <c r="R180" s="16"/>
      <c r="S180" s="56" t="str">
        <f t="shared" si="90"/>
        <v>Operating Income</v>
      </c>
      <c r="T180" s="46">
        <f t="shared" ref="T180:BO180" ca="1" si="101">T173-T178-T179</f>
        <v>112746.58327628562</v>
      </c>
      <c r="U180" s="46">
        <f t="shared" ca="1" si="101"/>
        <v>36101.648866606774</v>
      </c>
      <c r="V180" s="46">
        <f t="shared" ca="1" si="101"/>
        <v>50904.713788423105</v>
      </c>
      <c r="W180" s="46">
        <f t="shared" ca="1" si="101"/>
        <v>55378.200371236075</v>
      </c>
      <c r="X180" s="46">
        <f t="shared" ca="1" si="101"/>
        <v>91674.963880726471</v>
      </c>
      <c r="Y180" s="46">
        <f t="shared" ca="1" si="101"/>
        <v>146665.59352640517</v>
      </c>
      <c r="Z180" s="46">
        <f t="shared" ca="1" si="101"/>
        <v>212576.51797884679</v>
      </c>
      <c r="AA180" s="46">
        <f t="shared" ca="1" si="101"/>
        <v>320079.5608342971</v>
      </c>
      <c r="AB180" s="46">
        <f t="shared" ca="1" si="101"/>
        <v>460392.27702578006</v>
      </c>
      <c r="AC180" s="46">
        <f t="shared" ca="1" si="101"/>
        <v>627786.43743445701</v>
      </c>
      <c r="AD180" s="46">
        <f t="shared" ca="1" si="101"/>
        <v>839996.95328757935</v>
      </c>
      <c r="AE180" s="46">
        <f t="shared" ca="1" si="101"/>
        <v>1088288.5495361884</v>
      </c>
      <c r="AF180" s="46">
        <f t="shared" ca="1" si="101"/>
        <v>1365680.0918707638</v>
      </c>
      <c r="AG180" s="46">
        <f t="shared" ca="1" si="101"/>
        <v>1679341.6450463687</v>
      </c>
      <c r="AH180" s="46">
        <f t="shared" ca="1" si="101"/>
        <v>2020170.1317619723</v>
      </c>
      <c r="AI180" s="46">
        <f t="shared" ca="1" si="101"/>
        <v>2380602.7029205677</v>
      </c>
      <c r="AJ180" s="46">
        <f t="shared" ca="1" si="101"/>
        <v>2761909.7000964992</v>
      </c>
      <c r="AK180" s="46">
        <f t="shared" ca="1" si="101"/>
        <v>3156174.0764618204</v>
      </c>
      <c r="AL180" s="46">
        <f t="shared" ca="1" si="101"/>
        <v>3556998.3549561072</v>
      </c>
      <c r="AM180" s="46">
        <f t="shared" ca="1" si="101"/>
        <v>3963590.5402241349</v>
      </c>
      <c r="AN180" s="46">
        <f t="shared" ca="1" si="101"/>
        <v>4370288.2069438342</v>
      </c>
      <c r="AO180" s="46">
        <f t="shared" ca="1" si="101"/>
        <v>4772731.8737853793</v>
      </c>
      <c r="AP180" s="46">
        <f t="shared" ca="1" si="101"/>
        <v>5170055.6783787273</v>
      </c>
      <c r="AQ180" s="46">
        <f t="shared" ca="1" si="101"/>
        <v>5558895.837368696</v>
      </c>
      <c r="AR180" s="46">
        <f t="shared" ca="1" si="101"/>
        <v>5936841.6249320731</v>
      </c>
      <c r="AS180" s="46">
        <f t="shared" ca="1" si="101"/>
        <v>6303573.812579141</v>
      </c>
      <c r="AT180" s="46">
        <f t="shared" ca="1" si="101"/>
        <v>6657494.030848898</v>
      </c>
      <c r="AU180" s="46">
        <f t="shared" ca="1" si="101"/>
        <v>6997613.1727380306</v>
      </c>
      <c r="AV180" s="46">
        <f t="shared" ca="1" si="101"/>
        <v>7324132.7517791744</v>
      </c>
      <c r="AW180" s="46">
        <f t="shared" ca="1" si="101"/>
        <v>7636580.16786802</v>
      </c>
      <c r="AX180" s="46">
        <f t="shared" ca="1" si="101"/>
        <v>7934827.8328985814</v>
      </c>
      <c r="AY180" s="46">
        <f t="shared" ca="1" si="101"/>
        <v>8219388.6283057462</v>
      </c>
      <c r="AZ180" s="46">
        <f t="shared" ca="1" si="101"/>
        <v>8490401.1186951175</v>
      </c>
      <c r="BA180" s="46">
        <f t="shared" ca="1" si="101"/>
        <v>8748175.0476006661</v>
      </c>
      <c r="BB180" s="46">
        <f t="shared" ca="1" si="101"/>
        <v>8993342.4886476528</v>
      </c>
      <c r="BC180" s="46">
        <f t="shared" ca="1" si="101"/>
        <v>9226314.3072111364</v>
      </c>
      <c r="BD180" s="46">
        <f t="shared" ca="1" si="101"/>
        <v>9447629.2696972433</v>
      </c>
      <c r="BE180" s="46">
        <f t="shared" ca="1" si="101"/>
        <v>9657803.6609561741</v>
      </c>
      <c r="BF180" s="46">
        <f t="shared" ca="1" si="101"/>
        <v>9857382.1949108336</v>
      </c>
      <c r="BG180" s="46">
        <f t="shared" ca="1" si="101"/>
        <v>10046902.221437801</v>
      </c>
      <c r="BH180" s="46">
        <f t="shared" ca="1" si="101"/>
        <v>10226870.029438058</v>
      </c>
      <c r="BI180" s="46">
        <f t="shared" ca="1" si="101"/>
        <v>10397788.878236998</v>
      </c>
      <c r="BJ180" s="46">
        <f t="shared" ca="1" si="101"/>
        <v>10560141.570160162</v>
      </c>
      <c r="BK180" s="46">
        <f t="shared" ca="1" si="101"/>
        <v>10714379.510725103</v>
      </c>
      <c r="BL180" s="46">
        <f t="shared" ca="1" si="101"/>
        <v>10860938.639052033</v>
      </c>
      <c r="BM180" s="46">
        <f t="shared" ca="1" si="101"/>
        <v>11000231.590951437</v>
      </c>
      <c r="BN180" s="46">
        <f t="shared" ca="1" si="101"/>
        <v>11132643.219162183</v>
      </c>
      <c r="BO180" s="46">
        <f t="shared" ca="1" si="101"/>
        <v>11258539.919536985</v>
      </c>
    </row>
    <row r="181" spans="1:67" ht="16.5" customHeight="1">
      <c r="A181" s="1"/>
      <c r="B181" s="16"/>
      <c r="C181" s="17"/>
      <c r="D181" s="16"/>
      <c r="E181" s="16"/>
      <c r="F181" s="16"/>
      <c r="G181" s="16"/>
      <c r="H181" s="16"/>
      <c r="I181" s="16"/>
      <c r="J181" s="16"/>
      <c r="K181" s="16"/>
      <c r="L181" s="16"/>
      <c r="M181" s="16"/>
      <c r="N181" s="16"/>
      <c r="O181" s="16"/>
      <c r="P181" s="16"/>
      <c r="Q181" s="16"/>
      <c r="R181" s="1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row>
    <row r="182" spans="1:67" ht="16.5" customHeight="1">
      <c r="A182" s="1"/>
      <c r="B182" s="22" t="s">
        <v>204</v>
      </c>
      <c r="C182" s="17"/>
      <c r="D182" s="16"/>
      <c r="E182" s="16"/>
      <c r="F182" s="16"/>
      <c r="G182" s="16"/>
      <c r="H182" s="16"/>
      <c r="I182" s="16"/>
      <c r="J182" s="16"/>
      <c r="K182" s="16"/>
      <c r="L182" s="16"/>
      <c r="M182" s="16"/>
      <c r="N182" s="16"/>
      <c r="O182" s="16"/>
      <c r="P182" s="16"/>
      <c r="Q182" s="16"/>
      <c r="R182" s="1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row>
    <row r="183" spans="1:67" ht="16.5" customHeight="1">
      <c r="A183" s="1"/>
      <c r="B183" s="16" t="s">
        <v>205</v>
      </c>
      <c r="C183" s="17" t="str">
        <f>'Get Started'!D$7</f>
        <v>$</v>
      </c>
      <c r="D183" s="16" t="s">
        <v>206</v>
      </c>
      <c r="E183" s="16"/>
      <c r="F183" s="16"/>
      <c r="G183" s="16"/>
      <c r="H183" s="16" t="s">
        <v>143</v>
      </c>
      <c r="I183" s="46">
        <f ca="1">IF(H183=Forecast!$H$195,T183,IF(H183=Forecast!$H$196,BO183,IF(H183=Forecast!$H$197,SUM(T183:BO183),IF(H183=Forecast!$H$198,AVERAGE(T183:BO183),0))))</f>
        <v>157.4958233121873</v>
      </c>
      <c r="J183" s="16"/>
      <c r="K183" s="16"/>
      <c r="L183" s="16"/>
      <c r="M183" s="16"/>
      <c r="N183" s="16"/>
      <c r="O183" s="16"/>
      <c r="P183" s="16"/>
      <c r="Q183" s="16"/>
      <c r="R183" s="16"/>
      <c r="S183" s="46"/>
      <c r="T183" s="46">
        <f t="shared" ref="T183:BO183" ca="1" si="102">IFERROR(T171/T$54,0)</f>
        <v>40.732286266027465</v>
      </c>
      <c r="U183" s="46">
        <f t="shared" ca="1" si="102"/>
        <v>47.839118517391718</v>
      </c>
      <c r="V183" s="46">
        <f t="shared" ca="1" si="102"/>
        <v>53.459330642938312</v>
      </c>
      <c r="W183" s="46">
        <f t="shared" ca="1" si="102"/>
        <v>60.92575710630441</v>
      </c>
      <c r="X183" s="46">
        <f t="shared" ca="1" si="102"/>
        <v>66.377830022539953</v>
      </c>
      <c r="Y183" s="46">
        <f t="shared" ca="1" si="102"/>
        <v>71.784743718448993</v>
      </c>
      <c r="Z183" s="46">
        <f t="shared" ca="1" si="102"/>
        <v>77.725202932077664</v>
      </c>
      <c r="AA183" s="46">
        <f t="shared" ca="1" si="102"/>
        <v>82.912091170896645</v>
      </c>
      <c r="AB183" s="46">
        <f t="shared" ca="1" si="102"/>
        <v>88.111510796015665</v>
      </c>
      <c r="AC183" s="46">
        <f t="shared" ca="1" si="102"/>
        <v>93.485207789060695</v>
      </c>
      <c r="AD183" s="46">
        <f t="shared" ca="1" si="102"/>
        <v>98.654692838013347</v>
      </c>
      <c r="AE183" s="46">
        <f t="shared" ca="1" si="102"/>
        <v>103.82614981848239</v>
      </c>
      <c r="AF183" s="46">
        <f t="shared" ca="1" si="102"/>
        <v>109.04674153447166</v>
      </c>
      <c r="AG183" s="46">
        <f t="shared" ca="1" si="102"/>
        <v>114.18692865725819</v>
      </c>
      <c r="AH183" s="46">
        <f t="shared" ca="1" si="102"/>
        <v>119.30624840751375</v>
      </c>
      <c r="AI183" s="46">
        <f t="shared" ca="1" si="102"/>
        <v>124.41787481776385</v>
      </c>
      <c r="AJ183" s="46">
        <f t="shared" ca="1" si="102"/>
        <v>129.46872104668279</v>
      </c>
      <c r="AK183" s="46">
        <f t="shared" ca="1" si="102"/>
        <v>134.47587963692166</v>
      </c>
      <c r="AL183" s="46">
        <f t="shared" ca="1" si="102"/>
        <v>139.44091655983397</v>
      </c>
      <c r="AM183" s="46">
        <f t="shared" ca="1" si="102"/>
        <v>144.338017876793</v>
      </c>
      <c r="AN183" s="46">
        <f t="shared" ca="1" si="102"/>
        <v>149.1705151823783</v>
      </c>
      <c r="AO183" s="46">
        <f t="shared" ca="1" si="102"/>
        <v>153.93607992573453</v>
      </c>
      <c r="AP183" s="46">
        <f t="shared" ca="1" si="102"/>
        <v>158.62039722415315</v>
      </c>
      <c r="AQ183" s="46">
        <f t="shared" ca="1" si="102"/>
        <v>163.22241349747119</v>
      </c>
      <c r="AR183" s="46">
        <f t="shared" ca="1" si="102"/>
        <v>167.73901499021014</v>
      </c>
      <c r="AS183" s="46">
        <f t="shared" ca="1" si="102"/>
        <v>172.16173018517972</v>
      </c>
      <c r="AT183" s="46">
        <f t="shared" ca="1" si="102"/>
        <v>176.48860468209517</v>
      </c>
      <c r="AU183" s="46">
        <f t="shared" ca="1" si="102"/>
        <v>180.71705277142354</v>
      </c>
      <c r="AV183" s="46">
        <f t="shared" ca="1" si="102"/>
        <v>184.84213821107309</v>
      </c>
      <c r="AW183" s="46">
        <f t="shared" ca="1" si="102"/>
        <v>188.86234987775993</v>
      </c>
      <c r="AX183" s="46">
        <f t="shared" ca="1" si="102"/>
        <v>192.7761242976172</v>
      </c>
      <c r="AY183" s="46">
        <f t="shared" ca="1" si="102"/>
        <v>196.58094085545264</v>
      </c>
      <c r="AZ183" s="46">
        <f t="shared" ca="1" si="102"/>
        <v>200.27618632694902</v>
      </c>
      <c r="BA183" s="46">
        <f t="shared" ca="1" si="102"/>
        <v>203.86141044528151</v>
      </c>
      <c r="BB183" s="46">
        <f t="shared" ca="1" si="102"/>
        <v>207.33584203310809</v>
      </c>
      <c r="BC183" s="46">
        <f t="shared" ca="1" si="102"/>
        <v>210.69982160452392</v>
      </c>
      <c r="BD183" s="46">
        <f t="shared" ca="1" si="102"/>
        <v>213.95374852929592</v>
      </c>
      <c r="BE183" s="46">
        <f t="shared" ca="1" si="102"/>
        <v>217.09843212289701</v>
      </c>
      <c r="BF183" s="46">
        <f t="shared" ca="1" si="102"/>
        <v>220.13489702302624</v>
      </c>
      <c r="BG183" s="46">
        <f t="shared" ca="1" si="102"/>
        <v>223.06443072833184</v>
      </c>
      <c r="BH183" s="46">
        <f t="shared" ca="1" si="102"/>
        <v>225.88860203622545</v>
      </c>
      <c r="BI183" s="46">
        <f t="shared" ca="1" si="102"/>
        <v>228.60914917981205</v>
      </c>
      <c r="BJ183" s="46">
        <f t="shared" ca="1" si="102"/>
        <v>231.22799272540936</v>
      </c>
      <c r="BK183" s="46">
        <f t="shared" ca="1" si="102"/>
        <v>233.74723455091674</v>
      </c>
      <c r="BL183" s="46">
        <f t="shared" ca="1" si="102"/>
        <v>236.16909095727496</v>
      </c>
      <c r="BM183" s="46">
        <f t="shared" ca="1" si="102"/>
        <v>238.49589057102895</v>
      </c>
      <c r="BN183" s="46">
        <f t="shared" ca="1" si="102"/>
        <v>240.7300659582788</v>
      </c>
      <c r="BO183" s="46">
        <f t="shared" ca="1" si="102"/>
        <v>242.87411233664315</v>
      </c>
    </row>
    <row r="184" spans="1:67" ht="16.5" customHeight="1">
      <c r="A184" s="1"/>
      <c r="B184" s="16" t="s">
        <v>207</v>
      </c>
      <c r="C184" s="17" t="str">
        <f>'Get Started'!D$7</f>
        <v>$</v>
      </c>
      <c r="D184" s="16" t="s">
        <v>208</v>
      </c>
      <c r="E184" s="16"/>
      <c r="F184" s="16"/>
      <c r="G184" s="16"/>
      <c r="H184" s="16" t="s">
        <v>143</v>
      </c>
      <c r="I184" s="46">
        <f ca="1">IF(H184=Forecast!$H$195,T184,IF(H184=Forecast!$H$196,BO184,IF(H184=Forecast!$H$197,SUM(T184:BO184),IF(H184=Forecast!$H$198,AVERAGE(T184:BO184),0))))</f>
        <v>39.373955828046824</v>
      </c>
      <c r="J184" s="16"/>
      <c r="K184" s="16"/>
      <c r="L184" s="16"/>
      <c r="M184" s="16"/>
      <c r="N184" s="16"/>
      <c r="O184" s="16"/>
      <c r="P184" s="16"/>
      <c r="Q184" s="16"/>
      <c r="R184" s="16"/>
      <c r="S184" s="46"/>
      <c r="T184" s="46">
        <f t="shared" ref="T184:BO184" ca="1" si="103">IFERROR(T174/T$54,0)</f>
        <v>10.183071566506866</v>
      </c>
      <c r="U184" s="46">
        <f t="shared" ca="1" si="103"/>
        <v>11.959779629347929</v>
      </c>
      <c r="V184" s="46">
        <f t="shared" ca="1" si="103"/>
        <v>13.364832660734578</v>
      </c>
      <c r="W184" s="46">
        <f t="shared" ca="1" si="103"/>
        <v>15.231439276576102</v>
      </c>
      <c r="X184" s="46">
        <f t="shared" ca="1" si="103"/>
        <v>16.594457505634988</v>
      </c>
      <c r="Y184" s="46">
        <f t="shared" ca="1" si="103"/>
        <v>17.946185929612248</v>
      </c>
      <c r="Z184" s="46">
        <f t="shared" ca="1" si="103"/>
        <v>19.431300733019416</v>
      </c>
      <c r="AA184" s="46">
        <f t="shared" ca="1" si="103"/>
        <v>20.728022792724161</v>
      </c>
      <c r="AB184" s="46">
        <f t="shared" ca="1" si="103"/>
        <v>22.027877699003916</v>
      </c>
      <c r="AC184" s="46">
        <f t="shared" ca="1" si="103"/>
        <v>23.371301947265174</v>
      </c>
      <c r="AD184" s="46">
        <f t="shared" ca="1" si="103"/>
        <v>24.663673209503337</v>
      </c>
      <c r="AE184" s="46">
        <f t="shared" ca="1" si="103"/>
        <v>25.956537454620598</v>
      </c>
      <c r="AF184" s="46">
        <f t="shared" ca="1" si="103"/>
        <v>27.261685383617916</v>
      </c>
      <c r="AG184" s="46">
        <f t="shared" ca="1" si="103"/>
        <v>28.546732164314548</v>
      </c>
      <c r="AH184" s="46">
        <f t="shared" ca="1" si="103"/>
        <v>29.826562101878437</v>
      </c>
      <c r="AI184" s="46">
        <f t="shared" ca="1" si="103"/>
        <v>31.104468704440961</v>
      </c>
      <c r="AJ184" s="46">
        <f t="shared" ca="1" si="103"/>
        <v>32.367180261670697</v>
      </c>
      <c r="AK184" s="46">
        <f t="shared" ca="1" si="103"/>
        <v>33.618969909230415</v>
      </c>
      <c r="AL184" s="46">
        <f t="shared" ca="1" si="103"/>
        <v>34.860229139958491</v>
      </c>
      <c r="AM184" s="46">
        <f t="shared" ca="1" si="103"/>
        <v>36.084504469198251</v>
      </c>
      <c r="AN184" s="46">
        <f t="shared" ca="1" si="103"/>
        <v>37.292628795594574</v>
      </c>
      <c r="AO184" s="46">
        <f t="shared" ca="1" si="103"/>
        <v>38.484019981433633</v>
      </c>
      <c r="AP184" s="46">
        <f t="shared" ca="1" si="103"/>
        <v>39.655099306038288</v>
      </c>
      <c r="AQ184" s="46">
        <f t="shared" ca="1" si="103"/>
        <v>40.805603374367799</v>
      </c>
      <c r="AR184" s="46">
        <f t="shared" ca="1" si="103"/>
        <v>41.934753747552534</v>
      </c>
      <c r="AS184" s="46">
        <f t="shared" ca="1" si="103"/>
        <v>43.04043254629493</v>
      </c>
      <c r="AT184" s="46">
        <f t="shared" ca="1" si="103"/>
        <v>44.122151170523793</v>
      </c>
      <c r="AU184" s="46">
        <f t="shared" ca="1" si="103"/>
        <v>45.179263192855885</v>
      </c>
      <c r="AV184" s="46">
        <f t="shared" ca="1" si="103"/>
        <v>46.210534552768273</v>
      </c>
      <c r="AW184" s="46">
        <f t="shared" ca="1" si="103"/>
        <v>47.215587469439981</v>
      </c>
      <c r="AX184" s="46">
        <f t="shared" ca="1" si="103"/>
        <v>48.1940310744043</v>
      </c>
      <c r="AY184" s="46">
        <f t="shared" ca="1" si="103"/>
        <v>49.14523521386316</v>
      </c>
      <c r="AZ184" s="46">
        <f t="shared" ca="1" si="103"/>
        <v>50.069046581737254</v>
      </c>
      <c r="BA184" s="46">
        <f t="shared" ca="1" si="103"/>
        <v>50.965352611320377</v>
      </c>
      <c r="BB184" s="46">
        <f t="shared" ca="1" si="103"/>
        <v>51.833960508277023</v>
      </c>
      <c r="BC184" s="46">
        <f t="shared" ca="1" si="103"/>
        <v>52.67495540113098</v>
      </c>
      <c r="BD184" s="46">
        <f t="shared" ca="1" si="103"/>
        <v>53.48843713232398</v>
      </c>
      <c r="BE184" s="46">
        <f t="shared" ca="1" si="103"/>
        <v>54.274608030724252</v>
      </c>
      <c r="BF184" s="46">
        <f t="shared" ca="1" si="103"/>
        <v>55.03372425575656</v>
      </c>
      <c r="BG184" s="46">
        <f t="shared" ca="1" si="103"/>
        <v>55.766107682082961</v>
      </c>
      <c r="BH184" s="46">
        <f t="shared" ca="1" si="103"/>
        <v>56.472150509056362</v>
      </c>
      <c r="BI184" s="46">
        <f t="shared" ca="1" si="103"/>
        <v>57.152287294953013</v>
      </c>
      <c r="BJ184" s="46">
        <f t="shared" ca="1" si="103"/>
        <v>57.806998181352341</v>
      </c>
      <c r="BK184" s="46">
        <f t="shared" ca="1" si="103"/>
        <v>58.436808637729186</v>
      </c>
      <c r="BL184" s="46">
        <f t="shared" ca="1" si="103"/>
        <v>59.04227273931874</v>
      </c>
      <c r="BM184" s="46">
        <f t="shared" ca="1" si="103"/>
        <v>59.623972642757238</v>
      </c>
      <c r="BN184" s="46">
        <f t="shared" ca="1" si="103"/>
        <v>60.1825164895697</v>
      </c>
      <c r="BO184" s="46">
        <f t="shared" ca="1" si="103"/>
        <v>60.718528084160788</v>
      </c>
    </row>
    <row r="185" spans="1:67" ht="16.5" customHeight="1">
      <c r="A185" s="1"/>
      <c r="B185" s="16" t="s">
        <v>209</v>
      </c>
      <c r="C185" s="17" t="str">
        <f>'Get Started'!D$7</f>
        <v>$</v>
      </c>
      <c r="D185" s="16" t="s">
        <v>210</v>
      </c>
      <c r="E185" s="16"/>
      <c r="F185" s="16"/>
      <c r="G185" s="16"/>
      <c r="H185" s="16" t="s">
        <v>143</v>
      </c>
      <c r="I185" s="46">
        <f ca="1">IF(H185=Forecast!$H$195,T185,IF(H185=Forecast!$H$196,BO185,IF(H185=Forecast!$H$197,SUM(T185:BO185),IF(H185=Forecast!$H$198,AVERAGE(T185:BO185),0))))</f>
        <v>118.12186748414045</v>
      </c>
      <c r="J185" s="16"/>
      <c r="K185" s="16"/>
      <c r="L185" s="16"/>
      <c r="M185" s="16"/>
      <c r="N185" s="16"/>
      <c r="O185" s="16"/>
      <c r="P185" s="16"/>
      <c r="Q185" s="16"/>
      <c r="R185" s="16"/>
      <c r="S185" s="46"/>
      <c r="T185" s="46">
        <f t="shared" ref="T185:BO185" ca="1" si="104">T183-T184</f>
        <v>30.549214699520597</v>
      </c>
      <c r="U185" s="46">
        <f t="shared" ca="1" si="104"/>
        <v>35.87933888804379</v>
      </c>
      <c r="V185" s="46">
        <f t="shared" ca="1" si="104"/>
        <v>40.094497982203734</v>
      </c>
      <c r="W185" s="46">
        <f t="shared" ca="1" si="104"/>
        <v>45.694317829728305</v>
      </c>
      <c r="X185" s="46">
        <f t="shared" ca="1" si="104"/>
        <v>49.783372516904961</v>
      </c>
      <c r="Y185" s="46">
        <f t="shared" ca="1" si="104"/>
        <v>53.838557788836745</v>
      </c>
      <c r="Z185" s="46">
        <f t="shared" ca="1" si="104"/>
        <v>58.293902199058252</v>
      </c>
      <c r="AA185" s="46">
        <f t="shared" ca="1" si="104"/>
        <v>62.184068378172483</v>
      </c>
      <c r="AB185" s="46">
        <f t="shared" ca="1" si="104"/>
        <v>66.083633097011756</v>
      </c>
      <c r="AC185" s="46">
        <f t="shared" ca="1" si="104"/>
        <v>70.113905841795514</v>
      </c>
      <c r="AD185" s="46">
        <f t="shared" ca="1" si="104"/>
        <v>73.991019628510003</v>
      </c>
      <c r="AE185" s="46">
        <f t="shared" ca="1" si="104"/>
        <v>77.869612363861791</v>
      </c>
      <c r="AF185" s="46">
        <f t="shared" ca="1" si="104"/>
        <v>81.785056150853748</v>
      </c>
      <c r="AG185" s="46">
        <f t="shared" ca="1" si="104"/>
        <v>85.640196492943645</v>
      </c>
      <c r="AH185" s="46">
        <f t="shared" ca="1" si="104"/>
        <v>89.479686305635312</v>
      </c>
      <c r="AI185" s="46">
        <f t="shared" ca="1" si="104"/>
        <v>93.313406113322884</v>
      </c>
      <c r="AJ185" s="46">
        <f t="shared" ca="1" si="104"/>
        <v>97.101540785012091</v>
      </c>
      <c r="AK185" s="46">
        <f t="shared" ca="1" si="104"/>
        <v>100.85690972769125</v>
      </c>
      <c r="AL185" s="46">
        <f t="shared" ca="1" si="104"/>
        <v>104.58068741987547</v>
      </c>
      <c r="AM185" s="46">
        <f t="shared" ca="1" si="104"/>
        <v>108.25351340759475</v>
      </c>
      <c r="AN185" s="46">
        <f t="shared" ca="1" si="104"/>
        <v>111.87788638678373</v>
      </c>
      <c r="AO185" s="46">
        <f t="shared" ca="1" si="104"/>
        <v>115.4520599443009</v>
      </c>
      <c r="AP185" s="46">
        <f t="shared" ca="1" si="104"/>
        <v>118.96529791811486</v>
      </c>
      <c r="AQ185" s="46">
        <f t="shared" ca="1" si="104"/>
        <v>122.4168101231034</v>
      </c>
      <c r="AR185" s="46">
        <f t="shared" ca="1" si="104"/>
        <v>125.8042612426576</v>
      </c>
      <c r="AS185" s="46">
        <f t="shared" ca="1" si="104"/>
        <v>129.12129763888478</v>
      </c>
      <c r="AT185" s="46">
        <f t="shared" ca="1" si="104"/>
        <v>132.36645351157136</v>
      </c>
      <c r="AU185" s="46">
        <f t="shared" ca="1" si="104"/>
        <v>135.53778957856764</v>
      </c>
      <c r="AV185" s="46">
        <f t="shared" ca="1" si="104"/>
        <v>138.63160365830481</v>
      </c>
      <c r="AW185" s="46">
        <f t="shared" ca="1" si="104"/>
        <v>141.64676240831994</v>
      </c>
      <c r="AX185" s="46">
        <f t="shared" ca="1" si="104"/>
        <v>144.58209322321289</v>
      </c>
      <c r="AY185" s="46">
        <f t="shared" ca="1" si="104"/>
        <v>147.43570564158949</v>
      </c>
      <c r="AZ185" s="46">
        <f t="shared" ca="1" si="104"/>
        <v>150.20713974521175</v>
      </c>
      <c r="BA185" s="46">
        <f t="shared" ca="1" si="104"/>
        <v>152.89605783396112</v>
      </c>
      <c r="BB185" s="46">
        <f t="shared" ca="1" si="104"/>
        <v>155.50188152483108</v>
      </c>
      <c r="BC185" s="46">
        <f t="shared" ca="1" si="104"/>
        <v>158.02486620339295</v>
      </c>
      <c r="BD185" s="46">
        <f t="shared" ca="1" si="104"/>
        <v>160.46531139697194</v>
      </c>
      <c r="BE185" s="46">
        <f t="shared" ca="1" si="104"/>
        <v>162.82382409217274</v>
      </c>
      <c r="BF185" s="46">
        <f t="shared" ca="1" si="104"/>
        <v>165.10117276726967</v>
      </c>
      <c r="BG185" s="46">
        <f t="shared" ca="1" si="104"/>
        <v>167.29832304624887</v>
      </c>
      <c r="BH185" s="46">
        <f t="shared" ca="1" si="104"/>
        <v>169.4164515271691</v>
      </c>
      <c r="BI185" s="46">
        <f t="shared" ca="1" si="104"/>
        <v>171.45686188485905</v>
      </c>
      <c r="BJ185" s="46">
        <f t="shared" ca="1" si="104"/>
        <v>173.42099454405701</v>
      </c>
      <c r="BK185" s="46">
        <f t="shared" ca="1" si="104"/>
        <v>175.31042591318754</v>
      </c>
      <c r="BL185" s="46">
        <f t="shared" ca="1" si="104"/>
        <v>177.12681821795621</v>
      </c>
      <c r="BM185" s="46">
        <f t="shared" ca="1" si="104"/>
        <v>178.87191792827173</v>
      </c>
      <c r="BN185" s="46">
        <f t="shared" ca="1" si="104"/>
        <v>180.54754946870909</v>
      </c>
      <c r="BO185" s="46">
        <f t="shared" ca="1" si="104"/>
        <v>182.15558425248236</v>
      </c>
    </row>
    <row r="186" spans="1:67" ht="16.5" customHeight="1">
      <c r="A186" s="1"/>
      <c r="B186" s="16" t="s">
        <v>211</v>
      </c>
      <c r="C186" s="17" t="str">
        <f>'Get Started'!D$7</f>
        <v>$</v>
      </c>
      <c r="D186" s="16" t="s">
        <v>212</v>
      </c>
      <c r="E186" s="16"/>
      <c r="F186" s="16"/>
      <c r="G186" s="16"/>
      <c r="H186" s="16" t="s">
        <v>143</v>
      </c>
      <c r="I186" s="46">
        <f>IF(H186=Forecast!$H$195,T186,IF(H186=Forecast!$H$196,BO186,IF(H186=Forecast!$H$197,SUM(T186:BO186),IF(H186=Forecast!$H$198,AVERAGE(T186:BO186),0))))</f>
        <v>0</v>
      </c>
      <c r="J186" s="16"/>
      <c r="K186" s="16"/>
      <c r="L186" s="16"/>
      <c r="M186" s="16"/>
      <c r="N186" s="16"/>
      <c r="O186" s="16"/>
      <c r="P186" s="16"/>
      <c r="Q186" s="16"/>
      <c r="R186" s="16"/>
      <c r="S186" s="46"/>
      <c r="T186" s="46">
        <f t="shared" ref="T186:BO186" si="105">T25-T26</f>
        <v>0</v>
      </c>
      <c r="U186" s="46">
        <f t="shared" si="105"/>
        <v>0</v>
      </c>
      <c r="V186" s="46">
        <f t="shared" si="105"/>
        <v>0</v>
      </c>
      <c r="W186" s="46">
        <f t="shared" si="105"/>
        <v>0</v>
      </c>
      <c r="X186" s="46">
        <f t="shared" si="105"/>
        <v>0</v>
      </c>
      <c r="Y186" s="46">
        <f t="shared" si="105"/>
        <v>0</v>
      </c>
      <c r="Z186" s="46">
        <f t="shared" si="105"/>
        <v>0</v>
      </c>
      <c r="AA186" s="46">
        <f t="shared" si="105"/>
        <v>0</v>
      </c>
      <c r="AB186" s="46">
        <f t="shared" si="105"/>
        <v>0</v>
      </c>
      <c r="AC186" s="46">
        <f t="shared" si="105"/>
        <v>0</v>
      </c>
      <c r="AD186" s="46">
        <f t="shared" si="105"/>
        <v>0</v>
      </c>
      <c r="AE186" s="46">
        <f t="shared" si="105"/>
        <v>0</v>
      </c>
      <c r="AF186" s="46">
        <f t="shared" si="105"/>
        <v>0</v>
      </c>
      <c r="AG186" s="46">
        <f t="shared" si="105"/>
        <v>0</v>
      </c>
      <c r="AH186" s="46">
        <f t="shared" si="105"/>
        <v>0</v>
      </c>
      <c r="AI186" s="46">
        <f t="shared" si="105"/>
        <v>0</v>
      </c>
      <c r="AJ186" s="46">
        <f t="shared" si="105"/>
        <v>0</v>
      </c>
      <c r="AK186" s="46">
        <f t="shared" si="105"/>
        <v>0</v>
      </c>
      <c r="AL186" s="46">
        <f t="shared" si="105"/>
        <v>0</v>
      </c>
      <c r="AM186" s="46">
        <f t="shared" si="105"/>
        <v>0</v>
      </c>
      <c r="AN186" s="46">
        <f t="shared" si="105"/>
        <v>0</v>
      </c>
      <c r="AO186" s="46">
        <f t="shared" si="105"/>
        <v>0</v>
      </c>
      <c r="AP186" s="46">
        <f t="shared" si="105"/>
        <v>0</v>
      </c>
      <c r="AQ186" s="46">
        <f t="shared" si="105"/>
        <v>0</v>
      </c>
      <c r="AR186" s="46">
        <f t="shared" si="105"/>
        <v>0</v>
      </c>
      <c r="AS186" s="46">
        <f t="shared" si="105"/>
        <v>0</v>
      </c>
      <c r="AT186" s="46">
        <f t="shared" si="105"/>
        <v>0</v>
      </c>
      <c r="AU186" s="46">
        <f t="shared" si="105"/>
        <v>0</v>
      </c>
      <c r="AV186" s="46">
        <f t="shared" si="105"/>
        <v>0</v>
      </c>
      <c r="AW186" s="46">
        <f t="shared" si="105"/>
        <v>0</v>
      </c>
      <c r="AX186" s="46">
        <f t="shared" si="105"/>
        <v>0</v>
      </c>
      <c r="AY186" s="46">
        <f t="shared" si="105"/>
        <v>0</v>
      </c>
      <c r="AZ186" s="46">
        <f t="shared" si="105"/>
        <v>0</v>
      </c>
      <c r="BA186" s="46">
        <f t="shared" si="105"/>
        <v>0</v>
      </c>
      <c r="BB186" s="46">
        <f t="shared" si="105"/>
        <v>0</v>
      </c>
      <c r="BC186" s="46">
        <f t="shared" si="105"/>
        <v>0</v>
      </c>
      <c r="BD186" s="46">
        <f t="shared" si="105"/>
        <v>0</v>
      </c>
      <c r="BE186" s="46">
        <f t="shared" si="105"/>
        <v>0</v>
      </c>
      <c r="BF186" s="46">
        <f t="shared" si="105"/>
        <v>0</v>
      </c>
      <c r="BG186" s="46">
        <f t="shared" si="105"/>
        <v>0</v>
      </c>
      <c r="BH186" s="46">
        <f t="shared" si="105"/>
        <v>0</v>
      </c>
      <c r="BI186" s="46">
        <f t="shared" si="105"/>
        <v>0</v>
      </c>
      <c r="BJ186" s="46">
        <f t="shared" si="105"/>
        <v>0</v>
      </c>
      <c r="BK186" s="46">
        <f t="shared" si="105"/>
        <v>0</v>
      </c>
      <c r="BL186" s="46">
        <f t="shared" si="105"/>
        <v>0</v>
      </c>
      <c r="BM186" s="46">
        <f t="shared" si="105"/>
        <v>0</v>
      </c>
      <c r="BN186" s="46">
        <f t="shared" si="105"/>
        <v>0</v>
      </c>
      <c r="BO186" s="46">
        <f t="shared" si="105"/>
        <v>0</v>
      </c>
    </row>
    <row r="187" spans="1:67" ht="16.5" customHeight="1">
      <c r="A187" s="1"/>
      <c r="B187" s="16" t="s">
        <v>213</v>
      </c>
      <c r="C187" s="17" t="str">
        <f>'Get Started'!D$7</f>
        <v>$</v>
      </c>
      <c r="D187" s="16" t="s">
        <v>214</v>
      </c>
      <c r="E187" s="16"/>
      <c r="F187" s="16"/>
      <c r="G187" s="16"/>
      <c r="H187" s="16" t="s">
        <v>143</v>
      </c>
      <c r="I187" s="46">
        <f ca="1">IF(H187=Forecast!$H$195,T187,IF(H187=Forecast!$H$196,BO187,IF(H187=Forecast!$H$197,SUM(T187:BO187),IF(H187=Forecast!$H$198,AVERAGE(T187:BO187),0))))</f>
        <v>21.428879062681613</v>
      </c>
      <c r="J187" s="16"/>
      <c r="K187" s="16"/>
      <c r="L187" s="16"/>
      <c r="M187" s="16"/>
      <c r="N187" s="16"/>
      <c r="O187" s="16"/>
      <c r="P187" s="16"/>
      <c r="Q187" s="16"/>
      <c r="R187" s="16"/>
      <c r="S187" s="46"/>
      <c r="T187" s="46">
        <f t="shared" ref="T187:BO187" ca="1" si="106">IFERROR(T179/T54,0)</f>
        <v>11.464572532054934</v>
      </c>
      <c r="U187" s="46">
        <f t="shared" ca="1" si="106"/>
        <v>17.377385419893542</v>
      </c>
      <c r="V187" s="46">
        <f t="shared" ca="1" si="106"/>
        <v>19.559837694531225</v>
      </c>
      <c r="W187" s="46">
        <f t="shared" ca="1" si="106"/>
        <v>24.00823043490189</v>
      </c>
      <c r="X187" s="46">
        <f t="shared" ca="1" si="106"/>
        <v>24.706829452860479</v>
      </c>
      <c r="Y187" s="46">
        <f t="shared" ca="1" si="106"/>
        <v>25.065351980662268</v>
      </c>
      <c r="Z187" s="46">
        <f t="shared" ca="1" si="106"/>
        <v>25.884013553577194</v>
      </c>
      <c r="AA187" s="46">
        <f t="shared" ca="1" si="106"/>
        <v>25.60617045703286</v>
      </c>
      <c r="AB187" s="46">
        <f t="shared" ca="1" si="106"/>
        <v>25.280531058908153</v>
      </c>
      <c r="AC187" s="46">
        <f t="shared" ca="1" si="106"/>
        <v>25.097908310492041</v>
      </c>
      <c r="AD187" s="46">
        <f t="shared" ca="1" si="106"/>
        <v>24.687293413975947</v>
      </c>
      <c r="AE187" s="46">
        <f t="shared" ca="1" si="106"/>
        <v>24.287695227501306</v>
      </c>
      <c r="AF187" s="46">
        <f t="shared" ca="1" si="106"/>
        <v>23.951888800524884</v>
      </c>
      <c r="AG187" s="46">
        <f t="shared" ca="1" si="106"/>
        <v>23.576849330485153</v>
      </c>
      <c r="AH187" s="46">
        <f t="shared" ca="1" si="106"/>
        <v>23.225773785192509</v>
      </c>
      <c r="AI187" s="46">
        <f t="shared" ca="1" si="106"/>
        <v>22.915308394511843</v>
      </c>
      <c r="AJ187" s="46">
        <f t="shared" ca="1" si="106"/>
        <v>22.611215390073824</v>
      </c>
      <c r="AK187" s="46">
        <f t="shared" ca="1" si="106"/>
        <v>22.332320453011199</v>
      </c>
      <c r="AL187" s="46">
        <f t="shared" ca="1" si="106"/>
        <v>22.08366346428889</v>
      </c>
      <c r="AM187" s="46">
        <f t="shared" ca="1" si="106"/>
        <v>21.851548408152397</v>
      </c>
      <c r="AN187" s="46">
        <f t="shared" ca="1" si="106"/>
        <v>21.641555956147254</v>
      </c>
      <c r="AO187" s="46">
        <f t="shared" ca="1" si="106"/>
        <v>21.454643320105088</v>
      </c>
      <c r="AP187" s="46">
        <f t="shared" ca="1" si="106"/>
        <v>21.284280607817209</v>
      </c>
      <c r="AQ187" s="46">
        <f t="shared" ca="1" si="106"/>
        <v>21.131694744122864</v>
      </c>
      <c r="AR187" s="46">
        <f t="shared" ca="1" si="106"/>
        <v>20.996444918291463</v>
      </c>
      <c r="AS187" s="46">
        <f t="shared" ca="1" si="106"/>
        <v>20.874939872574576</v>
      </c>
      <c r="AT187" s="46">
        <f t="shared" ca="1" si="106"/>
        <v>20.766972636799032</v>
      </c>
      <c r="AU187" s="46">
        <f t="shared" ca="1" si="106"/>
        <v>20.671723719181006</v>
      </c>
      <c r="AV187" s="46">
        <f t="shared" ca="1" si="106"/>
        <v>20.587012836437179</v>
      </c>
      <c r="AW187" s="46">
        <f t="shared" ca="1" si="106"/>
        <v>20.512235887994027</v>
      </c>
      <c r="AX187" s="46">
        <f t="shared" ca="1" si="106"/>
        <v>20.446577187120344</v>
      </c>
      <c r="AY187" s="46">
        <f t="shared" ca="1" si="106"/>
        <v>20.388632639828881</v>
      </c>
      <c r="AZ187" s="46">
        <f t="shared" ca="1" si="106"/>
        <v>20.337773545715137</v>
      </c>
      <c r="BA187" s="46">
        <f t="shared" ca="1" si="106"/>
        <v>20.29331521145367</v>
      </c>
      <c r="BB187" s="46">
        <f t="shared" ca="1" si="106"/>
        <v>20.254325959801506</v>
      </c>
      <c r="BC187" s="46">
        <f t="shared" ca="1" si="106"/>
        <v>20.220274198103265</v>
      </c>
      <c r="BD187" s="46">
        <f t="shared" ca="1" si="106"/>
        <v>20.190564603550165</v>
      </c>
      <c r="BE187" s="46">
        <f t="shared" ca="1" si="106"/>
        <v>20.164700903402196</v>
      </c>
      <c r="BF187" s="46">
        <f t="shared" ca="1" si="106"/>
        <v>20.142210150975181</v>
      </c>
      <c r="BG187" s="46">
        <f t="shared" ca="1" si="106"/>
        <v>20.122670847847029</v>
      </c>
      <c r="BH187" s="46">
        <f t="shared" ca="1" si="106"/>
        <v>20.105726687298038</v>
      </c>
      <c r="BI187" s="46">
        <f t="shared" ca="1" si="106"/>
        <v>20.091047542133492</v>
      </c>
      <c r="BJ187" s="46">
        <f t="shared" ca="1" si="106"/>
        <v>20.078341431425581</v>
      </c>
      <c r="BK187" s="46">
        <f t="shared" ca="1" si="106"/>
        <v>20.067359782047813</v>
      </c>
      <c r="BL187" s="46">
        <f t="shared" ca="1" si="106"/>
        <v>20.05787678944758</v>
      </c>
      <c r="BM187" s="46">
        <f t="shared" ca="1" si="106"/>
        <v>20.049694058932857</v>
      </c>
      <c r="BN187" s="46">
        <f t="shared" ca="1" si="106"/>
        <v>20.042642130303548</v>
      </c>
      <c r="BO187" s="46">
        <f t="shared" ca="1" si="106"/>
        <v>20.036569277228693</v>
      </c>
    </row>
    <row r="188" spans="1:67" ht="16.5" customHeight="1">
      <c r="A188" s="1"/>
      <c r="B188" s="16" t="s">
        <v>215</v>
      </c>
      <c r="C188" s="17" t="str">
        <f>'Get Started'!D$7</f>
        <v>$</v>
      </c>
      <c r="D188" s="16" t="s">
        <v>216</v>
      </c>
      <c r="E188" s="16"/>
      <c r="F188" s="16"/>
      <c r="G188" s="16"/>
      <c r="H188" s="16" t="s">
        <v>143</v>
      </c>
      <c r="I188" s="46">
        <f ca="1">IF(H188=Forecast!$H$195,T188,IF(H188=Forecast!$H$196,BO188,IF(H188=Forecast!$H$197,SUM(T188:BO188),IF(H188=Forecast!$H$198,AVERAGE(T188:BO188),0))))</f>
        <v>96.692988421458793</v>
      </c>
      <c r="J188" s="16"/>
      <c r="K188" s="16"/>
      <c r="L188" s="16"/>
      <c r="M188" s="16"/>
      <c r="N188" s="16"/>
      <c r="O188" s="16"/>
      <c r="P188" s="16"/>
      <c r="Q188" s="16"/>
      <c r="R188" s="16"/>
      <c r="S188" s="46"/>
      <c r="T188" s="46">
        <f t="shared" ref="T188:BO188" ca="1" si="107">T185+T186-T187</f>
        <v>19.084642167465663</v>
      </c>
      <c r="U188" s="46">
        <f t="shared" ca="1" si="107"/>
        <v>18.501953468150248</v>
      </c>
      <c r="V188" s="46">
        <f t="shared" ca="1" si="107"/>
        <v>20.534660287672509</v>
      </c>
      <c r="W188" s="46">
        <f t="shared" ca="1" si="107"/>
        <v>21.686087394826416</v>
      </c>
      <c r="X188" s="46">
        <f t="shared" ca="1" si="107"/>
        <v>25.076543064044483</v>
      </c>
      <c r="Y188" s="46">
        <f t="shared" ca="1" si="107"/>
        <v>28.773205808174477</v>
      </c>
      <c r="Z188" s="46">
        <f t="shared" ca="1" si="107"/>
        <v>32.409888645481061</v>
      </c>
      <c r="AA188" s="46">
        <f t="shared" ca="1" si="107"/>
        <v>36.577897921139623</v>
      </c>
      <c r="AB188" s="46">
        <f t="shared" ca="1" si="107"/>
        <v>40.803102038103603</v>
      </c>
      <c r="AC188" s="46">
        <f t="shared" ca="1" si="107"/>
        <v>45.015997531303469</v>
      </c>
      <c r="AD188" s="46">
        <f t="shared" ca="1" si="107"/>
        <v>49.303726214534052</v>
      </c>
      <c r="AE188" s="46">
        <f t="shared" ca="1" si="107"/>
        <v>53.581917136360488</v>
      </c>
      <c r="AF188" s="46">
        <f t="shared" ca="1" si="107"/>
        <v>57.833167350328864</v>
      </c>
      <c r="AG188" s="46">
        <f t="shared" ca="1" si="107"/>
        <v>62.063347162458491</v>
      </c>
      <c r="AH188" s="46">
        <f t="shared" ca="1" si="107"/>
        <v>66.25391252044281</v>
      </c>
      <c r="AI188" s="46">
        <f t="shared" ca="1" si="107"/>
        <v>70.398097718811044</v>
      </c>
      <c r="AJ188" s="46">
        <f t="shared" ca="1" si="107"/>
        <v>74.490325394938267</v>
      </c>
      <c r="AK188" s="46">
        <f t="shared" ca="1" si="107"/>
        <v>78.524589274680039</v>
      </c>
      <c r="AL188" s="46">
        <f t="shared" ca="1" si="107"/>
        <v>82.497023955586585</v>
      </c>
      <c r="AM188" s="46">
        <f t="shared" ca="1" si="107"/>
        <v>86.401964999442356</v>
      </c>
      <c r="AN188" s="46">
        <f t="shared" ca="1" si="107"/>
        <v>90.236330430636471</v>
      </c>
      <c r="AO188" s="46">
        <f t="shared" ca="1" si="107"/>
        <v>93.997416624195807</v>
      </c>
      <c r="AP188" s="46">
        <f t="shared" ca="1" si="107"/>
        <v>97.681017310297648</v>
      </c>
      <c r="AQ188" s="46">
        <f t="shared" ca="1" si="107"/>
        <v>101.28511537898054</v>
      </c>
      <c r="AR188" s="46">
        <f t="shared" ca="1" si="107"/>
        <v>104.80781632436614</v>
      </c>
      <c r="AS188" s="46">
        <f t="shared" ca="1" si="107"/>
        <v>108.24635776631021</v>
      </c>
      <c r="AT188" s="46">
        <f t="shared" ca="1" si="107"/>
        <v>111.59948087477233</v>
      </c>
      <c r="AU188" s="46">
        <f t="shared" ca="1" si="107"/>
        <v>114.86606585938664</v>
      </c>
      <c r="AV188" s="46">
        <f t="shared" ca="1" si="107"/>
        <v>118.04459082186763</v>
      </c>
      <c r="AW188" s="46">
        <f t="shared" ca="1" si="107"/>
        <v>121.13452652032592</v>
      </c>
      <c r="AX188" s="46">
        <f t="shared" ca="1" si="107"/>
        <v>124.13551603609255</v>
      </c>
      <c r="AY188" s="46">
        <f t="shared" ca="1" si="107"/>
        <v>127.04707300176061</v>
      </c>
      <c r="AZ188" s="46">
        <f t="shared" ca="1" si="107"/>
        <v>129.8693661994966</v>
      </c>
      <c r="BA188" s="46">
        <f t="shared" ca="1" si="107"/>
        <v>132.60274262250746</v>
      </c>
      <c r="BB188" s="46">
        <f t="shared" ca="1" si="107"/>
        <v>135.24755556502959</v>
      </c>
      <c r="BC188" s="46">
        <f t="shared" ca="1" si="107"/>
        <v>137.80459200528969</v>
      </c>
      <c r="BD188" s="46">
        <f t="shared" ca="1" si="107"/>
        <v>140.27474679342177</v>
      </c>
      <c r="BE188" s="46">
        <f t="shared" ca="1" si="107"/>
        <v>142.65912318877054</v>
      </c>
      <c r="BF188" s="46">
        <f t="shared" ca="1" si="107"/>
        <v>144.95896261629449</v>
      </c>
      <c r="BG188" s="46">
        <f t="shared" ca="1" si="107"/>
        <v>147.17565219840185</v>
      </c>
      <c r="BH188" s="46">
        <f t="shared" ca="1" si="107"/>
        <v>149.31072483987106</v>
      </c>
      <c r="BI188" s="46">
        <f t="shared" ca="1" si="107"/>
        <v>151.36581434272557</v>
      </c>
      <c r="BJ188" s="46">
        <f t="shared" ca="1" si="107"/>
        <v>153.34265311263144</v>
      </c>
      <c r="BK188" s="46">
        <f t="shared" ca="1" si="107"/>
        <v>155.24306613113973</v>
      </c>
      <c r="BL188" s="46">
        <f t="shared" ca="1" si="107"/>
        <v>157.06894142850862</v>
      </c>
      <c r="BM188" s="46">
        <f t="shared" ca="1" si="107"/>
        <v>158.82222386933887</v>
      </c>
      <c r="BN188" s="46">
        <f t="shared" ca="1" si="107"/>
        <v>160.50490733840553</v>
      </c>
      <c r="BO188" s="46">
        <f t="shared" ca="1" si="107"/>
        <v>162.11901497525366</v>
      </c>
    </row>
    <row r="189" spans="1:67" ht="16.5" customHeight="1">
      <c r="A189" s="1"/>
      <c r="B189" s="16"/>
      <c r="C189" s="17"/>
      <c r="D189" s="16"/>
      <c r="E189" s="16"/>
      <c r="F189" s="16"/>
      <c r="G189" s="16"/>
      <c r="H189" s="16"/>
      <c r="I189" s="16"/>
      <c r="J189" s="16"/>
      <c r="K189" s="16"/>
      <c r="L189" s="16"/>
      <c r="M189" s="16"/>
      <c r="N189" s="16"/>
      <c r="O189" s="16"/>
      <c r="P189" s="16"/>
      <c r="Q189" s="16"/>
      <c r="R189" s="1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row>
    <row r="190" spans="1:67" ht="16.5" customHeight="1">
      <c r="A190" s="1"/>
      <c r="B190" s="22" t="s">
        <v>217</v>
      </c>
      <c r="C190" s="17"/>
      <c r="D190" s="16"/>
      <c r="E190" s="16"/>
      <c r="F190" s="16"/>
      <c r="G190" s="16"/>
      <c r="H190" s="16"/>
      <c r="I190" s="16"/>
      <c r="J190" s="16"/>
      <c r="K190" s="16"/>
      <c r="L190" s="16"/>
      <c r="M190" s="16"/>
      <c r="N190" s="16"/>
      <c r="O190" s="16"/>
      <c r="P190" s="16"/>
      <c r="Q190" s="16"/>
      <c r="R190" s="16"/>
      <c r="S190" s="16"/>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row>
    <row r="191" spans="1:67" ht="16.5" customHeight="1">
      <c r="A191" s="1"/>
      <c r="B191" s="16" t="s">
        <v>218</v>
      </c>
      <c r="C191" s="17" t="str">
        <f>'Get Started'!D$7</f>
        <v>$</v>
      </c>
      <c r="D191" s="16" t="s">
        <v>219</v>
      </c>
      <c r="E191" s="16"/>
      <c r="F191" s="16"/>
      <c r="G191" s="16"/>
      <c r="H191" s="16" t="s">
        <v>143</v>
      </c>
      <c r="I191" s="46">
        <f ca="1">IF(H191=Forecast!$H$195,T191,IF(H191=Forecast!$H$196,BO191,IF(H191=Forecast!$H$197,SUM(T191:BO191),IF(H191=Forecast!$H$198,AVERAGE(T191:BO191),0))))</f>
        <v>58.49920654296875</v>
      </c>
      <c r="J191" s="16"/>
      <c r="K191" s="16"/>
      <c r="L191" s="16"/>
      <c r="M191" s="16"/>
      <c r="N191" s="16"/>
      <c r="O191" s="16"/>
      <c r="P191" s="16"/>
      <c r="Q191" s="16"/>
      <c r="R191" s="16"/>
      <c r="S191" s="16"/>
      <c r="T191" s="17">
        <f t="shared" ref="T191:BO191" ca="1" si="108">(T16+T17*(T192-1))*(1-SUM(T20,T21,T22))+(T25-T26)*T192</f>
        <v>58.49920654296875</v>
      </c>
      <c r="U191" s="17">
        <f t="shared" ca="1" si="108"/>
        <v>58.49920654296875</v>
      </c>
      <c r="V191" s="17">
        <f t="shared" ca="1" si="108"/>
        <v>58.49920654296875</v>
      </c>
      <c r="W191" s="17">
        <f t="shared" ca="1" si="108"/>
        <v>58.49920654296875</v>
      </c>
      <c r="X191" s="17">
        <f t="shared" ca="1" si="108"/>
        <v>58.49920654296875</v>
      </c>
      <c r="Y191" s="17">
        <f t="shared" ca="1" si="108"/>
        <v>58.49920654296875</v>
      </c>
      <c r="Z191" s="17">
        <f t="shared" ca="1" si="108"/>
        <v>58.49920654296875</v>
      </c>
      <c r="AA191" s="17">
        <f t="shared" ca="1" si="108"/>
        <v>58.49920654296875</v>
      </c>
      <c r="AB191" s="17">
        <f t="shared" ca="1" si="108"/>
        <v>58.49920654296875</v>
      </c>
      <c r="AC191" s="17">
        <f t="shared" ca="1" si="108"/>
        <v>58.49920654296875</v>
      </c>
      <c r="AD191" s="17">
        <f t="shared" ca="1" si="108"/>
        <v>58.49920654296875</v>
      </c>
      <c r="AE191" s="17">
        <f t="shared" ca="1" si="108"/>
        <v>58.49920654296875</v>
      </c>
      <c r="AF191" s="17">
        <f t="shared" ca="1" si="108"/>
        <v>58.49920654296875</v>
      </c>
      <c r="AG191" s="17">
        <f t="shared" ca="1" si="108"/>
        <v>58.49920654296875</v>
      </c>
      <c r="AH191" s="17">
        <f t="shared" ca="1" si="108"/>
        <v>58.49920654296875</v>
      </c>
      <c r="AI191" s="17">
        <f t="shared" ca="1" si="108"/>
        <v>58.49920654296875</v>
      </c>
      <c r="AJ191" s="17">
        <f t="shared" ca="1" si="108"/>
        <v>58.49920654296875</v>
      </c>
      <c r="AK191" s="17">
        <f t="shared" ca="1" si="108"/>
        <v>58.49920654296875</v>
      </c>
      <c r="AL191" s="17">
        <f t="shared" ca="1" si="108"/>
        <v>58.49920654296875</v>
      </c>
      <c r="AM191" s="17">
        <f t="shared" ca="1" si="108"/>
        <v>58.49920654296875</v>
      </c>
      <c r="AN191" s="17">
        <f t="shared" ca="1" si="108"/>
        <v>58.49920654296875</v>
      </c>
      <c r="AO191" s="17">
        <f t="shared" ca="1" si="108"/>
        <v>58.49920654296875</v>
      </c>
      <c r="AP191" s="17">
        <f t="shared" ca="1" si="108"/>
        <v>58.49920654296875</v>
      </c>
      <c r="AQ191" s="17">
        <f t="shared" ca="1" si="108"/>
        <v>58.49920654296875</v>
      </c>
      <c r="AR191" s="17">
        <f t="shared" ca="1" si="108"/>
        <v>58.49920654296875</v>
      </c>
      <c r="AS191" s="17">
        <f t="shared" ca="1" si="108"/>
        <v>58.49920654296875</v>
      </c>
      <c r="AT191" s="17">
        <f t="shared" ca="1" si="108"/>
        <v>58.49920654296875</v>
      </c>
      <c r="AU191" s="17">
        <f t="shared" ca="1" si="108"/>
        <v>58.49920654296875</v>
      </c>
      <c r="AV191" s="17">
        <f t="shared" ca="1" si="108"/>
        <v>58.49920654296875</v>
      </c>
      <c r="AW191" s="17">
        <f t="shared" ca="1" si="108"/>
        <v>58.49920654296875</v>
      </c>
      <c r="AX191" s="17">
        <f t="shared" ca="1" si="108"/>
        <v>58.49920654296875</v>
      </c>
      <c r="AY191" s="17">
        <f t="shared" ca="1" si="108"/>
        <v>58.49920654296875</v>
      </c>
      <c r="AZ191" s="17">
        <f t="shared" ca="1" si="108"/>
        <v>58.49920654296875</v>
      </c>
      <c r="BA191" s="17">
        <f t="shared" ca="1" si="108"/>
        <v>58.49920654296875</v>
      </c>
      <c r="BB191" s="17">
        <f t="shared" ca="1" si="108"/>
        <v>58.49920654296875</v>
      </c>
      <c r="BC191" s="17">
        <f t="shared" ca="1" si="108"/>
        <v>58.49920654296875</v>
      </c>
      <c r="BD191" s="17">
        <f t="shared" ca="1" si="108"/>
        <v>58.49920654296875</v>
      </c>
      <c r="BE191" s="17">
        <f t="shared" ca="1" si="108"/>
        <v>58.49920654296875</v>
      </c>
      <c r="BF191" s="17">
        <f t="shared" ca="1" si="108"/>
        <v>58.49920654296875</v>
      </c>
      <c r="BG191" s="17">
        <f t="shared" ca="1" si="108"/>
        <v>58.49920654296875</v>
      </c>
      <c r="BH191" s="17">
        <f t="shared" ca="1" si="108"/>
        <v>58.49920654296875</v>
      </c>
      <c r="BI191" s="17">
        <f t="shared" ca="1" si="108"/>
        <v>58.49920654296875</v>
      </c>
      <c r="BJ191" s="17">
        <f t="shared" ca="1" si="108"/>
        <v>58.49920654296875</v>
      </c>
      <c r="BK191" s="17">
        <f t="shared" ca="1" si="108"/>
        <v>58.49920654296875</v>
      </c>
      <c r="BL191" s="17">
        <f t="shared" ca="1" si="108"/>
        <v>58.49920654296875</v>
      </c>
      <c r="BM191" s="17">
        <f t="shared" ca="1" si="108"/>
        <v>58.49920654296875</v>
      </c>
      <c r="BN191" s="17">
        <f t="shared" ca="1" si="108"/>
        <v>58.49920654296875</v>
      </c>
      <c r="BO191" s="17">
        <f t="shared" ca="1" si="108"/>
        <v>58.49920654296875</v>
      </c>
    </row>
    <row r="192" spans="1:67" ht="16.5" customHeight="1">
      <c r="A192" s="1"/>
      <c r="B192" s="16" t="s">
        <v>220</v>
      </c>
      <c r="C192" s="17" t="s">
        <v>104</v>
      </c>
      <c r="D192" s="16" t="s">
        <v>221</v>
      </c>
      <c r="E192" s="16"/>
      <c r="F192" s="16"/>
      <c r="G192" s="16"/>
      <c r="H192" s="16" t="s">
        <v>143</v>
      </c>
      <c r="I192" s="46">
        <f ca="1">IF(H192=Forecast!$H$195,T192,IF(H192=Forecast!$H$196,BO192,IF(H192=Forecast!$H$197,SUM(T192:BO192),IF(H192=Forecast!$H$198,AVERAGE(T192:BO192),0))))</f>
        <v>1.999969482421875</v>
      </c>
      <c r="J192" s="16"/>
      <c r="K192" s="16"/>
      <c r="L192" s="16"/>
      <c r="M192" s="16"/>
      <c r="N192" s="16"/>
      <c r="O192" s="16"/>
      <c r="P192" s="16"/>
      <c r="Q192" s="16"/>
      <c r="R192" s="16"/>
      <c r="S192" s="16"/>
      <c r="T192" s="17">
        <f t="shared" ref="T192:BO192" ca="1" si="109">$I44</f>
        <v>1.999969482421875</v>
      </c>
      <c r="U192" s="17">
        <f t="shared" ca="1" si="109"/>
        <v>1.999969482421875</v>
      </c>
      <c r="V192" s="17">
        <f t="shared" ca="1" si="109"/>
        <v>1.999969482421875</v>
      </c>
      <c r="W192" s="17">
        <f t="shared" ca="1" si="109"/>
        <v>1.999969482421875</v>
      </c>
      <c r="X192" s="17">
        <f t="shared" ca="1" si="109"/>
        <v>1.999969482421875</v>
      </c>
      <c r="Y192" s="17">
        <f t="shared" ca="1" si="109"/>
        <v>1.999969482421875</v>
      </c>
      <c r="Z192" s="17">
        <f t="shared" ca="1" si="109"/>
        <v>1.999969482421875</v>
      </c>
      <c r="AA192" s="17">
        <f t="shared" ca="1" si="109"/>
        <v>1.999969482421875</v>
      </c>
      <c r="AB192" s="17">
        <f t="shared" ca="1" si="109"/>
        <v>1.999969482421875</v>
      </c>
      <c r="AC192" s="17">
        <f t="shared" ca="1" si="109"/>
        <v>1.999969482421875</v>
      </c>
      <c r="AD192" s="17">
        <f t="shared" ca="1" si="109"/>
        <v>1.999969482421875</v>
      </c>
      <c r="AE192" s="17">
        <f t="shared" ca="1" si="109"/>
        <v>1.999969482421875</v>
      </c>
      <c r="AF192" s="17">
        <f t="shared" ca="1" si="109"/>
        <v>1.999969482421875</v>
      </c>
      <c r="AG192" s="17">
        <f t="shared" ca="1" si="109"/>
        <v>1.999969482421875</v>
      </c>
      <c r="AH192" s="17">
        <f t="shared" ca="1" si="109"/>
        <v>1.999969482421875</v>
      </c>
      <c r="AI192" s="17">
        <f t="shared" ca="1" si="109"/>
        <v>1.999969482421875</v>
      </c>
      <c r="AJ192" s="17">
        <f t="shared" ca="1" si="109"/>
        <v>1.999969482421875</v>
      </c>
      <c r="AK192" s="17">
        <f t="shared" ca="1" si="109"/>
        <v>1.999969482421875</v>
      </c>
      <c r="AL192" s="17">
        <f t="shared" ca="1" si="109"/>
        <v>1.999969482421875</v>
      </c>
      <c r="AM192" s="17">
        <f t="shared" ca="1" si="109"/>
        <v>1.999969482421875</v>
      </c>
      <c r="AN192" s="17">
        <f t="shared" ca="1" si="109"/>
        <v>1.999969482421875</v>
      </c>
      <c r="AO192" s="17">
        <f t="shared" ca="1" si="109"/>
        <v>1.999969482421875</v>
      </c>
      <c r="AP192" s="17">
        <f t="shared" ca="1" si="109"/>
        <v>1.999969482421875</v>
      </c>
      <c r="AQ192" s="17">
        <f t="shared" ca="1" si="109"/>
        <v>1.999969482421875</v>
      </c>
      <c r="AR192" s="17">
        <f t="shared" ca="1" si="109"/>
        <v>1.999969482421875</v>
      </c>
      <c r="AS192" s="17">
        <f t="shared" ca="1" si="109"/>
        <v>1.999969482421875</v>
      </c>
      <c r="AT192" s="17">
        <f t="shared" ca="1" si="109"/>
        <v>1.999969482421875</v>
      </c>
      <c r="AU192" s="17">
        <f t="shared" ca="1" si="109"/>
        <v>1.999969482421875</v>
      </c>
      <c r="AV192" s="17">
        <f t="shared" ca="1" si="109"/>
        <v>1.999969482421875</v>
      </c>
      <c r="AW192" s="17">
        <f t="shared" ca="1" si="109"/>
        <v>1.999969482421875</v>
      </c>
      <c r="AX192" s="17">
        <f t="shared" ca="1" si="109"/>
        <v>1.999969482421875</v>
      </c>
      <c r="AY192" s="17">
        <f t="shared" ca="1" si="109"/>
        <v>1.999969482421875</v>
      </c>
      <c r="AZ192" s="17">
        <f t="shared" ca="1" si="109"/>
        <v>1.999969482421875</v>
      </c>
      <c r="BA192" s="17">
        <f t="shared" ca="1" si="109"/>
        <v>1.999969482421875</v>
      </c>
      <c r="BB192" s="17">
        <f t="shared" ca="1" si="109"/>
        <v>1.999969482421875</v>
      </c>
      <c r="BC192" s="17">
        <f t="shared" ca="1" si="109"/>
        <v>1.999969482421875</v>
      </c>
      <c r="BD192" s="17">
        <f t="shared" ca="1" si="109"/>
        <v>1.999969482421875</v>
      </c>
      <c r="BE192" s="17">
        <f t="shared" ca="1" si="109"/>
        <v>1.999969482421875</v>
      </c>
      <c r="BF192" s="17">
        <f t="shared" ca="1" si="109"/>
        <v>1.999969482421875</v>
      </c>
      <c r="BG192" s="17">
        <f t="shared" ca="1" si="109"/>
        <v>1.999969482421875</v>
      </c>
      <c r="BH192" s="17">
        <f t="shared" ca="1" si="109"/>
        <v>1.999969482421875</v>
      </c>
      <c r="BI192" s="17">
        <f t="shared" ca="1" si="109"/>
        <v>1.999969482421875</v>
      </c>
      <c r="BJ192" s="17">
        <f t="shared" ca="1" si="109"/>
        <v>1.999969482421875</v>
      </c>
      <c r="BK192" s="17">
        <f t="shared" ca="1" si="109"/>
        <v>1.999969482421875</v>
      </c>
      <c r="BL192" s="17">
        <f t="shared" ca="1" si="109"/>
        <v>1.999969482421875</v>
      </c>
      <c r="BM192" s="17">
        <f t="shared" ca="1" si="109"/>
        <v>1.999969482421875</v>
      </c>
      <c r="BN192" s="17">
        <f t="shared" ca="1" si="109"/>
        <v>1.999969482421875</v>
      </c>
      <c r="BO192" s="17">
        <f t="shared" ca="1" si="109"/>
        <v>1.999969482421875</v>
      </c>
    </row>
    <row r="193" spans="1:67" ht="16.5" customHeight="1">
      <c r="A193" s="1"/>
      <c r="B193" s="16"/>
      <c r="C193" s="17"/>
      <c r="D193" s="16"/>
      <c r="E193" s="16"/>
      <c r="F193" s="16"/>
      <c r="G193" s="16"/>
      <c r="H193" s="16"/>
      <c r="I193" s="16"/>
      <c r="J193" s="16"/>
      <c r="K193" s="16"/>
      <c r="L193" s="16"/>
      <c r="M193" s="16"/>
      <c r="N193" s="16"/>
      <c r="O193" s="16"/>
      <c r="P193" s="16"/>
      <c r="Q193" s="16"/>
      <c r="R193" s="16"/>
      <c r="S193" s="16"/>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6.5" customHeight="1">
      <c r="A194" s="1"/>
      <c r="B194" s="22" t="s">
        <v>222</v>
      </c>
      <c r="C194" s="17"/>
      <c r="D194" s="16" t="s">
        <v>223</v>
      </c>
      <c r="E194" s="16"/>
      <c r="F194" s="16"/>
      <c r="G194" s="16"/>
      <c r="H194" s="16"/>
      <c r="I194" s="16"/>
      <c r="J194" s="16"/>
      <c r="K194" s="16"/>
      <c r="L194" s="16"/>
      <c r="M194" s="16"/>
      <c r="N194" s="16"/>
      <c r="O194" s="16"/>
      <c r="P194" s="16"/>
      <c r="Q194" s="16"/>
      <c r="R194" s="16"/>
      <c r="S194" s="16"/>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6.5" customHeight="1">
      <c r="A195" s="1"/>
      <c r="B195" s="16" t="s">
        <v>189</v>
      </c>
      <c r="C195" s="17" t="str">
        <f>'Get Started'!D$7</f>
        <v>$</v>
      </c>
      <c r="D195" s="16" t="s">
        <v>224</v>
      </c>
      <c r="E195" s="16"/>
      <c r="F195" s="16"/>
      <c r="G195" s="16"/>
      <c r="H195" s="16" t="s">
        <v>150</v>
      </c>
      <c r="I195" s="46">
        <f ca="1">IF(H195=Forecast!$H$195,T195,IF(H195=Forecast!$H$196,BO195,IF(H195=Forecast!$H$197,SUM(T195:BO195),IF(H195=Forecast!$H$198,AVERAGE(T195:BO195),0))))</f>
        <v>305928.95819071401</v>
      </c>
      <c r="J195" s="16"/>
      <c r="K195" s="16"/>
      <c r="L195" s="16"/>
      <c r="M195" s="16"/>
      <c r="N195" s="16"/>
      <c r="O195" s="16"/>
      <c r="P195" s="16"/>
      <c r="Q195" s="16"/>
      <c r="R195" s="16"/>
      <c r="S195" s="16"/>
      <c r="T195" s="57">
        <f t="shared" ref="T195:BO195" ca="1" si="110">T$173</f>
        <v>305928.95819071401</v>
      </c>
      <c r="U195" s="57">
        <f t="shared" ca="1" si="110"/>
        <v>125897.78534690724</v>
      </c>
      <c r="V195" s="57">
        <f t="shared" ca="1" si="110"/>
        <v>179167.87138758699</v>
      </c>
      <c r="W195" s="57">
        <f t="shared" ca="1" si="110"/>
        <v>216369.401141482</v>
      </c>
      <c r="X195" s="57">
        <f t="shared" ca="1" si="110"/>
        <v>330021.38698074972</v>
      </c>
      <c r="Y195" s="57">
        <f t="shared" ca="1" si="110"/>
        <v>487542.62467441428</v>
      </c>
      <c r="Z195" s="57">
        <f t="shared" ca="1" si="110"/>
        <v>670629.78327292774</v>
      </c>
      <c r="AA195" s="57">
        <f t="shared" ca="1" si="110"/>
        <v>938196.26304349001</v>
      </c>
      <c r="AB195" s="57">
        <f t="shared" ca="1" si="110"/>
        <v>1268002.0402687776</v>
      </c>
      <c r="AC195" s="57">
        <f t="shared" ca="1" si="110"/>
        <v>1645441.4748239676</v>
      </c>
      <c r="AD195" s="57">
        <f t="shared" ca="1" si="110"/>
        <v>2101250.1023308677</v>
      </c>
      <c r="AE195" s="57">
        <f t="shared" ca="1" si="110"/>
        <v>2615616.557548508</v>
      </c>
      <c r="AF195" s="57">
        <f t="shared" ca="1" si="110"/>
        <v>3173401.7832667241</v>
      </c>
      <c r="AG195" s="57">
        <f t="shared" ca="1" si="110"/>
        <v>3786359.4347102409</v>
      </c>
      <c r="AH195" s="57">
        <f t="shared" ca="1" si="110"/>
        <v>4436751.3429334974</v>
      </c>
      <c r="AI195" s="57">
        <f t="shared" ca="1" si="110"/>
        <v>5110565.663538971</v>
      </c>
      <c r="AJ195" s="57">
        <f t="shared" ca="1" si="110"/>
        <v>5810218.5919173062</v>
      </c>
      <c r="AK195" s="57">
        <f t="shared" ca="1" si="110"/>
        <v>6521955.1710934415</v>
      </c>
      <c r="AL195" s="57">
        <f t="shared" ca="1" si="110"/>
        <v>7235155.2906478988</v>
      </c>
      <c r="AM195" s="57">
        <f t="shared" ca="1" si="110"/>
        <v>7949303.9244004302</v>
      </c>
      <c r="AN195" s="57">
        <f t="shared" ca="1" si="110"/>
        <v>8655395.4410995953</v>
      </c>
      <c r="AO195" s="57">
        <f t="shared" ca="1" si="110"/>
        <v>9346819.8039904963</v>
      </c>
      <c r="AP195" s="57">
        <f t="shared" ca="1" si="110"/>
        <v>10023057.114036566</v>
      </c>
      <c r="AQ195" s="57">
        <f t="shared" ca="1" si="110"/>
        <v>10679210.247103635</v>
      </c>
      <c r="AR195" s="57">
        <f t="shared" ca="1" si="110"/>
        <v>11312003.655576162</v>
      </c>
      <c r="AS195" s="57">
        <f t="shared" ca="1" si="110"/>
        <v>11921695.830128862</v>
      </c>
      <c r="AT195" s="57">
        <f t="shared" ca="1" si="110"/>
        <v>12506270.071440881</v>
      </c>
      <c r="AU195" s="57">
        <f t="shared" ca="1" si="110"/>
        <v>13064687.047932006</v>
      </c>
      <c r="AV195" s="57">
        <f t="shared" ca="1" si="110"/>
        <v>13597862.916592553</v>
      </c>
      <c r="AW195" s="57">
        <f t="shared" ca="1" si="110"/>
        <v>14105492.169268373</v>
      </c>
      <c r="AX195" s="57">
        <f t="shared" ca="1" si="110"/>
        <v>14587792.660225345</v>
      </c>
      <c r="AY195" s="57">
        <f t="shared" ca="1" si="110"/>
        <v>15046005.33607435</v>
      </c>
      <c r="AZ195" s="57">
        <f t="shared" ca="1" si="110"/>
        <v>15480681.927462809</v>
      </c>
      <c r="BA195" s="57">
        <f t="shared" ca="1" si="110"/>
        <v>15892615.521659639</v>
      </c>
      <c r="BB195" s="57">
        <f t="shared" ca="1" si="110"/>
        <v>16283098.170492988</v>
      </c>
      <c r="BC195" s="57">
        <f t="shared" ca="1" si="110"/>
        <v>16653011.314986873</v>
      </c>
      <c r="BD195" s="57">
        <f t="shared" ca="1" si="110"/>
        <v>17003418.372521818</v>
      </c>
      <c r="BE195" s="57">
        <f t="shared" ca="1" si="110"/>
        <v>17335316.365273707</v>
      </c>
      <c r="BF195" s="57">
        <f t="shared" ca="1" si="110"/>
        <v>17649725.223403133</v>
      </c>
      <c r="BG195" s="57">
        <f t="shared" ca="1" si="110"/>
        <v>17947631.287986901</v>
      </c>
      <c r="BH195" s="57">
        <f t="shared" ca="1" si="110"/>
        <v>18229950.930623587</v>
      </c>
      <c r="BI195" s="57">
        <f t="shared" ca="1" si="110"/>
        <v>18497580.087964818</v>
      </c>
      <c r="BJ195" s="57">
        <f t="shared" ca="1" si="110"/>
        <v>18751367.523133673</v>
      </c>
      <c r="BK195" s="57">
        <f t="shared" ca="1" si="110"/>
        <v>18992098.707978185</v>
      </c>
      <c r="BL195" s="57">
        <f t="shared" ca="1" si="110"/>
        <v>19220524.112599753</v>
      </c>
      <c r="BM195" s="57">
        <f t="shared" ca="1" si="110"/>
        <v>19437347.677335963</v>
      </c>
      <c r="BN195" s="57">
        <f t="shared" ca="1" si="110"/>
        <v>19643220.697302319</v>
      </c>
      <c r="BO195" s="57">
        <f t="shared" ca="1" si="110"/>
        <v>19838758.41922839</v>
      </c>
    </row>
    <row r="196" spans="1:67" ht="16.5" customHeight="1">
      <c r="A196" s="1"/>
      <c r="B196" s="16" t="s">
        <v>189</v>
      </c>
      <c r="C196" s="17" t="str">
        <f>'Get Started'!D$7</f>
        <v>$</v>
      </c>
      <c r="D196" s="16" t="s">
        <v>225</v>
      </c>
      <c r="E196" s="16"/>
      <c r="F196" s="16"/>
      <c r="G196" s="16"/>
      <c r="H196" s="16" t="s">
        <v>226</v>
      </c>
      <c r="I196" s="46">
        <f ca="1">IF(H196=Forecast!$H$195,T196,IF(H196=Forecast!$H$196,BO196,IF(H196=Forecast!$H$197,SUM(T196:BO196),IF(H196=Forecast!$H$198,AVERAGE(T196:BO196),0))))</f>
        <v>19838758.41922839</v>
      </c>
      <c r="J196" s="16"/>
      <c r="K196" s="16"/>
      <c r="L196" s="16"/>
      <c r="M196" s="16"/>
      <c r="N196" s="16"/>
      <c r="O196" s="16"/>
      <c r="P196" s="16"/>
      <c r="Q196" s="16"/>
      <c r="R196" s="16"/>
      <c r="S196" s="16"/>
      <c r="T196" s="57">
        <f t="shared" ref="T196:BO196" ca="1" si="111">T$173</f>
        <v>305928.95819071401</v>
      </c>
      <c r="U196" s="57">
        <f t="shared" ca="1" si="111"/>
        <v>125897.78534690724</v>
      </c>
      <c r="V196" s="57">
        <f t="shared" ca="1" si="111"/>
        <v>179167.87138758699</v>
      </c>
      <c r="W196" s="57">
        <f t="shared" ca="1" si="111"/>
        <v>216369.401141482</v>
      </c>
      <c r="X196" s="57">
        <f t="shared" ca="1" si="111"/>
        <v>330021.38698074972</v>
      </c>
      <c r="Y196" s="57">
        <f t="shared" ca="1" si="111"/>
        <v>487542.62467441428</v>
      </c>
      <c r="Z196" s="57">
        <f t="shared" ca="1" si="111"/>
        <v>670629.78327292774</v>
      </c>
      <c r="AA196" s="57">
        <f t="shared" ca="1" si="111"/>
        <v>938196.26304349001</v>
      </c>
      <c r="AB196" s="57">
        <f t="shared" ca="1" si="111"/>
        <v>1268002.0402687776</v>
      </c>
      <c r="AC196" s="57">
        <f t="shared" ca="1" si="111"/>
        <v>1645441.4748239676</v>
      </c>
      <c r="AD196" s="57">
        <f t="shared" ca="1" si="111"/>
        <v>2101250.1023308677</v>
      </c>
      <c r="AE196" s="57">
        <f t="shared" ca="1" si="111"/>
        <v>2615616.557548508</v>
      </c>
      <c r="AF196" s="57">
        <f t="shared" ca="1" si="111"/>
        <v>3173401.7832667241</v>
      </c>
      <c r="AG196" s="57">
        <f t="shared" ca="1" si="111"/>
        <v>3786359.4347102409</v>
      </c>
      <c r="AH196" s="57">
        <f t="shared" ca="1" si="111"/>
        <v>4436751.3429334974</v>
      </c>
      <c r="AI196" s="57">
        <f t="shared" ca="1" si="111"/>
        <v>5110565.663538971</v>
      </c>
      <c r="AJ196" s="57">
        <f t="shared" ca="1" si="111"/>
        <v>5810218.5919173062</v>
      </c>
      <c r="AK196" s="57">
        <f t="shared" ca="1" si="111"/>
        <v>6521955.1710934415</v>
      </c>
      <c r="AL196" s="57">
        <f t="shared" ca="1" si="111"/>
        <v>7235155.2906478988</v>
      </c>
      <c r="AM196" s="57">
        <f t="shared" ca="1" si="111"/>
        <v>7949303.9244004302</v>
      </c>
      <c r="AN196" s="57">
        <f t="shared" ca="1" si="111"/>
        <v>8655395.4410995953</v>
      </c>
      <c r="AO196" s="57">
        <f t="shared" ca="1" si="111"/>
        <v>9346819.8039904963</v>
      </c>
      <c r="AP196" s="57">
        <f t="shared" ca="1" si="111"/>
        <v>10023057.114036566</v>
      </c>
      <c r="AQ196" s="57">
        <f t="shared" ca="1" si="111"/>
        <v>10679210.247103635</v>
      </c>
      <c r="AR196" s="57">
        <f t="shared" ca="1" si="111"/>
        <v>11312003.655576162</v>
      </c>
      <c r="AS196" s="57">
        <f t="shared" ca="1" si="111"/>
        <v>11921695.830128862</v>
      </c>
      <c r="AT196" s="57">
        <f t="shared" ca="1" si="111"/>
        <v>12506270.071440881</v>
      </c>
      <c r="AU196" s="57">
        <f t="shared" ca="1" si="111"/>
        <v>13064687.047932006</v>
      </c>
      <c r="AV196" s="57">
        <f t="shared" ca="1" si="111"/>
        <v>13597862.916592553</v>
      </c>
      <c r="AW196" s="57">
        <f t="shared" ca="1" si="111"/>
        <v>14105492.169268373</v>
      </c>
      <c r="AX196" s="57">
        <f t="shared" ca="1" si="111"/>
        <v>14587792.660225345</v>
      </c>
      <c r="AY196" s="57">
        <f t="shared" ca="1" si="111"/>
        <v>15046005.33607435</v>
      </c>
      <c r="AZ196" s="57">
        <f t="shared" ca="1" si="111"/>
        <v>15480681.927462809</v>
      </c>
      <c r="BA196" s="57">
        <f t="shared" ca="1" si="111"/>
        <v>15892615.521659639</v>
      </c>
      <c r="BB196" s="57">
        <f t="shared" ca="1" si="111"/>
        <v>16283098.170492988</v>
      </c>
      <c r="BC196" s="57">
        <f t="shared" ca="1" si="111"/>
        <v>16653011.314986873</v>
      </c>
      <c r="BD196" s="57">
        <f t="shared" ca="1" si="111"/>
        <v>17003418.372521818</v>
      </c>
      <c r="BE196" s="57">
        <f t="shared" ca="1" si="111"/>
        <v>17335316.365273707</v>
      </c>
      <c r="BF196" s="57">
        <f t="shared" ca="1" si="111"/>
        <v>17649725.223403133</v>
      </c>
      <c r="BG196" s="57">
        <f t="shared" ca="1" si="111"/>
        <v>17947631.287986901</v>
      </c>
      <c r="BH196" s="57">
        <f t="shared" ca="1" si="111"/>
        <v>18229950.930623587</v>
      </c>
      <c r="BI196" s="57">
        <f t="shared" ca="1" si="111"/>
        <v>18497580.087964818</v>
      </c>
      <c r="BJ196" s="57">
        <f t="shared" ca="1" si="111"/>
        <v>18751367.523133673</v>
      </c>
      <c r="BK196" s="57">
        <f t="shared" ca="1" si="111"/>
        <v>18992098.707978185</v>
      </c>
      <c r="BL196" s="57">
        <f t="shared" ca="1" si="111"/>
        <v>19220524.112599753</v>
      </c>
      <c r="BM196" s="57">
        <f t="shared" ca="1" si="111"/>
        <v>19437347.677335963</v>
      </c>
      <c r="BN196" s="57">
        <f t="shared" ca="1" si="111"/>
        <v>19643220.697302319</v>
      </c>
      <c r="BO196" s="57">
        <f t="shared" ca="1" si="111"/>
        <v>19838758.41922839</v>
      </c>
    </row>
    <row r="197" spans="1:67" ht="16.5" customHeight="1">
      <c r="A197" s="1"/>
      <c r="B197" s="16" t="s">
        <v>189</v>
      </c>
      <c r="C197" s="17" t="str">
        <f>'Get Started'!D$7</f>
        <v>$</v>
      </c>
      <c r="D197" s="16" t="s">
        <v>227</v>
      </c>
      <c r="E197" s="16"/>
      <c r="F197" s="16"/>
      <c r="G197" s="16"/>
      <c r="H197" s="16" t="s">
        <v>155</v>
      </c>
      <c r="I197" s="46">
        <f ca="1">IF(H197=Forecast!$H$195,T197,IF(H197=Forecast!$H$196,BO197,IF(H197=Forecast!$H$197,SUM(T197:BO197),IF(H197=Forecast!$H$198,AVERAGE(T197:BO197),0))))</f>
        <v>486610414.08494234</v>
      </c>
      <c r="J197" s="16"/>
      <c r="K197" s="16"/>
      <c r="L197" s="16"/>
      <c r="M197" s="16"/>
      <c r="N197" s="16"/>
      <c r="O197" s="16"/>
      <c r="P197" s="16"/>
      <c r="Q197" s="16"/>
      <c r="R197" s="16"/>
      <c r="S197" s="16"/>
      <c r="T197" s="57">
        <f t="shared" ref="T197:BO197" ca="1" si="112">T$173</f>
        <v>305928.95819071401</v>
      </c>
      <c r="U197" s="57">
        <f t="shared" ca="1" si="112"/>
        <v>125897.78534690724</v>
      </c>
      <c r="V197" s="57">
        <f t="shared" ca="1" si="112"/>
        <v>179167.87138758699</v>
      </c>
      <c r="W197" s="57">
        <f t="shared" ca="1" si="112"/>
        <v>216369.401141482</v>
      </c>
      <c r="X197" s="57">
        <f t="shared" ca="1" si="112"/>
        <v>330021.38698074972</v>
      </c>
      <c r="Y197" s="57">
        <f t="shared" ca="1" si="112"/>
        <v>487542.62467441428</v>
      </c>
      <c r="Z197" s="57">
        <f t="shared" ca="1" si="112"/>
        <v>670629.78327292774</v>
      </c>
      <c r="AA197" s="57">
        <f t="shared" ca="1" si="112"/>
        <v>938196.26304349001</v>
      </c>
      <c r="AB197" s="57">
        <f t="shared" ca="1" si="112"/>
        <v>1268002.0402687776</v>
      </c>
      <c r="AC197" s="57">
        <f t="shared" ca="1" si="112"/>
        <v>1645441.4748239676</v>
      </c>
      <c r="AD197" s="57">
        <f t="shared" ca="1" si="112"/>
        <v>2101250.1023308677</v>
      </c>
      <c r="AE197" s="57">
        <f t="shared" ca="1" si="112"/>
        <v>2615616.557548508</v>
      </c>
      <c r="AF197" s="57">
        <f t="shared" ca="1" si="112"/>
        <v>3173401.7832667241</v>
      </c>
      <c r="AG197" s="57">
        <f t="shared" ca="1" si="112"/>
        <v>3786359.4347102409</v>
      </c>
      <c r="AH197" s="57">
        <f t="shared" ca="1" si="112"/>
        <v>4436751.3429334974</v>
      </c>
      <c r="AI197" s="57">
        <f t="shared" ca="1" si="112"/>
        <v>5110565.663538971</v>
      </c>
      <c r="AJ197" s="57">
        <f t="shared" ca="1" si="112"/>
        <v>5810218.5919173062</v>
      </c>
      <c r="AK197" s="57">
        <f t="shared" ca="1" si="112"/>
        <v>6521955.1710934415</v>
      </c>
      <c r="AL197" s="57">
        <f t="shared" ca="1" si="112"/>
        <v>7235155.2906478988</v>
      </c>
      <c r="AM197" s="57">
        <f t="shared" ca="1" si="112"/>
        <v>7949303.9244004302</v>
      </c>
      <c r="AN197" s="57">
        <f t="shared" ca="1" si="112"/>
        <v>8655395.4410995953</v>
      </c>
      <c r="AO197" s="57">
        <f t="shared" ca="1" si="112"/>
        <v>9346819.8039904963</v>
      </c>
      <c r="AP197" s="57">
        <f t="shared" ca="1" si="112"/>
        <v>10023057.114036566</v>
      </c>
      <c r="AQ197" s="57">
        <f t="shared" ca="1" si="112"/>
        <v>10679210.247103635</v>
      </c>
      <c r="AR197" s="57">
        <f t="shared" ca="1" si="112"/>
        <v>11312003.655576162</v>
      </c>
      <c r="AS197" s="57">
        <f t="shared" ca="1" si="112"/>
        <v>11921695.830128862</v>
      </c>
      <c r="AT197" s="57">
        <f t="shared" ca="1" si="112"/>
        <v>12506270.071440881</v>
      </c>
      <c r="AU197" s="57">
        <f t="shared" ca="1" si="112"/>
        <v>13064687.047932006</v>
      </c>
      <c r="AV197" s="57">
        <f t="shared" ca="1" si="112"/>
        <v>13597862.916592553</v>
      </c>
      <c r="AW197" s="57">
        <f t="shared" ca="1" si="112"/>
        <v>14105492.169268373</v>
      </c>
      <c r="AX197" s="57">
        <f t="shared" ca="1" si="112"/>
        <v>14587792.660225345</v>
      </c>
      <c r="AY197" s="57">
        <f t="shared" ca="1" si="112"/>
        <v>15046005.33607435</v>
      </c>
      <c r="AZ197" s="57">
        <f t="shared" ca="1" si="112"/>
        <v>15480681.927462809</v>
      </c>
      <c r="BA197" s="57">
        <f t="shared" ca="1" si="112"/>
        <v>15892615.521659639</v>
      </c>
      <c r="BB197" s="57">
        <f t="shared" ca="1" si="112"/>
        <v>16283098.170492988</v>
      </c>
      <c r="BC197" s="57">
        <f t="shared" ca="1" si="112"/>
        <v>16653011.314986873</v>
      </c>
      <c r="BD197" s="57">
        <f t="shared" ca="1" si="112"/>
        <v>17003418.372521818</v>
      </c>
      <c r="BE197" s="57">
        <f t="shared" ca="1" si="112"/>
        <v>17335316.365273707</v>
      </c>
      <c r="BF197" s="57">
        <f t="shared" ca="1" si="112"/>
        <v>17649725.223403133</v>
      </c>
      <c r="BG197" s="57">
        <f t="shared" ca="1" si="112"/>
        <v>17947631.287986901</v>
      </c>
      <c r="BH197" s="57">
        <f t="shared" ca="1" si="112"/>
        <v>18229950.930623587</v>
      </c>
      <c r="BI197" s="57">
        <f t="shared" ca="1" si="112"/>
        <v>18497580.087964818</v>
      </c>
      <c r="BJ197" s="57">
        <f t="shared" ca="1" si="112"/>
        <v>18751367.523133673</v>
      </c>
      <c r="BK197" s="57">
        <f t="shared" ca="1" si="112"/>
        <v>18992098.707978185</v>
      </c>
      <c r="BL197" s="57">
        <f t="shared" ca="1" si="112"/>
        <v>19220524.112599753</v>
      </c>
      <c r="BM197" s="57">
        <f t="shared" ca="1" si="112"/>
        <v>19437347.677335963</v>
      </c>
      <c r="BN197" s="57">
        <f t="shared" ca="1" si="112"/>
        <v>19643220.697302319</v>
      </c>
      <c r="BO197" s="57">
        <f t="shared" ca="1" si="112"/>
        <v>19838758.41922839</v>
      </c>
    </row>
    <row r="198" spans="1:67" ht="16.5" customHeight="1">
      <c r="A198" s="1"/>
      <c r="B198" s="16" t="s">
        <v>189</v>
      </c>
      <c r="C198" s="17" t="str">
        <f>'Get Started'!D$7</f>
        <v>$</v>
      </c>
      <c r="D198" s="16" t="s">
        <v>228</v>
      </c>
      <c r="E198" s="16"/>
      <c r="F198" s="16"/>
      <c r="G198" s="16"/>
      <c r="H198" s="16" t="s">
        <v>143</v>
      </c>
      <c r="I198" s="46">
        <f ca="1">IF(H198=Forecast!$H$195,T198,IF(H198=Forecast!$H$196,BO198,IF(H198=Forecast!$H$197,SUM(T198:BO198),IF(H198=Forecast!$H$198,AVERAGE(T198:BO198),0))))</f>
        <v>10137716.960102966</v>
      </c>
      <c r="J198" s="16"/>
      <c r="K198" s="16"/>
      <c r="L198" s="16"/>
      <c r="M198" s="16"/>
      <c r="N198" s="16"/>
      <c r="O198" s="16"/>
      <c r="P198" s="16"/>
      <c r="Q198" s="16"/>
      <c r="R198" s="16"/>
      <c r="S198" s="16"/>
      <c r="T198" s="57">
        <f t="shared" ref="T198:BO198" ca="1" si="113">T$173</f>
        <v>305928.95819071401</v>
      </c>
      <c r="U198" s="57">
        <f t="shared" ca="1" si="113"/>
        <v>125897.78534690724</v>
      </c>
      <c r="V198" s="57">
        <f t="shared" ca="1" si="113"/>
        <v>179167.87138758699</v>
      </c>
      <c r="W198" s="57">
        <f t="shared" ca="1" si="113"/>
        <v>216369.401141482</v>
      </c>
      <c r="X198" s="57">
        <f t="shared" ca="1" si="113"/>
        <v>330021.38698074972</v>
      </c>
      <c r="Y198" s="57">
        <f t="shared" ca="1" si="113"/>
        <v>487542.62467441428</v>
      </c>
      <c r="Z198" s="57">
        <f t="shared" ca="1" si="113"/>
        <v>670629.78327292774</v>
      </c>
      <c r="AA198" s="57">
        <f t="shared" ca="1" si="113"/>
        <v>938196.26304349001</v>
      </c>
      <c r="AB198" s="57">
        <f t="shared" ca="1" si="113"/>
        <v>1268002.0402687776</v>
      </c>
      <c r="AC198" s="57">
        <f t="shared" ca="1" si="113"/>
        <v>1645441.4748239676</v>
      </c>
      <c r="AD198" s="57">
        <f t="shared" ca="1" si="113"/>
        <v>2101250.1023308677</v>
      </c>
      <c r="AE198" s="57">
        <f t="shared" ca="1" si="113"/>
        <v>2615616.557548508</v>
      </c>
      <c r="AF198" s="57">
        <f t="shared" ca="1" si="113"/>
        <v>3173401.7832667241</v>
      </c>
      <c r="AG198" s="57">
        <f t="shared" ca="1" si="113"/>
        <v>3786359.4347102409</v>
      </c>
      <c r="AH198" s="57">
        <f t="shared" ca="1" si="113"/>
        <v>4436751.3429334974</v>
      </c>
      <c r="AI198" s="57">
        <f t="shared" ca="1" si="113"/>
        <v>5110565.663538971</v>
      </c>
      <c r="AJ198" s="57">
        <f t="shared" ca="1" si="113"/>
        <v>5810218.5919173062</v>
      </c>
      <c r="AK198" s="57">
        <f t="shared" ca="1" si="113"/>
        <v>6521955.1710934415</v>
      </c>
      <c r="AL198" s="57">
        <f t="shared" ca="1" si="113"/>
        <v>7235155.2906478988</v>
      </c>
      <c r="AM198" s="57">
        <f t="shared" ca="1" si="113"/>
        <v>7949303.9244004302</v>
      </c>
      <c r="AN198" s="57">
        <f t="shared" ca="1" si="113"/>
        <v>8655395.4410995953</v>
      </c>
      <c r="AO198" s="57">
        <f t="shared" ca="1" si="113"/>
        <v>9346819.8039904963</v>
      </c>
      <c r="AP198" s="57">
        <f t="shared" ca="1" si="113"/>
        <v>10023057.114036566</v>
      </c>
      <c r="AQ198" s="57">
        <f t="shared" ca="1" si="113"/>
        <v>10679210.247103635</v>
      </c>
      <c r="AR198" s="57">
        <f t="shared" ca="1" si="113"/>
        <v>11312003.655576162</v>
      </c>
      <c r="AS198" s="57">
        <f t="shared" ca="1" si="113"/>
        <v>11921695.830128862</v>
      </c>
      <c r="AT198" s="57">
        <f t="shared" ca="1" si="113"/>
        <v>12506270.071440881</v>
      </c>
      <c r="AU198" s="57">
        <f t="shared" ca="1" si="113"/>
        <v>13064687.047932006</v>
      </c>
      <c r="AV198" s="57">
        <f t="shared" ca="1" si="113"/>
        <v>13597862.916592553</v>
      </c>
      <c r="AW198" s="57">
        <f t="shared" ca="1" si="113"/>
        <v>14105492.169268373</v>
      </c>
      <c r="AX198" s="57">
        <f t="shared" ca="1" si="113"/>
        <v>14587792.660225345</v>
      </c>
      <c r="AY198" s="57">
        <f t="shared" ca="1" si="113"/>
        <v>15046005.33607435</v>
      </c>
      <c r="AZ198" s="57">
        <f t="shared" ca="1" si="113"/>
        <v>15480681.927462809</v>
      </c>
      <c r="BA198" s="57">
        <f t="shared" ca="1" si="113"/>
        <v>15892615.521659639</v>
      </c>
      <c r="BB198" s="57">
        <f t="shared" ca="1" si="113"/>
        <v>16283098.170492988</v>
      </c>
      <c r="BC198" s="57">
        <f t="shared" ca="1" si="113"/>
        <v>16653011.314986873</v>
      </c>
      <c r="BD198" s="57">
        <f t="shared" ca="1" si="113"/>
        <v>17003418.372521818</v>
      </c>
      <c r="BE198" s="57">
        <f t="shared" ca="1" si="113"/>
        <v>17335316.365273707</v>
      </c>
      <c r="BF198" s="57">
        <f t="shared" ca="1" si="113"/>
        <v>17649725.223403133</v>
      </c>
      <c r="BG198" s="57">
        <f t="shared" ca="1" si="113"/>
        <v>17947631.287986901</v>
      </c>
      <c r="BH198" s="57">
        <f t="shared" ca="1" si="113"/>
        <v>18229950.930623587</v>
      </c>
      <c r="BI198" s="57">
        <f t="shared" ca="1" si="113"/>
        <v>18497580.087964818</v>
      </c>
      <c r="BJ198" s="57">
        <f t="shared" ca="1" si="113"/>
        <v>18751367.523133673</v>
      </c>
      <c r="BK198" s="57">
        <f t="shared" ca="1" si="113"/>
        <v>18992098.707978185</v>
      </c>
      <c r="BL198" s="57">
        <f t="shared" ca="1" si="113"/>
        <v>19220524.112599753</v>
      </c>
      <c r="BM198" s="57">
        <f t="shared" ca="1" si="113"/>
        <v>19437347.677335963</v>
      </c>
      <c r="BN198" s="57">
        <f t="shared" ca="1" si="113"/>
        <v>19643220.697302319</v>
      </c>
      <c r="BO198" s="57">
        <f t="shared" ca="1" si="113"/>
        <v>19838758.41922839</v>
      </c>
    </row>
    <row r="199" spans="1:67" ht="16.5" customHeight="1">
      <c r="A199" s="1"/>
      <c r="B199" s="16"/>
      <c r="C199" s="17"/>
      <c r="D199" s="16"/>
      <c r="E199" s="16"/>
      <c r="F199" s="16"/>
      <c r="G199" s="16"/>
      <c r="H199" s="16"/>
      <c r="I199" s="16"/>
      <c r="J199" s="16"/>
      <c r="K199" s="16"/>
      <c r="L199" s="16"/>
      <c r="M199" s="16"/>
      <c r="N199" s="16"/>
      <c r="O199" s="16"/>
      <c r="P199" s="16"/>
      <c r="Q199" s="16"/>
      <c r="R199" s="16"/>
      <c r="S199" s="16"/>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sheetData>
  <dataValidations count="1">
    <dataValidation type="list" allowBlank="1" sqref="D44" xr:uid="{00000000-0002-0000-0500-000000000000}">
      <formula1>$D$41:$D$43</formula1>
    </dataValidation>
  </dataValidations>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O66"/>
  <sheetViews>
    <sheetView showGridLines="0" workbookViewId="0">
      <selection activeCell="T62" sqref="T62"/>
    </sheetView>
  </sheetViews>
  <sheetFormatPr baseColWidth="10" defaultColWidth="10.140625" defaultRowHeight="15" customHeight="1" outlineLevelRow="1"/>
  <cols>
    <col min="1" max="1" width="3.42578125" customWidth="1"/>
    <col min="2" max="2" width="21.7109375" customWidth="1"/>
    <col min="3" max="3" width="5.140625" customWidth="1"/>
    <col min="4" max="4" width="14.28515625" customWidth="1"/>
    <col min="5" max="5" width="2" customWidth="1"/>
    <col min="6" max="6" width="4.7109375" customWidth="1"/>
    <col min="7" max="7" width="2" customWidth="1"/>
    <col min="8" max="8" width="7.42578125" customWidth="1"/>
    <col min="9" max="9" width="8.7109375" customWidth="1"/>
    <col min="10" max="10" width="1.42578125" customWidth="1"/>
    <col min="11" max="12" width="4.140625" customWidth="1"/>
    <col min="13" max="14" width="1.42578125" customWidth="1"/>
    <col min="15" max="15" width="4.28515625" customWidth="1"/>
    <col min="16" max="18" width="1.42578125" customWidth="1"/>
    <col min="19" max="19" width="8.5703125" customWidth="1"/>
    <col min="20" max="67" width="8.28515625" customWidth="1"/>
  </cols>
  <sheetData>
    <row r="1" spans="1:67" ht="16.5" customHeight="1">
      <c r="A1" s="1"/>
      <c r="B1" s="16"/>
      <c r="C1" s="17"/>
      <c r="D1" s="16"/>
      <c r="E1" s="16"/>
      <c r="F1" s="16"/>
      <c r="G1" s="16"/>
      <c r="H1" s="16"/>
      <c r="I1" s="16"/>
      <c r="J1" s="16"/>
      <c r="K1" s="16"/>
      <c r="L1" s="16"/>
      <c r="M1" s="16"/>
      <c r="N1" s="16"/>
      <c r="O1" s="16"/>
      <c r="P1" s="16"/>
      <c r="Q1" s="16"/>
      <c r="R1" s="16"/>
      <c r="S1" s="16"/>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ht="16.5" customHeight="1">
      <c r="A2" s="1"/>
      <c r="B2" s="35" t="s">
        <v>229</v>
      </c>
      <c r="C2" s="17"/>
      <c r="D2" s="16"/>
      <c r="E2" s="16"/>
      <c r="F2" s="16"/>
      <c r="G2" s="16"/>
      <c r="H2" s="16"/>
      <c r="I2" s="16"/>
      <c r="J2" s="16"/>
      <c r="K2" s="16"/>
      <c r="L2" s="16"/>
      <c r="M2" s="16"/>
      <c r="N2" s="16"/>
      <c r="O2" s="16"/>
      <c r="P2" s="16"/>
      <c r="Q2" s="16"/>
      <c r="R2" s="16"/>
      <c r="S2" s="16"/>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16.5" customHeight="1">
      <c r="A3" s="1"/>
      <c r="B3" s="34"/>
      <c r="C3" s="17"/>
      <c r="D3" s="16"/>
      <c r="E3" s="16"/>
      <c r="F3" s="16"/>
      <c r="G3" s="16"/>
      <c r="H3" s="16"/>
      <c r="I3" s="16"/>
      <c r="J3" s="16"/>
      <c r="K3" s="16"/>
      <c r="L3" s="16"/>
      <c r="M3" s="16"/>
      <c r="N3" s="16"/>
      <c r="O3" s="16"/>
      <c r="P3" s="16"/>
      <c r="Q3" s="16"/>
      <c r="R3" s="16"/>
      <c r="S3" s="16"/>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16.5" customHeight="1">
      <c r="A4" s="1"/>
      <c r="B4" s="36" t="s">
        <v>230</v>
      </c>
      <c r="C4" s="37" t="s">
        <v>125</v>
      </c>
      <c r="D4" s="38" t="s">
        <v>126</v>
      </c>
      <c r="E4" s="37"/>
      <c r="F4" s="37"/>
      <c r="G4" s="37"/>
      <c r="H4" s="37"/>
      <c r="I4" s="36"/>
      <c r="J4" s="36"/>
      <c r="K4" s="36"/>
      <c r="L4" s="36"/>
      <c r="M4" s="36"/>
      <c r="N4" s="36"/>
      <c r="O4" s="36"/>
      <c r="P4" s="36"/>
      <c r="Q4" s="36"/>
      <c r="R4" s="36"/>
      <c r="S4" s="58">
        <v>0</v>
      </c>
      <c r="T4" s="58">
        <f t="shared" ref="T4:BO4" si="0">T6</f>
        <v>1</v>
      </c>
      <c r="U4" s="58">
        <f t="shared" si="0"/>
        <v>2</v>
      </c>
      <c r="V4" s="58">
        <f t="shared" si="0"/>
        <v>3</v>
      </c>
      <c r="W4" s="58">
        <f t="shared" si="0"/>
        <v>4</v>
      </c>
      <c r="X4" s="58">
        <f t="shared" si="0"/>
        <v>5</v>
      </c>
      <c r="Y4" s="58">
        <f t="shared" si="0"/>
        <v>6</v>
      </c>
      <c r="Z4" s="58">
        <f t="shared" si="0"/>
        <v>7</v>
      </c>
      <c r="AA4" s="58">
        <f t="shared" si="0"/>
        <v>8</v>
      </c>
      <c r="AB4" s="58">
        <f t="shared" si="0"/>
        <v>9</v>
      </c>
      <c r="AC4" s="58">
        <f t="shared" si="0"/>
        <v>10</v>
      </c>
      <c r="AD4" s="58">
        <f t="shared" si="0"/>
        <v>11</v>
      </c>
      <c r="AE4" s="58">
        <f t="shared" si="0"/>
        <v>12</v>
      </c>
      <c r="AF4" s="58">
        <f t="shared" si="0"/>
        <v>13</v>
      </c>
      <c r="AG4" s="58">
        <f t="shared" si="0"/>
        <v>14</v>
      </c>
      <c r="AH4" s="58">
        <f t="shared" si="0"/>
        <v>15</v>
      </c>
      <c r="AI4" s="58">
        <f t="shared" si="0"/>
        <v>16</v>
      </c>
      <c r="AJ4" s="58">
        <f t="shared" si="0"/>
        <v>17</v>
      </c>
      <c r="AK4" s="58">
        <f t="shared" si="0"/>
        <v>18</v>
      </c>
      <c r="AL4" s="58">
        <f t="shared" si="0"/>
        <v>19</v>
      </c>
      <c r="AM4" s="58">
        <f t="shared" si="0"/>
        <v>20</v>
      </c>
      <c r="AN4" s="58">
        <f t="shared" si="0"/>
        <v>21</v>
      </c>
      <c r="AO4" s="58">
        <f t="shared" si="0"/>
        <v>22</v>
      </c>
      <c r="AP4" s="58">
        <f t="shared" si="0"/>
        <v>23</v>
      </c>
      <c r="AQ4" s="58">
        <f t="shared" si="0"/>
        <v>24</v>
      </c>
      <c r="AR4" s="58">
        <f t="shared" si="0"/>
        <v>25</v>
      </c>
      <c r="AS4" s="58">
        <f t="shared" si="0"/>
        <v>26</v>
      </c>
      <c r="AT4" s="58">
        <f t="shared" si="0"/>
        <v>27</v>
      </c>
      <c r="AU4" s="58">
        <f t="shared" si="0"/>
        <v>28</v>
      </c>
      <c r="AV4" s="58">
        <f t="shared" si="0"/>
        <v>29</v>
      </c>
      <c r="AW4" s="58">
        <f t="shared" si="0"/>
        <v>30</v>
      </c>
      <c r="AX4" s="58">
        <f t="shared" si="0"/>
        <v>31</v>
      </c>
      <c r="AY4" s="58">
        <f t="shared" si="0"/>
        <v>32</v>
      </c>
      <c r="AZ4" s="58">
        <f t="shared" si="0"/>
        <v>33</v>
      </c>
      <c r="BA4" s="58">
        <f t="shared" si="0"/>
        <v>34</v>
      </c>
      <c r="BB4" s="58">
        <f t="shared" si="0"/>
        <v>35</v>
      </c>
      <c r="BC4" s="58">
        <f t="shared" si="0"/>
        <v>36</v>
      </c>
      <c r="BD4" s="58">
        <f t="shared" si="0"/>
        <v>37</v>
      </c>
      <c r="BE4" s="58">
        <f t="shared" si="0"/>
        <v>38</v>
      </c>
      <c r="BF4" s="58">
        <f t="shared" si="0"/>
        <v>39</v>
      </c>
      <c r="BG4" s="58">
        <f t="shared" si="0"/>
        <v>40</v>
      </c>
      <c r="BH4" s="58">
        <f t="shared" si="0"/>
        <v>41</v>
      </c>
      <c r="BI4" s="58">
        <f t="shared" si="0"/>
        <v>42</v>
      </c>
      <c r="BJ4" s="58">
        <f t="shared" si="0"/>
        <v>43</v>
      </c>
      <c r="BK4" s="58">
        <f t="shared" si="0"/>
        <v>44</v>
      </c>
      <c r="BL4" s="58">
        <f t="shared" si="0"/>
        <v>45</v>
      </c>
      <c r="BM4" s="58">
        <f t="shared" si="0"/>
        <v>46</v>
      </c>
      <c r="BN4" s="58">
        <f t="shared" si="0"/>
        <v>47</v>
      </c>
      <c r="BO4" s="58">
        <f t="shared" si="0"/>
        <v>48</v>
      </c>
    </row>
    <row r="5" spans="1:67" ht="16.5" customHeight="1">
      <c r="A5" s="1"/>
      <c r="B5" s="16" t="s">
        <v>127</v>
      </c>
      <c r="C5" s="17" t="s">
        <v>104</v>
      </c>
      <c r="D5" s="40" t="s">
        <v>128</v>
      </c>
      <c r="E5" s="17"/>
      <c r="F5" s="17"/>
      <c r="G5" s="17"/>
      <c r="H5" s="17"/>
      <c r="I5" s="16"/>
      <c r="J5" s="16"/>
      <c r="K5" s="16"/>
      <c r="L5" s="16"/>
      <c r="M5" s="16"/>
      <c r="N5" s="16"/>
      <c r="O5" s="16"/>
      <c r="P5" s="16"/>
      <c r="Q5" s="16"/>
      <c r="R5" s="16"/>
      <c r="S5" s="16"/>
      <c r="T5" s="41">
        <v>0</v>
      </c>
      <c r="U5" s="41">
        <f t="shared" ref="U5:BO5" si="1">T5+1</f>
        <v>1</v>
      </c>
      <c r="V5" s="41">
        <f t="shared" si="1"/>
        <v>2</v>
      </c>
      <c r="W5" s="41">
        <f t="shared" si="1"/>
        <v>3</v>
      </c>
      <c r="X5" s="41">
        <f t="shared" si="1"/>
        <v>4</v>
      </c>
      <c r="Y5" s="41">
        <f t="shared" si="1"/>
        <v>5</v>
      </c>
      <c r="Z5" s="41">
        <f t="shared" si="1"/>
        <v>6</v>
      </c>
      <c r="AA5" s="41">
        <f t="shared" si="1"/>
        <v>7</v>
      </c>
      <c r="AB5" s="41">
        <f t="shared" si="1"/>
        <v>8</v>
      </c>
      <c r="AC5" s="41">
        <f t="shared" si="1"/>
        <v>9</v>
      </c>
      <c r="AD5" s="41">
        <f t="shared" si="1"/>
        <v>10</v>
      </c>
      <c r="AE5" s="41">
        <f t="shared" si="1"/>
        <v>11</v>
      </c>
      <c r="AF5" s="41">
        <f t="shared" si="1"/>
        <v>12</v>
      </c>
      <c r="AG5" s="41">
        <f t="shared" si="1"/>
        <v>13</v>
      </c>
      <c r="AH5" s="41">
        <f t="shared" si="1"/>
        <v>14</v>
      </c>
      <c r="AI5" s="41">
        <f t="shared" si="1"/>
        <v>15</v>
      </c>
      <c r="AJ5" s="41">
        <f t="shared" si="1"/>
        <v>16</v>
      </c>
      <c r="AK5" s="41">
        <f t="shared" si="1"/>
        <v>17</v>
      </c>
      <c r="AL5" s="41">
        <f t="shared" si="1"/>
        <v>18</v>
      </c>
      <c r="AM5" s="41">
        <f t="shared" si="1"/>
        <v>19</v>
      </c>
      <c r="AN5" s="41">
        <f t="shared" si="1"/>
        <v>20</v>
      </c>
      <c r="AO5" s="41">
        <f t="shared" si="1"/>
        <v>21</v>
      </c>
      <c r="AP5" s="41">
        <f t="shared" si="1"/>
        <v>22</v>
      </c>
      <c r="AQ5" s="41">
        <f t="shared" si="1"/>
        <v>23</v>
      </c>
      <c r="AR5" s="41">
        <f t="shared" si="1"/>
        <v>24</v>
      </c>
      <c r="AS5" s="41">
        <f t="shared" si="1"/>
        <v>25</v>
      </c>
      <c r="AT5" s="41">
        <f t="shared" si="1"/>
        <v>26</v>
      </c>
      <c r="AU5" s="41">
        <f t="shared" si="1"/>
        <v>27</v>
      </c>
      <c r="AV5" s="41">
        <f t="shared" si="1"/>
        <v>28</v>
      </c>
      <c r="AW5" s="41">
        <f t="shared" si="1"/>
        <v>29</v>
      </c>
      <c r="AX5" s="41">
        <f t="shared" si="1"/>
        <v>30</v>
      </c>
      <c r="AY5" s="41">
        <f t="shared" si="1"/>
        <v>31</v>
      </c>
      <c r="AZ5" s="41">
        <f t="shared" si="1"/>
        <v>32</v>
      </c>
      <c r="BA5" s="41">
        <f t="shared" si="1"/>
        <v>33</v>
      </c>
      <c r="BB5" s="41">
        <f t="shared" si="1"/>
        <v>34</v>
      </c>
      <c r="BC5" s="41">
        <f t="shared" si="1"/>
        <v>35</v>
      </c>
      <c r="BD5" s="41">
        <f t="shared" si="1"/>
        <v>36</v>
      </c>
      <c r="BE5" s="41">
        <f t="shared" si="1"/>
        <v>37</v>
      </c>
      <c r="BF5" s="41">
        <f t="shared" si="1"/>
        <v>38</v>
      </c>
      <c r="BG5" s="41">
        <f t="shared" si="1"/>
        <v>39</v>
      </c>
      <c r="BH5" s="41">
        <f t="shared" si="1"/>
        <v>40</v>
      </c>
      <c r="BI5" s="41">
        <f t="shared" si="1"/>
        <v>41</v>
      </c>
      <c r="BJ5" s="41">
        <f t="shared" si="1"/>
        <v>42</v>
      </c>
      <c r="BK5" s="41">
        <f t="shared" si="1"/>
        <v>43</v>
      </c>
      <c r="BL5" s="41">
        <f t="shared" si="1"/>
        <v>44</v>
      </c>
      <c r="BM5" s="41">
        <f t="shared" si="1"/>
        <v>45</v>
      </c>
      <c r="BN5" s="41">
        <f t="shared" si="1"/>
        <v>46</v>
      </c>
      <c r="BO5" s="41">
        <f t="shared" si="1"/>
        <v>47</v>
      </c>
    </row>
    <row r="6" spans="1:67" ht="16.5" customHeight="1">
      <c r="A6" s="1"/>
      <c r="B6" s="16" t="s">
        <v>231</v>
      </c>
      <c r="C6" s="17" t="s">
        <v>104</v>
      </c>
      <c r="D6" s="16" t="str">
        <f>"the model structure runs for "&amp;BO6&amp;" months. Month 0 is a pre-structure month, meant to capture opening items that help calculate the first month"</f>
        <v>the model structure runs for 48 months. Month 0 is a pre-structure month, meant to capture opening items that help calculate the first month</v>
      </c>
      <c r="E6" s="1"/>
      <c r="F6" s="1"/>
      <c r="G6" s="1"/>
      <c r="H6" s="1"/>
      <c r="I6" s="17"/>
      <c r="J6" s="17"/>
      <c r="K6" s="17"/>
      <c r="L6" s="17"/>
      <c r="M6" s="17"/>
      <c r="N6" s="17"/>
      <c r="O6" s="17"/>
      <c r="P6" s="17"/>
      <c r="Q6" s="17"/>
      <c r="R6" s="17"/>
      <c r="S6" s="41"/>
      <c r="T6" s="41">
        <v>1</v>
      </c>
      <c r="U6" s="41">
        <f t="shared" ref="U6:BO6" si="2">T6+1</f>
        <v>2</v>
      </c>
      <c r="V6" s="41">
        <f t="shared" si="2"/>
        <v>3</v>
      </c>
      <c r="W6" s="41">
        <f t="shared" si="2"/>
        <v>4</v>
      </c>
      <c r="X6" s="41">
        <f t="shared" si="2"/>
        <v>5</v>
      </c>
      <c r="Y6" s="41">
        <f t="shared" si="2"/>
        <v>6</v>
      </c>
      <c r="Z6" s="41">
        <f t="shared" si="2"/>
        <v>7</v>
      </c>
      <c r="AA6" s="41">
        <f t="shared" si="2"/>
        <v>8</v>
      </c>
      <c r="AB6" s="41">
        <f t="shared" si="2"/>
        <v>9</v>
      </c>
      <c r="AC6" s="41">
        <f t="shared" si="2"/>
        <v>10</v>
      </c>
      <c r="AD6" s="41">
        <f t="shared" si="2"/>
        <v>11</v>
      </c>
      <c r="AE6" s="41">
        <f t="shared" si="2"/>
        <v>12</v>
      </c>
      <c r="AF6" s="41">
        <f t="shared" si="2"/>
        <v>13</v>
      </c>
      <c r="AG6" s="41">
        <f t="shared" si="2"/>
        <v>14</v>
      </c>
      <c r="AH6" s="41">
        <f t="shared" si="2"/>
        <v>15</v>
      </c>
      <c r="AI6" s="41">
        <f t="shared" si="2"/>
        <v>16</v>
      </c>
      <c r="AJ6" s="41">
        <f t="shared" si="2"/>
        <v>17</v>
      </c>
      <c r="AK6" s="41">
        <f t="shared" si="2"/>
        <v>18</v>
      </c>
      <c r="AL6" s="41">
        <f t="shared" si="2"/>
        <v>19</v>
      </c>
      <c r="AM6" s="41">
        <f t="shared" si="2"/>
        <v>20</v>
      </c>
      <c r="AN6" s="41">
        <f t="shared" si="2"/>
        <v>21</v>
      </c>
      <c r="AO6" s="41">
        <f t="shared" si="2"/>
        <v>22</v>
      </c>
      <c r="AP6" s="41">
        <f t="shared" si="2"/>
        <v>23</v>
      </c>
      <c r="AQ6" s="41">
        <f t="shared" si="2"/>
        <v>24</v>
      </c>
      <c r="AR6" s="41">
        <f t="shared" si="2"/>
        <v>25</v>
      </c>
      <c r="AS6" s="41">
        <f t="shared" si="2"/>
        <v>26</v>
      </c>
      <c r="AT6" s="41">
        <f t="shared" si="2"/>
        <v>27</v>
      </c>
      <c r="AU6" s="41">
        <f t="shared" si="2"/>
        <v>28</v>
      </c>
      <c r="AV6" s="41">
        <f t="shared" si="2"/>
        <v>29</v>
      </c>
      <c r="AW6" s="41">
        <f t="shared" si="2"/>
        <v>30</v>
      </c>
      <c r="AX6" s="41">
        <f t="shared" si="2"/>
        <v>31</v>
      </c>
      <c r="AY6" s="41">
        <f t="shared" si="2"/>
        <v>32</v>
      </c>
      <c r="AZ6" s="41">
        <f t="shared" si="2"/>
        <v>33</v>
      </c>
      <c r="BA6" s="41">
        <f t="shared" si="2"/>
        <v>34</v>
      </c>
      <c r="BB6" s="41">
        <f t="shared" si="2"/>
        <v>35</v>
      </c>
      <c r="BC6" s="41">
        <f t="shared" si="2"/>
        <v>36</v>
      </c>
      <c r="BD6" s="41">
        <f t="shared" si="2"/>
        <v>37</v>
      </c>
      <c r="BE6" s="41">
        <f t="shared" si="2"/>
        <v>38</v>
      </c>
      <c r="BF6" s="41">
        <f t="shared" si="2"/>
        <v>39</v>
      </c>
      <c r="BG6" s="41">
        <f t="shared" si="2"/>
        <v>40</v>
      </c>
      <c r="BH6" s="41">
        <f t="shared" si="2"/>
        <v>41</v>
      </c>
      <c r="BI6" s="41">
        <f t="shared" si="2"/>
        <v>42</v>
      </c>
      <c r="BJ6" s="41">
        <f t="shared" si="2"/>
        <v>43</v>
      </c>
      <c r="BK6" s="41">
        <f t="shared" si="2"/>
        <v>44</v>
      </c>
      <c r="BL6" s="41">
        <f t="shared" si="2"/>
        <v>45</v>
      </c>
      <c r="BM6" s="41">
        <f t="shared" si="2"/>
        <v>46</v>
      </c>
      <c r="BN6" s="41">
        <f t="shared" si="2"/>
        <v>47</v>
      </c>
      <c r="BO6" s="41">
        <f t="shared" si="2"/>
        <v>48</v>
      </c>
    </row>
    <row r="7" spans="1:67" ht="16.5" customHeight="1" outlineLevel="1">
      <c r="A7" s="1"/>
      <c r="B7" s="16" t="s">
        <v>232</v>
      </c>
      <c r="C7" s="17"/>
      <c r="D7" s="16" t="s">
        <v>233</v>
      </c>
      <c r="E7" s="16"/>
      <c r="F7" s="16"/>
      <c r="G7" s="16"/>
      <c r="H7" s="16"/>
      <c r="I7" s="16"/>
      <c r="J7" s="16"/>
      <c r="K7" s="16"/>
      <c r="L7" s="16"/>
      <c r="M7" s="16"/>
      <c r="N7" s="16"/>
      <c r="O7" s="16"/>
      <c r="P7" s="16"/>
      <c r="Q7" s="16"/>
      <c r="R7" s="16"/>
      <c r="S7" s="16"/>
      <c r="T7" s="59">
        <f>'Get Started'!D12</f>
        <v>44227</v>
      </c>
      <c r="U7" s="59">
        <f t="shared" ref="U7:BO7" si="3">EDATE(T7,1)</f>
        <v>44255</v>
      </c>
      <c r="V7" s="59">
        <f t="shared" si="3"/>
        <v>44283</v>
      </c>
      <c r="W7" s="59">
        <f t="shared" si="3"/>
        <v>44314</v>
      </c>
      <c r="X7" s="59">
        <f t="shared" si="3"/>
        <v>44344</v>
      </c>
      <c r="Y7" s="59">
        <f t="shared" si="3"/>
        <v>44375</v>
      </c>
      <c r="Z7" s="59">
        <f t="shared" si="3"/>
        <v>44405</v>
      </c>
      <c r="AA7" s="59">
        <f t="shared" si="3"/>
        <v>44436</v>
      </c>
      <c r="AB7" s="59">
        <f t="shared" si="3"/>
        <v>44467</v>
      </c>
      <c r="AC7" s="59">
        <f t="shared" si="3"/>
        <v>44497</v>
      </c>
      <c r="AD7" s="59">
        <f t="shared" si="3"/>
        <v>44528</v>
      </c>
      <c r="AE7" s="59">
        <f t="shared" si="3"/>
        <v>44558</v>
      </c>
      <c r="AF7" s="59">
        <f t="shared" si="3"/>
        <v>44589</v>
      </c>
      <c r="AG7" s="59">
        <f t="shared" si="3"/>
        <v>44620</v>
      </c>
      <c r="AH7" s="59">
        <f t="shared" si="3"/>
        <v>44648</v>
      </c>
      <c r="AI7" s="59">
        <f t="shared" si="3"/>
        <v>44679</v>
      </c>
      <c r="AJ7" s="59">
        <f t="shared" si="3"/>
        <v>44709</v>
      </c>
      <c r="AK7" s="59">
        <f t="shared" si="3"/>
        <v>44740</v>
      </c>
      <c r="AL7" s="59">
        <f t="shared" si="3"/>
        <v>44770</v>
      </c>
      <c r="AM7" s="59">
        <f t="shared" si="3"/>
        <v>44801</v>
      </c>
      <c r="AN7" s="59">
        <f t="shared" si="3"/>
        <v>44832</v>
      </c>
      <c r="AO7" s="59">
        <f t="shared" si="3"/>
        <v>44862</v>
      </c>
      <c r="AP7" s="59">
        <f t="shared" si="3"/>
        <v>44893</v>
      </c>
      <c r="AQ7" s="59">
        <f t="shared" si="3"/>
        <v>44923</v>
      </c>
      <c r="AR7" s="59">
        <f t="shared" si="3"/>
        <v>44954</v>
      </c>
      <c r="AS7" s="59">
        <f t="shared" si="3"/>
        <v>44985</v>
      </c>
      <c r="AT7" s="59">
        <f t="shared" si="3"/>
        <v>45013</v>
      </c>
      <c r="AU7" s="59">
        <f t="shared" si="3"/>
        <v>45044</v>
      </c>
      <c r="AV7" s="59">
        <f t="shared" si="3"/>
        <v>45074</v>
      </c>
      <c r="AW7" s="59">
        <f t="shared" si="3"/>
        <v>45105</v>
      </c>
      <c r="AX7" s="59">
        <f t="shared" si="3"/>
        <v>45135</v>
      </c>
      <c r="AY7" s="59">
        <f t="shared" si="3"/>
        <v>45166</v>
      </c>
      <c r="AZ7" s="59">
        <f t="shared" si="3"/>
        <v>45197</v>
      </c>
      <c r="BA7" s="59">
        <f t="shared" si="3"/>
        <v>45227</v>
      </c>
      <c r="BB7" s="59">
        <f t="shared" si="3"/>
        <v>45258</v>
      </c>
      <c r="BC7" s="59">
        <f t="shared" si="3"/>
        <v>45288</v>
      </c>
      <c r="BD7" s="59">
        <f t="shared" si="3"/>
        <v>45319</v>
      </c>
      <c r="BE7" s="59">
        <f t="shared" si="3"/>
        <v>45350</v>
      </c>
      <c r="BF7" s="59">
        <f t="shared" si="3"/>
        <v>45379</v>
      </c>
      <c r="BG7" s="59">
        <f t="shared" si="3"/>
        <v>45410</v>
      </c>
      <c r="BH7" s="59">
        <f t="shared" si="3"/>
        <v>45440</v>
      </c>
      <c r="BI7" s="59">
        <f t="shared" si="3"/>
        <v>45471</v>
      </c>
      <c r="BJ7" s="59">
        <f t="shared" si="3"/>
        <v>45501</v>
      </c>
      <c r="BK7" s="59">
        <f t="shared" si="3"/>
        <v>45532</v>
      </c>
      <c r="BL7" s="59">
        <f t="shared" si="3"/>
        <v>45563</v>
      </c>
      <c r="BM7" s="59">
        <f t="shared" si="3"/>
        <v>45593</v>
      </c>
      <c r="BN7" s="59">
        <f t="shared" si="3"/>
        <v>45624</v>
      </c>
      <c r="BO7" s="59">
        <f t="shared" si="3"/>
        <v>45654</v>
      </c>
    </row>
    <row r="8" spans="1:67" ht="16.5" customHeight="1" outlineLevel="1">
      <c r="A8" s="1"/>
      <c r="B8" s="16"/>
      <c r="C8" s="17"/>
      <c r="D8" s="16"/>
      <c r="E8" s="16"/>
      <c r="F8" s="16"/>
      <c r="G8" s="16"/>
      <c r="H8" s="16"/>
      <c r="I8" s="16"/>
      <c r="J8" s="16"/>
      <c r="K8" s="16"/>
      <c r="L8" s="16"/>
      <c r="M8" s="16"/>
      <c r="N8" s="16"/>
      <c r="O8" s="16"/>
      <c r="P8" s="16"/>
      <c r="Q8" s="16"/>
      <c r="R8" s="16"/>
      <c r="S8" s="16"/>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row>
    <row r="9" spans="1:67" ht="16.5" customHeight="1">
      <c r="A9" s="1"/>
      <c r="B9" s="16"/>
      <c r="C9" s="17"/>
      <c r="D9" s="16"/>
      <c r="E9" s="16"/>
      <c r="F9" s="16"/>
      <c r="G9" s="16"/>
      <c r="H9" s="16"/>
      <c r="I9" s="16"/>
      <c r="J9" s="16"/>
      <c r="K9" s="16"/>
      <c r="L9" s="16"/>
      <c r="M9" s="16"/>
      <c r="N9" s="16"/>
      <c r="O9" s="16"/>
      <c r="P9" s="16"/>
      <c r="Q9" s="16"/>
      <c r="R9" s="16"/>
      <c r="S9" s="16"/>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row>
    <row r="10" spans="1:67" ht="16.5" customHeight="1">
      <c r="A10" s="1"/>
      <c r="B10" s="52" t="s">
        <v>166</v>
      </c>
      <c r="C10" s="17" t="s">
        <v>104</v>
      </c>
      <c r="D10" s="16" t="s">
        <v>171</v>
      </c>
      <c r="E10" s="16"/>
      <c r="F10" s="16"/>
      <c r="G10" s="16"/>
      <c r="H10" s="16" t="s">
        <v>155</v>
      </c>
      <c r="I10" s="46">
        <f>IF(H10=Forecast!$H$195,T10,IF(H10=Forecast!$H$196,BO10,IF(H10=Forecast!$H$197,SUM(T10:BO10),IF(H10=Forecast!$H$198,AVERAGE(T10:BO10),0))))</f>
        <v>109859.80717116124</v>
      </c>
      <c r="J10" s="16"/>
      <c r="K10" s="16"/>
      <c r="L10" s="16"/>
      <c r="M10" s="16"/>
      <c r="N10" s="16"/>
      <c r="O10" s="16"/>
      <c r="P10" s="16"/>
      <c r="Q10" s="16"/>
      <c r="R10" s="16"/>
      <c r="S10" s="46">
        <f t="shared" ref="S10:BO10" si="4">SUM(S11:S59)</f>
        <v>28904.417075126625</v>
      </c>
      <c r="T10" s="46">
        <f t="shared" si="4"/>
        <v>28904.417075126625</v>
      </c>
      <c r="U10" s="46">
        <f t="shared" si="4"/>
        <v>20170.5336601013</v>
      </c>
      <c r="V10" s="46">
        <f t="shared" si="4"/>
        <v>16002.826928081044</v>
      </c>
      <c r="W10" s="46">
        <f t="shared" si="4"/>
        <v>11878.101542464836</v>
      </c>
      <c r="X10" s="46">
        <f t="shared" si="4"/>
        <v>8800.1196339718681</v>
      </c>
      <c r="Y10" s="46">
        <f t="shared" si="4"/>
        <v>6506.300891177495</v>
      </c>
      <c r="Z10" s="46">
        <f t="shared" si="4"/>
        <v>4799.3566527819949</v>
      </c>
      <c r="AA10" s="46">
        <f t="shared" si="4"/>
        <v>3531.1654365039972</v>
      </c>
      <c r="AB10" s="46">
        <f t="shared" si="4"/>
        <v>2590.6092360547814</v>
      </c>
      <c r="AC10" s="46">
        <f t="shared" si="4"/>
        <v>1894.4018228510292</v>
      </c>
      <c r="AD10" s="46">
        <f t="shared" si="4"/>
        <v>1380.1764281262983</v>
      </c>
      <c r="AE10" s="46">
        <f t="shared" si="4"/>
        <v>1001.2789195835996</v>
      </c>
      <c r="AF10" s="46">
        <f t="shared" si="4"/>
        <v>722.84784624962606</v>
      </c>
      <c r="AG10" s="46">
        <f t="shared" si="4"/>
        <v>518.86505704258809</v>
      </c>
      <c r="AH10" s="46">
        <f t="shared" si="4"/>
        <v>369.93799846666474</v>
      </c>
      <c r="AI10" s="46">
        <f t="shared" si="4"/>
        <v>261.63332292610346</v>
      </c>
      <c r="AJ10" s="46">
        <f t="shared" si="4"/>
        <v>183.22568069698923</v>
      </c>
      <c r="AK10" s="46">
        <f t="shared" si="4"/>
        <v>126.75900154823228</v>
      </c>
      <c r="AL10" s="46">
        <f t="shared" si="4"/>
        <v>86.342828551472905</v>
      </c>
      <c r="AM10" s="46">
        <f t="shared" si="4"/>
        <v>46.74886251887699</v>
      </c>
      <c r="AN10" s="46">
        <f t="shared" si="4"/>
        <v>37.399090015101592</v>
      </c>
      <c r="AO10" s="46">
        <f t="shared" si="4"/>
        <v>23.306373947383197</v>
      </c>
      <c r="AP10" s="46">
        <f t="shared" si="4"/>
        <v>13.619296628736018</v>
      </c>
      <c r="AQ10" s="46">
        <f t="shared" si="4"/>
        <v>7.075827380819204</v>
      </c>
      <c r="AR10" s="46">
        <f t="shared" si="4"/>
        <v>2.7577583638064587</v>
      </c>
      <c r="AS10" s="46">
        <f t="shared" si="4"/>
        <v>0</v>
      </c>
      <c r="AT10" s="46">
        <f t="shared" si="4"/>
        <v>0</v>
      </c>
      <c r="AU10" s="46">
        <f t="shared" si="4"/>
        <v>0</v>
      </c>
      <c r="AV10" s="46">
        <f t="shared" si="4"/>
        <v>0</v>
      </c>
      <c r="AW10" s="46">
        <f t="shared" si="4"/>
        <v>0</v>
      </c>
      <c r="AX10" s="46">
        <f t="shared" si="4"/>
        <v>0</v>
      </c>
      <c r="AY10" s="46">
        <f t="shared" si="4"/>
        <v>0</v>
      </c>
      <c r="AZ10" s="46">
        <f t="shared" si="4"/>
        <v>0</v>
      </c>
      <c r="BA10" s="46">
        <f t="shared" si="4"/>
        <v>0</v>
      </c>
      <c r="BB10" s="46">
        <f t="shared" si="4"/>
        <v>0</v>
      </c>
      <c r="BC10" s="46">
        <f t="shared" si="4"/>
        <v>0</v>
      </c>
      <c r="BD10" s="46">
        <f t="shared" si="4"/>
        <v>0</v>
      </c>
      <c r="BE10" s="46">
        <f t="shared" si="4"/>
        <v>0</v>
      </c>
      <c r="BF10" s="46">
        <f t="shared" si="4"/>
        <v>0</v>
      </c>
      <c r="BG10" s="46">
        <f t="shared" si="4"/>
        <v>0</v>
      </c>
      <c r="BH10" s="46">
        <f t="shared" si="4"/>
        <v>0</v>
      </c>
      <c r="BI10" s="46">
        <f t="shared" si="4"/>
        <v>0</v>
      </c>
      <c r="BJ10" s="46">
        <f t="shared" si="4"/>
        <v>0</v>
      </c>
      <c r="BK10" s="46">
        <f t="shared" si="4"/>
        <v>0</v>
      </c>
      <c r="BL10" s="46">
        <f t="shared" si="4"/>
        <v>0</v>
      </c>
      <c r="BM10" s="46">
        <f t="shared" si="4"/>
        <v>0</v>
      </c>
      <c r="BN10" s="46">
        <f t="shared" si="4"/>
        <v>0</v>
      </c>
      <c r="BO10" s="46">
        <f t="shared" si="4"/>
        <v>0</v>
      </c>
    </row>
    <row r="11" spans="1:67" ht="16.5" customHeight="1" outlineLevel="1">
      <c r="A11" s="1"/>
      <c r="B11" s="16" t="str">
        <f>B10&amp;" from Existing Customers"</f>
        <v>Orders from Existing Customers</v>
      </c>
      <c r="C11" s="17" t="s">
        <v>104</v>
      </c>
      <c r="D11" s="46">
        <v>0</v>
      </c>
      <c r="E11" s="16"/>
      <c r="F11" s="16"/>
      <c r="G11" s="16"/>
      <c r="H11" s="16" t="s">
        <v>155</v>
      </c>
      <c r="I11" s="46">
        <f>IF(H11=Forecast!$H$195,T11,IF(H11=Forecast!$H$196,BO11,IF(H11=Forecast!$H$197,SUM(T11:BO11),IF(H11=Forecast!$H$198,AVERAGE(T11:BO11),0))))</f>
        <v>0</v>
      </c>
      <c r="J11" s="16"/>
      <c r="K11" s="16"/>
      <c r="L11" s="16"/>
      <c r="M11" s="16"/>
      <c r="N11" s="16"/>
      <c r="O11" s="16"/>
      <c r="P11" s="16"/>
      <c r="Q11" s="16"/>
      <c r="R11" s="16"/>
      <c r="S11" s="51">
        <f t="shared" ref="S11:S59" si="5">T11</f>
        <v>0</v>
      </c>
      <c r="T11" s="51">
        <v>0</v>
      </c>
      <c r="U11" s="51">
        <v>0</v>
      </c>
      <c r="V11" s="51">
        <v>0</v>
      </c>
      <c r="W11" s="51">
        <v>0</v>
      </c>
      <c r="X11" s="51">
        <v>0</v>
      </c>
      <c r="Y11" s="51">
        <v>0</v>
      </c>
      <c r="Z11" s="51">
        <v>0</v>
      </c>
      <c r="AA11" s="51">
        <v>0</v>
      </c>
      <c r="AB11" s="51">
        <v>0</v>
      </c>
      <c r="AC11" s="51">
        <v>0</v>
      </c>
      <c r="AD11" s="51">
        <v>0</v>
      </c>
      <c r="AE11" s="51">
        <v>0</v>
      </c>
      <c r="AF11" s="51">
        <v>0</v>
      </c>
      <c r="AG11" s="51">
        <v>0</v>
      </c>
      <c r="AH11" s="51">
        <v>0</v>
      </c>
      <c r="AI11" s="51">
        <v>0</v>
      </c>
      <c r="AJ11" s="51">
        <v>0</v>
      </c>
      <c r="AK11" s="51">
        <v>0</v>
      </c>
      <c r="AL11" s="51">
        <v>0</v>
      </c>
      <c r="AM11" s="51">
        <v>0</v>
      </c>
      <c r="AN11" s="51">
        <v>0</v>
      </c>
      <c r="AO11" s="51">
        <v>0</v>
      </c>
      <c r="AP11" s="51">
        <v>0</v>
      </c>
      <c r="AQ11" s="51">
        <v>0</v>
      </c>
      <c r="AR11" s="51">
        <v>0</v>
      </c>
      <c r="AS11" s="51">
        <v>0</v>
      </c>
      <c r="AT11" s="51">
        <v>0</v>
      </c>
      <c r="AU11" s="51">
        <v>0</v>
      </c>
      <c r="AV11" s="51">
        <v>0</v>
      </c>
      <c r="AW11" s="51">
        <v>0</v>
      </c>
      <c r="AX11" s="51">
        <v>0</v>
      </c>
      <c r="AY11" s="51">
        <v>0</v>
      </c>
      <c r="AZ11" s="51">
        <v>0</v>
      </c>
      <c r="BA11" s="51">
        <v>0</v>
      </c>
      <c r="BB11" s="51">
        <v>0</v>
      </c>
      <c r="BC11" s="51">
        <v>0</v>
      </c>
      <c r="BD11" s="51">
        <v>0</v>
      </c>
      <c r="BE11" s="51">
        <v>0</v>
      </c>
      <c r="BF11" s="51">
        <v>0</v>
      </c>
      <c r="BG11" s="51">
        <v>0</v>
      </c>
      <c r="BH11" s="51">
        <v>0</v>
      </c>
      <c r="BI11" s="51">
        <v>0</v>
      </c>
      <c r="BJ11" s="51">
        <v>0</v>
      </c>
      <c r="BK11" s="51">
        <v>0</v>
      </c>
      <c r="BL11" s="51">
        <v>0</v>
      </c>
      <c r="BM11" s="51">
        <v>0</v>
      </c>
      <c r="BN11" s="51">
        <v>0</v>
      </c>
      <c r="BO11" s="51">
        <v>0</v>
      </c>
    </row>
    <row r="12" spans="1:67" ht="16.5" customHeight="1" outlineLevel="1">
      <c r="A12" s="1"/>
      <c r="B12" s="55">
        <f t="shared" ref="B12:B59" si="6">INDEX(T$7:BO$7,,D12)</f>
        <v>44227</v>
      </c>
      <c r="C12" s="17" t="s">
        <v>104</v>
      </c>
      <c r="D12" s="46">
        <v>1</v>
      </c>
      <c r="E12" s="16"/>
      <c r="F12" s="16"/>
      <c r="G12" s="16"/>
      <c r="H12" s="16" t="s">
        <v>155</v>
      </c>
      <c r="I12" s="46">
        <f>IF(H12=Forecast!$H$195,T12,IF(H12=Forecast!$H$196,BO12,IF(H12=Forecast!$H$197,SUM(T12:BO12),IF(H12=Forecast!$H$198,AVERAGE(T12:BO12),0))))</f>
        <v>0</v>
      </c>
      <c r="J12" s="16"/>
      <c r="K12" s="16"/>
      <c r="L12" s="16"/>
      <c r="M12" s="16"/>
      <c r="N12" s="16"/>
      <c r="O12" s="16"/>
      <c r="P12" s="16"/>
      <c r="Q12" s="16"/>
      <c r="R12" s="16"/>
      <c r="S12" s="51">
        <f t="shared" si="5"/>
        <v>0</v>
      </c>
      <c r="T12" s="51">
        <v>0</v>
      </c>
      <c r="U12" s="51">
        <v>0</v>
      </c>
      <c r="V12" s="51">
        <v>0</v>
      </c>
      <c r="W12" s="51">
        <v>0</v>
      </c>
      <c r="X12" s="51">
        <v>0</v>
      </c>
      <c r="Y12" s="51">
        <v>0</v>
      </c>
      <c r="Z12" s="51">
        <v>0</v>
      </c>
      <c r="AA12" s="51">
        <v>0</v>
      </c>
      <c r="AB12" s="51">
        <v>0</v>
      </c>
      <c r="AC12" s="51">
        <v>0</v>
      </c>
      <c r="AD12" s="51">
        <v>0</v>
      </c>
      <c r="AE12" s="51">
        <v>0</v>
      </c>
      <c r="AF12" s="51">
        <v>0</v>
      </c>
      <c r="AG12" s="51">
        <v>0</v>
      </c>
      <c r="AH12" s="51">
        <v>0</v>
      </c>
      <c r="AI12" s="51">
        <v>0</v>
      </c>
      <c r="AJ12" s="51">
        <v>0</v>
      </c>
      <c r="AK12" s="51">
        <v>0</v>
      </c>
      <c r="AL12" s="51">
        <v>0</v>
      </c>
      <c r="AM12" s="51">
        <v>0</v>
      </c>
      <c r="AN12" s="51">
        <v>0</v>
      </c>
      <c r="AO12" s="51">
        <v>0</v>
      </c>
      <c r="AP12" s="51">
        <v>0</v>
      </c>
      <c r="AQ12" s="51">
        <v>0</v>
      </c>
      <c r="AR12" s="51">
        <v>0</v>
      </c>
      <c r="AS12" s="51">
        <v>0</v>
      </c>
      <c r="AT12" s="51">
        <v>0</v>
      </c>
      <c r="AU12" s="51">
        <v>0</v>
      </c>
      <c r="AV12" s="51">
        <v>0</v>
      </c>
      <c r="AW12" s="51">
        <v>0</v>
      </c>
      <c r="AX12" s="51">
        <v>0</v>
      </c>
      <c r="AY12" s="51">
        <v>0</v>
      </c>
      <c r="AZ12" s="51">
        <v>0</v>
      </c>
      <c r="BA12" s="51">
        <v>0</v>
      </c>
      <c r="BB12" s="51">
        <v>0</v>
      </c>
      <c r="BC12" s="51">
        <v>0</v>
      </c>
      <c r="BD12" s="51">
        <v>0</v>
      </c>
      <c r="BE12" s="51">
        <v>0</v>
      </c>
      <c r="BF12" s="51">
        <v>0</v>
      </c>
      <c r="BG12" s="51">
        <v>0</v>
      </c>
      <c r="BH12" s="51">
        <v>0</v>
      </c>
      <c r="BI12" s="51">
        <v>0</v>
      </c>
      <c r="BJ12" s="51">
        <v>0</v>
      </c>
      <c r="BK12" s="51">
        <v>0</v>
      </c>
      <c r="BL12" s="51">
        <v>0</v>
      </c>
      <c r="BM12" s="51">
        <v>0</v>
      </c>
      <c r="BN12" s="51">
        <v>0</v>
      </c>
      <c r="BO12" s="51">
        <v>0</v>
      </c>
    </row>
    <row r="13" spans="1:67" ht="16.5" customHeight="1" outlineLevel="1">
      <c r="A13" s="1"/>
      <c r="B13" s="55">
        <f t="shared" si="6"/>
        <v>44255</v>
      </c>
      <c r="C13" s="17" t="s">
        <v>104</v>
      </c>
      <c r="D13" s="46">
        <f t="shared" ref="D13:D59" si="7">D12+1</f>
        <v>2</v>
      </c>
      <c r="E13" s="16"/>
      <c r="F13" s="16"/>
      <c r="G13" s="16"/>
      <c r="H13" s="16" t="s">
        <v>155</v>
      </c>
      <c r="I13" s="46">
        <f>IF(H13=Forecast!$H$195,T13,IF(H13=Forecast!$H$196,BO13,IF(H13=Forecast!$H$197,SUM(T13:BO13),IF(H13=Forecast!$H$198,AVERAGE(T13:BO13),0))))</f>
        <v>0</v>
      </c>
      <c r="J13" s="16"/>
      <c r="K13" s="16"/>
      <c r="L13" s="16"/>
      <c r="M13" s="16"/>
      <c r="N13" s="16"/>
      <c r="O13" s="16"/>
      <c r="P13" s="16"/>
      <c r="Q13" s="16"/>
      <c r="R13" s="16"/>
      <c r="S13" s="51">
        <f t="shared" si="5"/>
        <v>0</v>
      </c>
      <c r="T13" s="51">
        <v>0</v>
      </c>
      <c r="U13" s="51">
        <v>0</v>
      </c>
      <c r="V13" s="51">
        <v>0</v>
      </c>
      <c r="W13" s="51">
        <v>0</v>
      </c>
      <c r="X13" s="51">
        <v>0</v>
      </c>
      <c r="Y13" s="51">
        <v>0</v>
      </c>
      <c r="Z13" s="51">
        <v>0</v>
      </c>
      <c r="AA13" s="51">
        <v>0</v>
      </c>
      <c r="AB13" s="51">
        <v>0</v>
      </c>
      <c r="AC13" s="51">
        <v>0</v>
      </c>
      <c r="AD13" s="51">
        <v>0</v>
      </c>
      <c r="AE13" s="51">
        <v>0</v>
      </c>
      <c r="AF13" s="51">
        <v>0</v>
      </c>
      <c r="AG13" s="51">
        <v>0</v>
      </c>
      <c r="AH13" s="51">
        <v>0</v>
      </c>
      <c r="AI13" s="51">
        <v>0</v>
      </c>
      <c r="AJ13" s="51">
        <v>0</v>
      </c>
      <c r="AK13" s="51">
        <v>0</v>
      </c>
      <c r="AL13" s="51">
        <v>0</v>
      </c>
      <c r="AM13" s="51">
        <v>0</v>
      </c>
      <c r="AN13" s="51">
        <v>0</v>
      </c>
      <c r="AO13" s="51">
        <v>0</v>
      </c>
      <c r="AP13" s="51">
        <v>0</v>
      </c>
      <c r="AQ13" s="51">
        <v>0</v>
      </c>
      <c r="AR13" s="51">
        <v>0</v>
      </c>
      <c r="AS13" s="51">
        <v>0</v>
      </c>
      <c r="AT13" s="51">
        <v>0</v>
      </c>
      <c r="AU13" s="51">
        <v>0</v>
      </c>
      <c r="AV13" s="51">
        <v>0</v>
      </c>
      <c r="AW13" s="51">
        <v>0</v>
      </c>
      <c r="AX13" s="51">
        <v>0</v>
      </c>
      <c r="AY13" s="51">
        <v>0</v>
      </c>
      <c r="AZ13" s="51">
        <v>0</v>
      </c>
      <c r="BA13" s="51">
        <v>0</v>
      </c>
      <c r="BB13" s="51">
        <v>0</v>
      </c>
      <c r="BC13" s="51">
        <v>0</v>
      </c>
      <c r="BD13" s="51">
        <v>0</v>
      </c>
      <c r="BE13" s="51">
        <v>0</v>
      </c>
      <c r="BF13" s="51">
        <v>0</v>
      </c>
      <c r="BG13" s="51">
        <v>0</v>
      </c>
      <c r="BH13" s="51">
        <v>0</v>
      </c>
      <c r="BI13" s="51">
        <v>0</v>
      </c>
      <c r="BJ13" s="51">
        <v>0</v>
      </c>
      <c r="BK13" s="51">
        <v>0</v>
      </c>
      <c r="BL13" s="51">
        <v>0</v>
      </c>
      <c r="BM13" s="51">
        <v>0</v>
      </c>
      <c r="BN13" s="51">
        <v>0</v>
      </c>
      <c r="BO13" s="51">
        <v>0</v>
      </c>
    </row>
    <row r="14" spans="1:67" ht="16.5" customHeight="1" outlineLevel="1">
      <c r="A14" s="1"/>
      <c r="B14" s="55">
        <f t="shared" si="6"/>
        <v>44283</v>
      </c>
      <c r="C14" s="17" t="s">
        <v>104</v>
      </c>
      <c r="D14" s="46">
        <f t="shared" si="7"/>
        <v>3</v>
      </c>
      <c r="E14" s="16"/>
      <c r="F14" s="16"/>
      <c r="G14" s="16"/>
      <c r="H14" s="16" t="s">
        <v>155</v>
      </c>
      <c r="I14" s="46">
        <f>IF(H14=Forecast!$H$195,T14,IF(H14=Forecast!$H$196,BO14,IF(H14=Forecast!$H$197,SUM(T14:BO14),IF(H14=Forecast!$H$198,AVERAGE(T14:BO14),0))))</f>
        <v>0</v>
      </c>
      <c r="J14" s="16"/>
      <c r="K14" s="16"/>
      <c r="L14" s="16"/>
      <c r="M14" s="16"/>
      <c r="N14" s="16"/>
      <c r="O14" s="16"/>
      <c r="P14" s="16"/>
      <c r="Q14" s="16"/>
      <c r="R14" s="16"/>
      <c r="S14" s="51">
        <f t="shared" si="5"/>
        <v>0</v>
      </c>
      <c r="T14" s="51">
        <v>0</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0</v>
      </c>
      <c r="AP14" s="51">
        <v>0</v>
      </c>
      <c r="AQ14" s="51">
        <v>0</v>
      </c>
      <c r="AR14" s="51">
        <v>0</v>
      </c>
      <c r="AS14" s="51">
        <v>0</v>
      </c>
      <c r="AT14" s="51">
        <v>0</v>
      </c>
      <c r="AU14" s="51">
        <v>0</v>
      </c>
      <c r="AV14" s="51">
        <v>0</v>
      </c>
      <c r="AW14" s="51">
        <v>0</v>
      </c>
      <c r="AX14" s="51">
        <v>0</v>
      </c>
      <c r="AY14" s="51">
        <v>0</v>
      </c>
      <c r="AZ14" s="51">
        <v>0</v>
      </c>
      <c r="BA14" s="51">
        <v>0</v>
      </c>
      <c r="BB14" s="51">
        <v>0</v>
      </c>
      <c r="BC14" s="51">
        <v>0</v>
      </c>
      <c r="BD14" s="51">
        <v>0</v>
      </c>
      <c r="BE14" s="51">
        <v>0</v>
      </c>
      <c r="BF14" s="51">
        <v>0</v>
      </c>
      <c r="BG14" s="51">
        <v>0</v>
      </c>
      <c r="BH14" s="51">
        <v>0</v>
      </c>
      <c r="BI14" s="51">
        <v>0</v>
      </c>
      <c r="BJ14" s="51">
        <v>0</v>
      </c>
      <c r="BK14" s="51">
        <v>0</v>
      </c>
      <c r="BL14" s="51">
        <v>0</v>
      </c>
      <c r="BM14" s="51">
        <v>0</v>
      </c>
      <c r="BN14" s="51">
        <v>0</v>
      </c>
      <c r="BO14" s="51">
        <v>0</v>
      </c>
    </row>
    <row r="15" spans="1:67" ht="16.5" customHeight="1" outlineLevel="1">
      <c r="A15" s="1"/>
      <c r="B15" s="55">
        <f t="shared" si="6"/>
        <v>44314</v>
      </c>
      <c r="C15" s="17" t="s">
        <v>104</v>
      </c>
      <c r="D15" s="46">
        <f t="shared" si="7"/>
        <v>4</v>
      </c>
      <c r="E15" s="16"/>
      <c r="F15" s="16"/>
      <c r="G15" s="16"/>
      <c r="H15" s="16" t="s">
        <v>155</v>
      </c>
      <c r="I15" s="46">
        <f>IF(H15=Forecast!$H$195,T15,IF(H15=Forecast!$H$196,BO15,IF(H15=Forecast!$H$197,SUM(T15:BO15),IF(H15=Forecast!$H$198,AVERAGE(T15:BO15),0))))</f>
        <v>0</v>
      </c>
      <c r="J15" s="16"/>
      <c r="K15" s="16"/>
      <c r="L15" s="16"/>
      <c r="M15" s="16"/>
      <c r="N15" s="16"/>
      <c r="O15" s="16"/>
      <c r="P15" s="16"/>
      <c r="Q15" s="16"/>
      <c r="R15" s="16"/>
      <c r="S15" s="51">
        <f t="shared" si="5"/>
        <v>0</v>
      </c>
      <c r="T15" s="51">
        <v>0</v>
      </c>
      <c r="U15" s="51">
        <v>0</v>
      </c>
      <c r="V15" s="51">
        <v>0</v>
      </c>
      <c r="W15" s="51">
        <v>0</v>
      </c>
      <c r="X15" s="51">
        <v>0</v>
      </c>
      <c r="Y15" s="51">
        <v>0</v>
      </c>
      <c r="Z15" s="51">
        <v>0</v>
      </c>
      <c r="AA15" s="51">
        <v>0</v>
      </c>
      <c r="AB15" s="51">
        <v>0</v>
      </c>
      <c r="AC15" s="51">
        <v>0</v>
      </c>
      <c r="AD15" s="51">
        <v>0</v>
      </c>
      <c r="AE15" s="51">
        <v>0</v>
      </c>
      <c r="AF15" s="51">
        <v>0</v>
      </c>
      <c r="AG15" s="51">
        <v>0</v>
      </c>
      <c r="AH15" s="51">
        <v>0</v>
      </c>
      <c r="AI15" s="51">
        <v>0</v>
      </c>
      <c r="AJ15" s="51">
        <v>0</v>
      </c>
      <c r="AK15" s="51">
        <v>0</v>
      </c>
      <c r="AL15" s="51">
        <v>0</v>
      </c>
      <c r="AM15" s="51">
        <v>0</v>
      </c>
      <c r="AN15" s="51">
        <v>0</v>
      </c>
      <c r="AO15" s="51">
        <v>0</v>
      </c>
      <c r="AP15" s="51">
        <v>0</v>
      </c>
      <c r="AQ15" s="51">
        <v>0</v>
      </c>
      <c r="AR15" s="51">
        <v>0</v>
      </c>
      <c r="AS15" s="51">
        <v>0</v>
      </c>
      <c r="AT15" s="51">
        <v>0</v>
      </c>
      <c r="AU15" s="51">
        <v>0</v>
      </c>
      <c r="AV15" s="51">
        <v>0</v>
      </c>
      <c r="AW15" s="51">
        <v>0</v>
      </c>
      <c r="AX15" s="51">
        <v>0</v>
      </c>
      <c r="AY15" s="51">
        <v>0</v>
      </c>
      <c r="AZ15" s="51">
        <v>0</v>
      </c>
      <c r="BA15" s="51">
        <v>0</v>
      </c>
      <c r="BB15" s="51">
        <v>0</v>
      </c>
      <c r="BC15" s="51">
        <v>0</v>
      </c>
      <c r="BD15" s="51">
        <v>0</v>
      </c>
      <c r="BE15" s="51">
        <v>0</v>
      </c>
      <c r="BF15" s="51">
        <v>0</v>
      </c>
      <c r="BG15" s="51">
        <v>0</v>
      </c>
      <c r="BH15" s="51">
        <v>0</v>
      </c>
      <c r="BI15" s="51">
        <v>0</v>
      </c>
      <c r="BJ15" s="51">
        <v>0</v>
      </c>
      <c r="BK15" s="51">
        <v>0</v>
      </c>
      <c r="BL15" s="51">
        <v>0</v>
      </c>
      <c r="BM15" s="51">
        <v>0</v>
      </c>
      <c r="BN15" s="51">
        <v>0</v>
      </c>
      <c r="BO15" s="51">
        <v>0</v>
      </c>
    </row>
    <row r="16" spans="1:67" ht="16.5" customHeight="1" outlineLevel="1">
      <c r="A16" s="1"/>
      <c r="B16" s="55">
        <f t="shared" si="6"/>
        <v>44344</v>
      </c>
      <c r="C16" s="17" t="s">
        <v>104</v>
      </c>
      <c r="D16" s="46">
        <f t="shared" si="7"/>
        <v>5</v>
      </c>
      <c r="E16" s="16"/>
      <c r="F16" s="16"/>
      <c r="G16" s="16"/>
      <c r="H16" s="16" t="s">
        <v>155</v>
      </c>
      <c r="I16" s="46">
        <f>IF(H16=Forecast!$H$195,T16,IF(H16=Forecast!$H$196,BO16,IF(H16=Forecast!$H$197,SUM(T16:BO16),IF(H16=Forecast!$H$198,AVERAGE(T16:BO16),0))))</f>
        <v>0</v>
      </c>
      <c r="J16" s="16"/>
      <c r="K16" s="16"/>
      <c r="L16" s="16"/>
      <c r="M16" s="16"/>
      <c r="N16" s="16"/>
      <c r="O16" s="16"/>
      <c r="P16" s="16"/>
      <c r="Q16" s="16"/>
      <c r="R16" s="16"/>
      <c r="S16" s="51">
        <f t="shared" si="5"/>
        <v>0</v>
      </c>
      <c r="T16" s="51">
        <v>0</v>
      </c>
      <c r="U16" s="51">
        <v>0</v>
      </c>
      <c r="V16" s="51">
        <v>0</v>
      </c>
      <c r="W16" s="51">
        <v>0</v>
      </c>
      <c r="X16" s="51">
        <v>0</v>
      </c>
      <c r="Y16" s="51">
        <v>0</v>
      </c>
      <c r="Z16" s="51">
        <v>0</v>
      </c>
      <c r="AA16" s="51">
        <v>0</v>
      </c>
      <c r="AB16" s="51">
        <v>0</v>
      </c>
      <c r="AC16" s="51">
        <v>0</v>
      </c>
      <c r="AD16" s="51">
        <v>0</v>
      </c>
      <c r="AE16" s="51">
        <v>0</v>
      </c>
      <c r="AF16" s="51">
        <v>0</v>
      </c>
      <c r="AG16" s="51">
        <v>0</v>
      </c>
      <c r="AH16" s="51">
        <v>0</v>
      </c>
      <c r="AI16" s="51">
        <v>0</v>
      </c>
      <c r="AJ16" s="51">
        <v>0</v>
      </c>
      <c r="AK16" s="51">
        <v>0</v>
      </c>
      <c r="AL16" s="51">
        <v>0</v>
      </c>
      <c r="AM16" s="51">
        <v>0</v>
      </c>
      <c r="AN16" s="51">
        <v>0</v>
      </c>
      <c r="AO16" s="51">
        <v>0</v>
      </c>
      <c r="AP16" s="51">
        <v>0</v>
      </c>
      <c r="AQ16" s="51">
        <v>0</v>
      </c>
      <c r="AR16" s="51">
        <v>0</v>
      </c>
      <c r="AS16" s="51">
        <v>0</v>
      </c>
      <c r="AT16" s="51">
        <v>0</v>
      </c>
      <c r="AU16" s="51">
        <v>0</v>
      </c>
      <c r="AV16" s="51">
        <v>0</v>
      </c>
      <c r="AW16" s="51">
        <v>0</v>
      </c>
      <c r="AX16" s="51">
        <v>0</v>
      </c>
      <c r="AY16" s="51">
        <v>0</v>
      </c>
      <c r="AZ16" s="51">
        <v>0</v>
      </c>
      <c r="BA16" s="51">
        <v>0</v>
      </c>
      <c r="BB16" s="51">
        <v>0</v>
      </c>
      <c r="BC16" s="51">
        <v>0</v>
      </c>
      <c r="BD16" s="51">
        <v>0</v>
      </c>
      <c r="BE16" s="51">
        <v>0</v>
      </c>
      <c r="BF16" s="51">
        <v>0</v>
      </c>
      <c r="BG16" s="51">
        <v>0</v>
      </c>
      <c r="BH16" s="51">
        <v>0</v>
      </c>
      <c r="BI16" s="51">
        <v>0</v>
      </c>
      <c r="BJ16" s="51">
        <v>0</v>
      </c>
      <c r="BK16" s="51">
        <v>0</v>
      </c>
      <c r="BL16" s="51">
        <v>0</v>
      </c>
      <c r="BM16" s="51">
        <v>0</v>
      </c>
      <c r="BN16" s="51">
        <v>0</v>
      </c>
      <c r="BO16" s="51">
        <v>0</v>
      </c>
    </row>
    <row r="17" spans="1:67" ht="16.5" customHeight="1" outlineLevel="1">
      <c r="A17" s="1"/>
      <c r="B17" s="55">
        <f t="shared" si="6"/>
        <v>44375</v>
      </c>
      <c r="C17" s="17" t="s">
        <v>104</v>
      </c>
      <c r="D17" s="46">
        <f t="shared" si="7"/>
        <v>6</v>
      </c>
      <c r="E17" s="16"/>
      <c r="F17" s="16"/>
      <c r="G17" s="16"/>
      <c r="H17" s="16" t="s">
        <v>155</v>
      </c>
      <c r="I17" s="46">
        <f>IF(H17=Forecast!$H$195,T17,IF(H17=Forecast!$H$196,BO17,IF(H17=Forecast!$H$197,SUM(T17:BO17),IF(H17=Forecast!$H$198,AVERAGE(T17:BO17),0))))</f>
        <v>0</v>
      </c>
      <c r="J17" s="16"/>
      <c r="K17" s="16"/>
      <c r="L17" s="16"/>
      <c r="M17" s="16"/>
      <c r="N17" s="16"/>
      <c r="O17" s="16"/>
      <c r="P17" s="16"/>
      <c r="Q17" s="16"/>
      <c r="R17" s="16"/>
      <c r="S17" s="51">
        <f t="shared" si="5"/>
        <v>0</v>
      </c>
      <c r="T17" s="51">
        <v>0</v>
      </c>
      <c r="U17" s="51">
        <v>0</v>
      </c>
      <c r="V17" s="51">
        <v>0</v>
      </c>
      <c r="W17" s="51">
        <v>0</v>
      </c>
      <c r="X17" s="51">
        <v>0</v>
      </c>
      <c r="Y17" s="51">
        <v>0</v>
      </c>
      <c r="Z17" s="51">
        <v>0</v>
      </c>
      <c r="AA17" s="51">
        <v>0</v>
      </c>
      <c r="AB17" s="51">
        <v>0</v>
      </c>
      <c r="AC17" s="51">
        <v>0</v>
      </c>
      <c r="AD17" s="51">
        <v>0</v>
      </c>
      <c r="AE17" s="51">
        <v>0</v>
      </c>
      <c r="AF17" s="51">
        <v>0</v>
      </c>
      <c r="AG17" s="51">
        <v>0</v>
      </c>
      <c r="AH17" s="51">
        <v>0</v>
      </c>
      <c r="AI17" s="51">
        <v>0</v>
      </c>
      <c r="AJ17" s="51">
        <v>0</v>
      </c>
      <c r="AK17" s="51">
        <v>0</v>
      </c>
      <c r="AL17" s="51">
        <v>0</v>
      </c>
      <c r="AM17" s="51">
        <v>0</v>
      </c>
      <c r="AN17" s="51">
        <v>0</v>
      </c>
      <c r="AO17" s="51">
        <v>0</v>
      </c>
      <c r="AP17" s="51">
        <v>0</v>
      </c>
      <c r="AQ17" s="51">
        <v>0</v>
      </c>
      <c r="AR17" s="51">
        <v>0</v>
      </c>
      <c r="AS17" s="51">
        <v>0</v>
      </c>
      <c r="AT17" s="51">
        <v>0</v>
      </c>
      <c r="AU17" s="51">
        <v>0</v>
      </c>
      <c r="AV17" s="51">
        <v>0</v>
      </c>
      <c r="AW17" s="51">
        <v>0</v>
      </c>
      <c r="AX17" s="51">
        <v>0</v>
      </c>
      <c r="AY17" s="51">
        <v>0</v>
      </c>
      <c r="AZ17" s="51">
        <v>0</v>
      </c>
      <c r="BA17" s="51">
        <v>0</v>
      </c>
      <c r="BB17" s="51">
        <v>0</v>
      </c>
      <c r="BC17" s="51">
        <v>0</v>
      </c>
      <c r="BD17" s="51">
        <v>0</v>
      </c>
      <c r="BE17" s="51">
        <v>0</v>
      </c>
      <c r="BF17" s="51">
        <v>0</v>
      </c>
      <c r="BG17" s="51">
        <v>0</v>
      </c>
      <c r="BH17" s="51">
        <v>0</v>
      </c>
      <c r="BI17" s="51">
        <v>0</v>
      </c>
      <c r="BJ17" s="51">
        <v>0</v>
      </c>
      <c r="BK17" s="51">
        <v>0</v>
      </c>
      <c r="BL17" s="51">
        <v>0</v>
      </c>
      <c r="BM17" s="51">
        <v>0</v>
      </c>
      <c r="BN17" s="51">
        <v>0</v>
      </c>
      <c r="BO17" s="51">
        <v>0</v>
      </c>
    </row>
    <row r="18" spans="1:67" ht="16.5" customHeight="1" outlineLevel="1">
      <c r="A18" s="1"/>
      <c r="B18" s="55">
        <f t="shared" si="6"/>
        <v>44405</v>
      </c>
      <c r="C18" s="17" t="s">
        <v>104</v>
      </c>
      <c r="D18" s="46">
        <f t="shared" si="7"/>
        <v>7</v>
      </c>
      <c r="E18" s="16"/>
      <c r="F18" s="16"/>
      <c r="G18" s="16"/>
      <c r="H18" s="16" t="s">
        <v>155</v>
      </c>
      <c r="I18" s="46">
        <f>IF(H18=Forecast!$H$195,T18,IF(H18=Forecast!$H$196,BO18,IF(H18=Forecast!$H$197,SUM(T18:BO18),IF(H18=Forecast!$H$198,AVERAGE(T18:BO18),0))))</f>
        <v>0</v>
      </c>
      <c r="J18" s="16"/>
      <c r="K18" s="16"/>
      <c r="L18" s="16"/>
      <c r="M18" s="16"/>
      <c r="N18" s="16"/>
      <c r="O18" s="16"/>
      <c r="P18" s="16"/>
      <c r="Q18" s="16"/>
      <c r="R18" s="16"/>
      <c r="S18" s="51">
        <f t="shared" si="5"/>
        <v>0</v>
      </c>
      <c r="T18" s="51">
        <v>0</v>
      </c>
      <c r="U18" s="51">
        <v>0</v>
      </c>
      <c r="V18" s="51">
        <v>0</v>
      </c>
      <c r="W18" s="51">
        <v>0</v>
      </c>
      <c r="X18" s="51">
        <v>0</v>
      </c>
      <c r="Y18" s="51">
        <v>0</v>
      </c>
      <c r="Z18" s="51">
        <v>0</v>
      </c>
      <c r="AA18" s="51">
        <v>0</v>
      </c>
      <c r="AB18" s="51">
        <v>0</v>
      </c>
      <c r="AC18" s="51">
        <v>0</v>
      </c>
      <c r="AD18" s="51">
        <v>0</v>
      </c>
      <c r="AE18" s="51">
        <v>0</v>
      </c>
      <c r="AF18" s="51">
        <v>0</v>
      </c>
      <c r="AG18" s="51">
        <v>0</v>
      </c>
      <c r="AH18" s="51">
        <v>0</v>
      </c>
      <c r="AI18" s="51">
        <v>0</v>
      </c>
      <c r="AJ18" s="51">
        <v>0</v>
      </c>
      <c r="AK18" s="51">
        <v>0</v>
      </c>
      <c r="AL18" s="51">
        <v>0</v>
      </c>
      <c r="AM18" s="51">
        <v>0</v>
      </c>
      <c r="AN18" s="51">
        <v>0</v>
      </c>
      <c r="AO18" s="51">
        <v>0</v>
      </c>
      <c r="AP18" s="51">
        <v>0</v>
      </c>
      <c r="AQ18" s="51">
        <v>0</v>
      </c>
      <c r="AR18" s="51">
        <v>0</v>
      </c>
      <c r="AS18" s="51">
        <v>0</v>
      </c>
      <c r="AT18" s="51">
        <v>0</v>
      </c>
      <c r="AU18" s="51">
        <v>0</v>
      </c>
      <c r="AV18" s="51">
        <v>0</v>
      </c>
      <c r="AW18" s="51">
        <v>0</v>
      </c>
      <c r="AX18" s="51">
        <v>0</v>
      </c>
      <c r="AY18" s="51">
        <v>0</v>
      </c>
      <c r="AZ18" s="51">
        <v>0</v>
      </c>
      <c r="BA18" s="51">
        <v>0</v>
      </c>
      <c r="BB18" s="51">
        <v>0</v>
      </c>
      <c r="BC18" s="51">
        <v>0</v>
      </c>
      <c r="BD18" s="51">
        <v>0</v>
      </c>
      <c r="BE18" s="51">
        <v>0</v>
      </c>
      <c r="BF18" s="51">
        <v>0</v>
      </c>
      <c r="BG18" s="51">
        <v>0</v>
      </c>
      <c r="BH18" s="51">
        <v>0</v>
      </c>
      <c r="BI18" s="51">
        <v>0</v>
      </c>
      <c r="BJ18" s="51">
        <v>0</v>
      </c>
      <c r="BK18" s="51">
        <v>0</v>
      </c>
      <c r="BL18" s="51">
        <v>0</v>
      </c>
      <c r="BM18" s="51">
        <v>0</v>
      </c>
      <c r="BN18" s="51">
        <v>0</v>
      </c>
      <c r="BO18" s="51">
        <v>0</v>
      </c>
    </row>
    <row r="19" spans="1:67" ht="16.5" customHeight="1" outlineLevel="1">
      <c r="A19" s="1"/>
      <c r="B19" s="55">
        <f t="shared" si="6"/>
        <v>44436</v>
      </c>
      <c r="C19" s="17" t="s">
        <v>104</v>
      </c>
      <c r="D19" s="46">
        <f t="shared" si="7"/>
        <v>8</v>
      </c>
      <c r="E19" s="16"/>
      <c r="F19" s="16"/>
      <c r="G19" s="16"/>
      <c r="H19" s="16" t="s">
        <v>155</v>
      </c>
      <c r="I19" s="46">
        <f>IF(H19=Forecast!$H$195,T19,IF(H19=Forecast!$H$196,BO19,IF(H19=Forecast!$H$197,SUM(T19:BO19),IF(H19=Forecast!$H$198,AVERAGE(T19:BO19),0))))</f>
        <v>0</v>
      </c>
      <c r="J19" s="16"/>
      <c r="K19" s="16"/>
      <c r="L19" s="16"/>
      <c r="M19" s="16"/>
      <c r="N19" s="16"/>
      <c r="O19" s="16"/>
      <c r="P19" s="16"/>
      <c r="Q19" s="16"/>
      <c r="R19" s="16"/>
      <c r="S19" s="51">
        <f t="shared" si="5"/>
        <v>0</v>
      </c>
      <c r="T19" s="51">
        <v>0</v>
      </c>
      <c r="U19" s="51">
        <v>0</v>
      </c>
      <c r="V19" s="51">
        <v>0</v>
      </c>
      <c r="W19" s="51">
        <v>0</v>
      </c>
      <c r="X19" s="51">
        <v>0</v>
      </c>
      <c r="Y19" s="51">
        <v>0</v>
      </c>
      <c r="Z19" s="51">
        <v>0</v>
      </c>
      <c r="AA19" s="51">
        <v>0</v>
      </c>
      <c r="AB19" s="51">
        <v>0</v>
      </c>
      <c r="AC19" s="51">
        <v>0</v>
      </c>
      <c r="AD19" s="51">
        <v>0</v>
      </c>
      <c r="AE19" s="51">
        <v>0</v>
      </c>
      <c r="AF19" s="51">
        <v>0</v>
      </c>
      <c r="AG19" s="51">
        <v>0</v>
      </c>
      <c r="AH19" s="51">
        <v>0</v>
      </c>
      <c r="AI19" s="51">
        <v>0</v>
      </c>
      <c r="AJ19" s="51">
        <v>0</v>
      </c>
      <c r="AK19" s="51">
        <v>0</v>
      </c>
      <c r="AL19" s="51">
        <v>0</v>
      </c>
      <c r="AM19" s="51">
        <v>0</v>
      </c>
      <c r="AN19" s="51">
        <v>0</v>
      </c>
      <c r="AO19" s="51">
        <v>0</v>
      </c>
      <c r="AP19" s="51">
        <v>0</v>
      </c>
      <c r="AQ19" s="51">
        <v>0</v>
      </c>
      <c r="AR19" s="51">
        <v>0</v>
      </c>
      <c r="AS19" s="51">
        <v>0</v>
      </c>
      <c r="AT19" s="51">
        <v>0</v>
      </c>
      <c r="AU19" s="51">
        <v>0</v>
      </c>
      <c r="AV19" s="51">
        <v>0</v>
      </c>
      <c r="AW19" s="51">
        <v>0</v>
      </c>
      <c r="AX19" s="51">
        <v>0</v>
      </c>
      <c r="AY19" s="51">
        <v>0</v>
      </c>
      <c r="AZ19" s="51">
        <v>0</v>
      </c>
      <c r="BA19" s="51">
        <v>0</v>
      </c>
      <c r="BB19" s="51">
        <v>0</v>
      </c>
      <c r="BC19" s="51">
        <v>0</v>
      </c>
      <c r="BD19" s="51">
        <v>0</v>
      </c>
      <c r="BE19" s="51">
        <v>0</v>
      </c>
      <c r="BF19" s="51">
        <v>0</v>
      </c>
      <c r="BG19" s="51">
        <v>0</v>
      </c>
      <c r="BH19" s="51">
        <v>0</v>
      </c>
      <c r="BI19" s="51">
        <v>0</v>
      </c>
      <c r="BJ19" s="51">
        <v>0</v>
      </c>
      <c r="BK19" s="51">
        <v>0</v>
      </c>
      <c r="BL19" s="51">
        <v>0</v>
      </c>
      <c r="BM19" s="51">
        <v>0</v>
      </c>
      <c r="BN19" s="51">
        <v>0</v>
      </c>
      <c r="BO19" s="51">
        <v>0</v>
      </c>
    </row>
    <row r="20" spans="1:67" ht="16.5" customHeight="1" outlineLevel="1">
      <c r="A20" s="1"/>
      <c r="B20" s="55">
        <f t="shared" si="6"/>
        <v>44467</v>
      </c>
      <c r="C20" s="17" t="s">
        <v>104</v>
      </c>
      <c r="D20" s="46">
        <f t="shared" si="7"/>
        <v>9</v>
      </c>
      <c r="E20" s="16"/>
      <c r="F20" s="16"/>
      <c r="G20" s="16"/>
      <c r="H20" s="16" t="s">
        <v>155</v>
      </c>
      <c r="I20" s="46">
        <f>IF(H20=Forecast!$H$195,T20,IF(H20=Forecast!$H$196,BO20,IF(H20=Forecast!$H$197,SUM(T20:BO20),IF(H20=Forecast!$H$198,AVERAGE(T20:BO20),0))))</f>
        <v>0</v>
      </c>
      <c r="J20" s="16"/>
      <c r="K20" s="16"/>
      <c r="L20" s="16"/>
      <c r="M20" s="16"/>
      <c r="N20" s="16"/>
      <c r="O20" s="16"/>
      <c r="P20" s="16"/>
      <c r="Q20" s="16"/>
      <c r="R20" s="16"/>
      <c r="S20" s="51">
        <f t="shared" si="5"/>
        <v>0</v>
      </c>
      <c r="T20" s="51">
        <v>0</v>
      </c>
      <c r="U20" s="51">
        <v>0</v>
      </c>
      <c r="V20" s="51">
        <v>0</v>
      </c>
      <c r="W20" s="51">
        <v>0</v>
      </c>
      <c r="X20" s="51">
        <v>0</v>
      </c>
      <c r="Y20" s="51">
        <v>0</v>
      </c>
      <c r="Z20" s="51">
        <v>0</v>
      </c>
      <c r="AA20" s="51">
        <v>0</v>
      </c>
      <c r="AB20" s="51">
        <v>0</v>
      </c>
      <c r="AC20" s="51">
        <v>0</v>
      </c>
      <c r="AD20" s="51">
        <v>0</v>
      </c>
      <c r="AE20" s="51">
        <v>0</v>
      </c>
      <c r="AF20" s="51">
        <v>0</v>
      </c>
      <c r="AG20" s="51">
        <v>0</v>
      </c>
      <c r="AH20" s="51">
        <v>0</v>
      </c>
      <c r="AI20" s="51">
        <v>0</v>
      </c>
      <c r="AJ20" s="51">
        <v>0</v>
      </c>
      <c r="AK20" s="51">
        <v>0</v>
      </c>
      <c r="AL20" s="51">
        <v>0</v>
      </c>
      <c r="AM20" s="51">
        <v>0</v>
      </c>
      <c r="AN20" s="51">
        <v>0</v>
      </c>
      <c r="AO20" s="51">
        <v>0</v>
      </c>
      <c r="AP20" s="51">
        <v>0</v>
      </c>
      <c r="AQ20" s="51">
        <v>0</v>
      </c>
      <c r="AR20" s="51">
        <v>0</v>
      </c>
      <c r="AS20" s="51">
        <v>0</v>
      </c>
      <c r="AT20" s="51">
        <v>0</v>
      </c>
      <c r="AU20" s="51">
        <v>0</v>
      </c>
      <c r="AV20" s="51">
        <v>0</v>
      </c>
      <c r="AW20" s="51">
        <v>0</v>
      </c>
      <c r="AX20" s="51">
        <v>0</v>
      </c>
      <c r="AY20" s="51">
        <v>0</v>
      </c>
      <c r="AZ20" s="51">
        <v>0</v>
      </c>
      <c r="BA20" s="51">
        <v>0</v>
      </c>
      <c r="BB20" s="51">
        <v>0</v>
      </c>
      <c r="BC20" s="51">
        <v>0</v>
      </c>
      <c r="BD20" s="51">
        <v>0</v>
      </c>
      <c r="BE20" s="51">
        <v>0</v>
      </c>
      <c r="BF20" s="51">
        <v>0</v>
      </c>
      <c r="BG20" s="51">
        <v>0</v>
      </c>
      <c r="BH20" s="51">
        <v>0</v>
      </c>
      <c r="BI20" s="51">
        <v>0</v>
      </c>
      <c r="BJ20" s="51">
        <v>0</v>
      </c>
      <c r="BK20" s="51">
        <v>0</v>
      </c>
      <c r="BL20" s="51">
        <v>0</v>
      </c>
      <c r="BM20" s="51">
        <v>0</v>
      </c>
      <c r="BN20" s="51">
        <v>0</v>
      </c>
      <c r="BO20" s="51">
        <v>0</v>
      </c>
    </row>
    <row r="21" spans="1:67" ht="16.5" customHeight="1" outlineLevel="1">
      <c r="A21" s="1"/>
      <c r="B21" s="55">
        <f t="shared" si="6"/>
        <v>44497</v>
      </c>
      <c r="C21" s="17" t="s">
        <v>104</v>
      </c>
      <c r="D21" s="46">
        <f t="shared" si="7"/>
        <v>10</v>
      </c>
      <c r="E21" s="16"/>
      <c r="F21" s="16"/>
      <c r="G21" s="16"/>
      <c r="H21" s="16" t="s">
        <v>155</v>
      </c>
      <c r="I21" s="46">
        <f>IF(H21=Forecast!$H$195,T21,IF(H21=Forecast!$H$196,BO21,IF(H21=Forecast!$H$197,SUM(T21:BO21),IF(H21=Forecast!$H$198,AVERAGE(T21:BO21),0))))</f>
        <v>0</v>
      </c>
      <c r="J21" s="16"/>
      <c r="K21" s="16"/>
      <c r="L21" s="16"/>
      <c r="M21" s="16"/>
      <c r="N21" s="16"/>
      <c r="O21" s="16"/>
      <c r="P21" s="16"/>
      <c r="Q21" s="16"/>
      <c r="R21" s="16"/>
      <c r="S21" s="51">
        <f t="shared" si="5"/>
        <v>0</v>
      </c>
      <c r="T21" s="51">
        <v>0</v>
      </c>
      <c r="U21" s="51">
        <v>0</v>
      </c>
      <c r="V21" s="51">
        <v>0</v>
      </c>
      <c r="W21" s="51">
        <v>0</v>
      </c>
      <c r="X21" s="51">
        <v>0</v>
      </c>
      <c r="Y21" s="51">
        <v>0</v>
      </c>
      <c r="Z21" s="51">
        <v>0</v>
      </c>
      <c r="AA21" s="51">
        <v>0</v>
      </c>
      <c r="AB21" s="51">
        <v>0</v>
      </c>
      <c r="AC21" s="51">
        <v>0</v>
      </c>
      <c r="AD21" s="51">
        <v>0</v>
      </c>
      <c r="AE21" s="51">
        <v>0</v>
      </c>
      <c r="AF21" s="51">
        <v>0</v>
      </c>
      <c r="AG21" s="51">
        <v>0</v>
      </c>
      <c r="AH21" s="51">
        <v>0</v>
      </c>
      <c r="AI21" s="51">
        <v>0</v>
      </c>
      <c r="AJ21" s="51">
        <v>0</v>
      </c>
      <c r="AK21" s="51">
        <v>0</v>
      </c>
      <c r="AL21" s="51">
        <v>0</v>
      </c>
      <c r="AM21" s="51">
        <v>0</v>
      </c>
      <c r="AN21" s="51">
        <v>0</v>
      </c>
      <c r="AO21" s="51">
        <v>0</v>
      </c>
      <c r="AP21" s="51">
        <v>0</v>
      </c>
      <c r="AQ21" s="51">
        <v>0</v>
      </c>
      <c r="AR21" s="51">
        <v>0</v>
      </c>
      <c r="AS21" s="51">
        <v>0</v>
      </c>
      <c r="AT21" s="51">
        <v>0</v>
      </c>
      <c r="AU21" s="51">
        <v>0</v>
      </c>
      <c r="AV21" s="51">
        <v>0</v>
      </c>
      <c r="AW21" s="51">
        <v>0</v>
      </c>
      <c r="AX21" s="51">
        <v>0</v>
      </c>
      <c r="AY21" s="51">
        <v>0</v>
      </c>
      <c r="AZ21" s="51">
        <v>0</v>
      </c>
      <c r="BA21" s="51">
        <v>0</v>
      </c>
      <c r="BB21" s="51">
        <v>0</v>
      </c>
      <c r="BC21" s="51">
        <v>0</v>
      </c>
      <c r="BD21" s="51">
        <v>0</v>
      </c>
      <c r="BE21" s="51">
        <v>0</v>
      </c>
      <c r="BF21" s="51">
        <v>0</v>
      </c>
      <c r="BG21" s="51">
        <v>0</v>
      </c>
      <c r="BH21" s="51">
        <v>0</v>
      </c>
      <c r="BI21" s="51">
        <v>0</v>
      </c>
      <c r="BJ21" s="51">
        <v>0</v>
      </c>
      <c r="BK21" s="51">
        <v>0</v>
      </c>
      <c r="BL21" s="51">
        <v>0</v>
      </c>
      <c r="BM21" s="51">
        <v>0</v>
      </c>
      <c r="BN21" s="51">
        <v>0</v>
      </c>
      <c r="BO21" s="51">
        <v>0</v>
      </c>
    </row>
    <row r="22" spans="1:67" ht="16.5" customHeight="1" outlineLevel="1">
      <c r="A22" s="1"/>
      <c r="B22" s="55">
        <f t="shared" si="6"/>
        <v>44528</v>
      </c>
      <c r="C22" s="17" t="s">
        <v>104</v>
      </c>
      <c r="D22" s="46">
        <f t="shared" si="7"/>
        <v>11</v>
      </c>
      <c r="E22" s="16"/>
      <c r="F22" s="16"/>
      <c r="G22" s="16"/>
      <c r="H22" s="16" t="s">
        <v>155</v>
      </c>
      <c r="I22" s="46">
        <f>IF(H22=Forecast!$H$195,T22,IF(H22=Forecast!$H$196,BO22,IF(H22=Forecast!$H$197,SUM(T22:BO22),IF(H22=Forecast!$H$198,AVERAGE(T22:BO22),0))))</f>
        <v>0</v>
      </c>
      <c r="J22" s="16"/>
      <c r="K22" s="16"/>
      <c r="L22" s="16"/>
      <c r="M22" s="16"/>
      <c r="N22" s="16"/>
      <c r="O22" s="16"/>
      <c r="P22" s="16"/>
      <c r="Q22" s="16"/>
      <c r="R22" s="16"/>
      <c r="S22" s="51">
        <f t="shared" si="5"/>
        <v>0</v>
      </c>
      <c r="T22" s="51">
        <v>0</v>
      </c>
      <c r="U22" s="51">
        <v>0</v>
      </c>
      <c r="V22" s="51">
        <v>0</v>
      </c>
      <c r="W22" s="51">
        <v>0</v>
      </c>
      <c r="X22" s="51">
        <v>0</v>
      </c>
      <c r="Y22" s="51">
        <v>0</v>
      </c>
      <c r="Z22" s="51">
        <v>0</v>
      </c>
      <c r="AA22" s="51">
        <v>0</v>
      </c>
      <c r="AB22" s="51">
        <v>0</v>
      </c>
      <c r="AC22" s="51">
        <v>0</v>
      </c>
      <c r="AD22" s="51">
        <v>0</v>
      </c>
      <c r="AE22" s="51">
        <v>0</v>
      </c>
      <c r="AF22" s="51">
        <v>0</v>
      </c>
      <c r="AG22" s="51">
        <v>0</v>
      </c>
      <c r="AH22" s="51">
        <v>0</v>
      </c>
      <c r="AI22" s="51">
        <v>0</v>
      </c>
      <c r="AJ22" s="51">
        <v>0</v>
      </c>
      <c r="AK22" s="51">
        <v>0</v>
      </c>
      <c r="AL22" s="51">
        <v>0</v>
      </c>
      <c r="AM22" s="51">
        <v>0</v>
      </c>
      <c r="AN22" s="51">
        <v>0</v>
      </c>
      <c r="AO22" s="51">
        <v>0</v>
      </c>
      <c r="AP22" s="51">
        <v>0</v>
      </c>
      <c r="AQ22" s="51">
        <v>0</v>
      </c>
      <c r="AR22" s="51">
        <v>0</v>
      </c>
      <c r="AS22" s="51">
        <v>0</v>
      </c>
      <c r="AT22" s="51">
        <v>0</v>
      </c>
      <c r="AU22" s="51">
        <v>0</v>
      </c>
      <c r="AV22" s="51">
        <v>0</v>
      </c>
      <c r="AW22" s="51">
        <v>0</v>
      </c>
      <c r="AX22" s="51">
        <v>0</v>
      </c>
      <c r="AY22" s="51">
        <v>0</v>
      </c>
      <c r="AZ22" s="51">
        <v>0</v>
      </c>
      <c r="BA22" s="51">
        <v>0</v>
      </c>
      <c r="BB22" s="51">
        <v>0</v>
      </c>
      <c r="BC22" s="51">
        <v>0</v>
      </c>
      <c r="BD22" s="51">
        <v>0</v>
      </c>
      <c r="BE22" s="51">
        <v>0</v>
      </c>
      <c r="BF22" s="51">
        <v>0</v>
      </c>
      <c r="BG22" s="51">
        <v>0</v>
      </c>
      <c r="BH22" s="51">
        <v>0</v>
      </c>
      <c r="BI22" s="51">
        <v>0</v>
      </c>
      <c r="BJ22" s="51">
        <v>0</v>
      </c>
      <c r="BK22" s="51">
        <v>0</v>
      </c>
      <c r="BL22" s="51">
        <v>0</v>
      </c>
      <c r="BM22" s="51">
        <v>0</v>
      </c>
      <c r="BN22" s="51">
        <v>0</v>
      </c>
      <c r="BO22" s="51">
        <v>0</v>
      </c>
    </row>
    <row r="23" spans="1:67" ht="16.5" customHeight="1" outlineLevel="1">
      <c r="A23" s="1"/>
      <c r="B23" s="55">
        <f t="shared" si="6"/>
        <v>44558</v>
      </c>
      <c r="C23" s="17" t="s">
        <v>104</v>
      </c>
      <c r="D23" s="46">
        <f t="shared" si="7"/>
        <v>12</v>
      </c>
      <c r="E23" s="16"/>
      <c r="F23" s="16"/>
      <c r="G23" s="16"/>
      <c r="H23" s="16" t="s">
        <v>155</v>
      </c>
      <c r="I23" s="46">
        <f>IF(H23=Forecast!$H$195,T23,IF(H23=Forecast!$H$196,BO23,IF(H23=Forecast!$H$197,SUM(T23:BO23),IF(H23=Forecast!$H$198,AVERAGE(T23:BO23),0))))</f>
        <v>0</v>
      </c>
      <c r="J23" s="16"/>
      <c r="K23" s="16"/>
      <c r="L23" s="16"/>
      <c r="M23" s="16"/>
      <c r="N23" s="16"/>
      <c r="O23" s="16"/>
      <c r="P23" s="16"/>
      <c r="Q23" s="16"/>
      <c r="R23" s="16"/>
      <c r="S23" s="51">
        <f t="shared" si="5"/>
        <v>0</v>
      </c>
      <c r="T23" s="51">
        <v>0</v>
      </c>
      <c r="U23" s="51">
        <v>0</v>
      </c>
      <c r="V23" s="51">
        <v>0</v>
      </c>
      <c r="W23" s="51">
        <v>0</v>
      </c>
      <c r="X23" s="51">
        <v>0</v>
      </c>
      <c r="Y23" s="51">
        <v>0</v>
      </c>
      <c r="Z23" s="51">
        <v>0</v>
      </c>
      <c r="AA23" s="51">
        <v>0</v>
      </c>
      <c r="AB23" s="51">
        <v>0</v>
      </c>
      <c r="AC23" s="51">
        <v>0</v>
      </c>
      <c r="AD23" s="51">
        <v>0</v>
      </c>
      <c r="AE23" s="51">
        <v>0</v>
      </c>
      <c r="AF23" s="51">
        <v>0</v>
      </c>
      <c r="AG23" s="51">
        <v>0</v>
      </c>
      <c r="AH23" s="51">
        <v>0</v>
      </c>
      <c r="AI23" s="51">
        <v>0</v>
      </c>
      <c r="AJ23" s="51">
        <v>0</v>
      </c>
      <c r="AK23" s="51">
        <v>0</v>
      </c>
      <c r="AL23" s="51">
        <v>0</v>
      </c>
      <c r="AM23" s="51">
        <v>0</v>
      </c>
      <c r="AN23" s="51">
        <v>0</v>
      </c>
      <c r="AO23" s="51">
        <v>0</v>
      </c>
      <c r="AP23" s="51">
        <v>0</v>
      </c>
      <c r="AQ23" s="51">
        <v>0</v>
      </c>
      <c r="AR23" s="51">
        <v>0</v>
      </c>
      <c r="AS23" s="51">
        <v>0</v>
      </c>
      <c r="AT23" s="51">
        <v>0</v>
      </c>
      <c r="AU23" s="51">
        <v>0</v>
      </c>
      <c r="AV23" s="51">
        <v>0</v>
      </c>
      <c r="AW23" s="51">
        <v>0</v>
      </c>
      <c r="AX23" s="51">
        <v>0</v>
      </c>
      <c r="AY23" s="51">
        <v>0</v>
      </c>
      <c r="AZ23" s="51">
        <v>0</v>
      </c>
      <c r="BA23" s="51">
        <v>0</v>
      </c>
      <c r="BB23" s="51">
        <v>0</v>
      </c>
      <c r="BC23" s="51">
        <v>0</v>
      </c>
      <c r="BD23" s="51">
        <v>0</v>
      </c>
      <c r="BE23" s="51">
        <v>0</v>
      </c>
      <c r="BF23" s="51">
        <v>0</v>
      </c>
      <c r="BG23" s="51">
        <v>0</v>
      </c>
      <c r="BH23" s="51">
        <v>0</v>
      </c>
      <c r="BI23" s="51">
        <v>0</v>
      </c>
      <c r="BJ23" s="51">
        <v>0</v>
      </c>
      <c r="BK23" s="51">
        <v>0</v>
      </c>
      <c r="BL23" s="51">
        <v>0</v>
      </c>
      <c r="BM23" s="51">
        <v>0</v>
      </c>
      <c r="BN23" s="51">
        <v>0</v>
      </c>
      <c r="BO23" s="51">
        <v>0</v>
      </c>
    </row>
    <row r="24" spans="1:67" ht="16.5" customHeight="1" outlineLevel="1">
      <c r="A24" s="1"/>
      <c r="B24" s="55">
        <f t="shared" si="6"/>
        <v>44589</v>
      </c>
      <c r="C24" s="17" t="s">
        <v>104</v>
      </c>
      <c r="D24" s="46">
        <f t="shared" si="7"/>
        <v>13</v>
      </c>
      <c r="E24" s="16"/>
      <c r="F24" s="16"/>
      <c r="G24" s="16"/>
      <c r="H24" s="16" t="s">
        <v>155</v>
      </c>
      <c r="I24" s="46">
        <f>IF(H24=Forecast!$H$195,T24,IF(H24=Forecast!$H$196,BO24,IF(H24=Forecast!$H$197,SUM(T24:BO24),IF(H24=Forecast!$H$198,AVERAGE(T24:BO24),0))))</f>
        <v>0</v>
      </c>
      <c r="J24" s="16"/>
      <c r="K24" s="16"/>
      <c r="L24" s="16"/>
      <c r="M24" s="16"/>
      <c r="N24" s="16"/>
      <c r="O24" s="16"/>
      <c r="P24" s="16"/>
      <c r="Q24" s="16"/>
      <c r="R24" s="16"/>
      <c r="S24" s="51">
        <f t="shared" si="5"/>
        <v>0</v>
      </c>
      <c r="T24" s="51">
        <v>0</v>
      </c>
      <c r="U24" s="51">
        <v>0</v>
      </c>
      <c r="V24" s="51">
        <v>0</v>
      </c>
      <c r="W24" s="51">
        <v>0</v>
      </c>
      <c r="X24" s="51">
        <v>0</v>
      </c>
      <c r="Y24" s="51">
        <v>0</v>
      </c>
      <c r="Z24" s="51">
        <v>0</v>
      </c>
      <c r="AA24" s="51">
        <v>0</v>
      </c>
      <c r="AB24" s="51">
        <v>0</v>
      </c>
      <c r="AC24" s="51">
        <v>0</v>
      </c>
      <c r="AD24" s="51">
        <v>0</v>
      </c>
      <c r="AE24" s="51">
        <v>0</v>
      </c>
      <c r="AF24" s="51">
        <v>0</v>
      </c>
      <c r="AG24" s="51">
        <v>0</v>
      </c>
      <c r="AH24" s="51">
        <v>0</v>
      </c>
      <c r="AI24" s="51">
        <v>0</v>
      </c>
      <c r="AJ24" s="51">
        <v>0</v>
      </c>
      <c r="AK24" s="51">
        <v>0</v>
      </c>
      <c r="AL24" s="51">
        <v>0</v>
      </c>
      <c r="AM24" s="51">
        <v>0</v>
      </c>
      <c r="AN24" s="51">
        <v>0</v>
      </c>
      <c r="AO24" s="51">
        <v>0</v>
      </c>
      <c r="AP24" s="51">
        <v>0</v>
      </c>
      <c r="AQ24" s="51">
        <v>0</v>
      </c>
      <c r="AR24" s="51">
        <v>0</v>
      </c>
      <c r="AS24" s="51">
        <v>0</v>
      </c>
      <c r="AT24" s="51">
        <v>0</v>
      </c>
      <c r="AU24" s="51">
        <v>0</v>
      </c>
      <c r="AV24" s="51">
        <v>0</v>
      </c>
      <c r="AW24" s="51">
        <v>0</v>
      </c>
      <c r="AX24" s="51">
        <v>0</v>
      </c>
      <c r="AY24" s="51">
        <v>0</v>
      </c>
      <c r="AZ24" s="51">
        <v>0</v>
      </c>
      <c r="BA24" s="51">
        <v>0</v>
      </c>
      <c r="BB24" s="51">
        <v>0</v>
      </c>
      <c r="BC24" s="51">
        <v>0</v>
      </c>
      <c r="BD24" s="51">
        <v>0</v>
      </c>
      <c r="BE24" s="51">
        <v>0</v>
      </c>
      <c r="BF24" s="51">
        <v>0</v>
      </c>
      <c r="BG24" s="51">
        <v>0</v>
      </c>
      <c r="BH24" s="51">
        <v>0</v>
      </c>
      <c r="BI24" s="51">
        <v>0</v>
      </c>
      <c r="BJ24" s="51">
        <v>0</v>
      </c>
      <c r="BK24" s="51">
        <v>0</v>
      </c>
      <c r="BL24" s="51">
        <v>0</v>
      </c>
      <c r="BM24" s="51">
        <v>0</v>
      </c>
      <c r="BN24" s="51">
        <v>0</v>
      </c>
      <c r="BO24" s="51">
        <v>0</v>
      </c>
    </row>
    <row r="25" spans="1:67" ht="16.5" customHeight="1" outlineLevel="1">
      <c r="A25" s="1"/>
      <c r="B25" s="55">
        <f t="shared" si="6"/>
        <v>44620</v>
      </c>
      <c r="C25" s="17" t="s">
        <v>104</v>
      </c>
      <c r="D25" s="46">
        <f t="shared" si="7"/>
        <v>14</v>
      </c>
      <c r="E25" s="16"/>
      <c r="F25" s="16"/>
      <c r="G25" s="16"/>
      <c r="H25" s="16" t="s">
        <v>155</v>
      </c>
      <c r="I25" s="46">
        <f>IF(H25=Forecast!$H$195,T25,IF(H25=Forecast!$H$196,BO25,IF(H25=Forecast!$H$197,SUM(T25:BO25),IF(H25=Forecast!$H$198,AVERAGE(T25:BO25),0))))</f>
        <v>0</v>
      </c>
      <c r="J25" s="16"/>
      <c r="K25" s="16"/>
      <c r="L25" s="16"/>
      <c r="M25" s="16"/>
      <c r="N25" s="16"/>
      <c r="O25" s="16"/>
      <c r="P25" s="16"/>
      <c r="Q25" s="16"/>
      <c r="R25" s="16"/>
      <c r="S25" s="51">
        <f t="shared" si="5"/>
        <v>0</v>
      </c>
      <c r="T25" s="51">
        <v>0</v>
      </c>
      <c r="U25" s="51">
        <v>0</v>
      </c>
      <c r="V25" s="51">
        <v>0</v>
      </c>
      <c r="W25" s="51">
        <v>0</v>
      </c>
      <c r="X25" s="51">
        <v>0</v>
      </c>
      <c r="Y25" s="51">
        <v>0</v>
      </c>
      <c r="Z25" s="51">
        <v>0</v>
      </c>
      <c r="AA25" s="51">
        <v>0</v>
      </c>
      <c r="AB25" s="51">
        <v>0</v>
      </c>
      <c r="AC25" s="51">
        <v>0</v>
      </c>
      <c r="AD25" s="51">
        <v>0</v>
      </c>
      <c r="AE25" s="51">
        <v>0</v>
      </c>
      <c r="AF25" s="51">
        <v>0</v>
      </c>
      <c r="AG25" s="51">
        <v>0</v>
      </c>
      <c r="AH25" s="51">
        <v>0</v>
      </c>
      <c r="AI25" s="51">
        <v>0</v>
      </c>
      <c r="AJ25" s="51">
        <v>0</v>
      </c>
      <c r="AK25" s="51">
        <v>0</v>
      </c>
      <c r="AL25" s="51">
        <v>0</v>
      </c>
      <c r="AM25" s="51">
        <v>0</v>
      </c>
      <c r="AN25" s="51">
        <v>0</v>
      </c>
      <c r="AO25" s="51">
        <v>0</v>
      </c>
      <c r="AP25" s="51">
        <v>0</v>
      </c>
      <c r="AQ25" s="51">
        <v>0</v>
      </c>
      <c r="AR25" s="51">
        <v>0</v>
      </c>
      <c r="AS25" s="51">
        <v>0</v>
      </c>
      <c r="AT25" s="51">
        <v>0</v>
      </c>
      <c r="AU25" s="51">
        <v>0</v>
      </c>
      <c r="AV25" s="51">
        <v>0</v>
      </c>
      <c r="AW25" s="51">
        <v>0</v>
      </c>
      <c r="AX25" s="51">
        <v>0</v>
      </c>
      <c r="AY25" s="51">
        <v>0</v>
      </c>
      <c r="AZ25" s="51">
        <v>0</v>
      </c>
      <c r="BA25" s="51">
        <v>0</v>
      </c>
      <c r="BB25" s="51">
        <v>0</v>
      </c>
      <c r="BC25" s="51">
        <v>0</v>
      </c>
      <c r="BD25" s="51">
        <v>0</v>
      </c>
      <c r="BE25" s="51">
        <v>0</v>
      </c>
      <c r="BF25" s="51">
        <v>0</v>
      </c>
      <c r="BG25" s="51">
        <v>0</v>
      </c>
      <c r="BH25" s="51">
        <v>0</v>
      </c>
      <c r="BI25" s="51">
        <v>0</v>
      </c>
      <c r="BJ25" s="51">
        <v>0</v>
      </c>
      <c r="BK25" s="51">
        <v>0</v>
      </c>
      <c r="BL25" s="51">
        <v>0</v>
      </c>
      <c r="BM25" s="51">
        <v>0</v>
      </c>
      <c r="BN25" s="51">
        <v>0</v>
      </c>
      <c r="BO25" s="51">
        <v>0</v>
      </c>
    </row>
    <row r="26" spans="1:67" ht="16.5" customHeight="1" outlineLevel="1">
      <c r="A26" s="1"/>
      <c r="B26" s="55">
        <f t="shared" si="6"/>
        <v>44648</v>
      </c>
      <c r="C26" s="17" t="s">
        <v>104</v>
      </c>
      <c r="D26" s="46">
        <f t="shared" si="7"/>
        <v>15</v>
      </c>
      <c r="E26" s="16"/>
      <c r="F26" s="16"/>
      <c r="G26" s="16"/>
      <c r="H26" s="16" t="s">
        <v>155</v>
      </c>
      <c r="I26" s="46">
        <f>IF(H26=Forecast!$H$195,T26,IF(H26=Forecast!$H$196,BO26,IF(H26=Forecast!$H$197,SUM(T26:BO26),IF(H26=Forecast!$H$198,AVERAGE(T26:BO26),0))))</f>
        <v>0</v>
      </c>
      <c r="J26" s="16"/>
      <c r="K26" s="16"/>
      <c r="L26" s="16"/>
      <c r="M26" s="16"/>
      <c r="N26" s="16"/>
      <c r="O26" s="16"/>
      <c r="P26" s="16"/>
      <c r="Q26" s="16"/>
      <c r="R26" s="16"/>
      <c r="S26" s="51">
        <f t="shared" si="5"/>
        <v>0</v>
      </c>
      <c r="T26" s="51">
        <v>0</v>
      </c>
      <c r="U26" s="51">
        <v>0</v>
      </c>
      <c r="V26" s="51">
        <v>0</v>
      </c>
      <c r="W26" s="51">
        <v>0</v>
      </c>
      <c r="X26" s="51">
        <v>0</v>
      </c>
      <c r="Y26" s="51">
        <v>0</v>
      </c>
      <c r="Z26" s="51">
        <v>0</v>
      </c>
      <c r="AA26" s="51">
        <v>0</v>
      </c>
      <c r="AB26" s="51">
        <v>0</v>
      </c>
      <c r="AC26" s="51">
        <v>0</v>
      </c>
      <c r="AD26" s="51">
        <v>0</v>
      </c>
      <c r="AE26" s="51">
        <v>0</v>
      </c>
      <c r="AF26" s="51">
        <v>0</v>
      </c>
      <c r="AG26" s="51">
        <v>0</v>
      </c>
      <c r="AH26" s="51">
        <v>0</v>
      </c>
      <c r="AI26" s="51">
        <v>0</v>
      </c>
      <c r="AJ26" s="51">
        <v>0</v>
      </c>
      <c r="AK26" s="51">
        <v>0</v>
      </c>
      <c r="AL26" s="51">
        <v>0</v>
      </c>
      <c r="AM26" s="51">
        <v>0</v>
      </c>
      <c r="AN26" s="51">
        <v>0</v>
      </c>
      <c r="AO26" s="51">
        <v>0</v>
      </c>
      <c r="AP26" s="51">
        <v>0</v>
      </c>
      <c r="AQ26" s="51">
        <v>0</v>
      </c>
      <c r="AR26" s="51">
        <v>0</v>
      </c>
      <c r="AS26" s="51">
        <v>0</v>
      </c>
      <c r="AT26" s="51">
        <v>0</v>
      </c>
      <c r="AU26" s="51">
        <v>0</v>
      </c>
      <c r="AV26" s="51">
        <v>0</v>
      </c>
      <c r="AW26" s="51">
        <v>0</v>
      </c>
      <c r="AX26" s="51">
        <v>0</v>
      </c>
      <c r="AY26" s="51">
        <v>0</v>
      </c>
      <c r="AZ26" s="51">
        <v>0</v>
      </c>
      <c r="BA26" s="51">
        <v>0</v>
      </c>
      <c r="BB26" s="51">
        <v>0</v>
      </c>
      <c r="BC26" s="51">
        <v>0</v>
      </c>
      <c r="BD26" s="51">
        <v>0</v>
      </c>
      <c r="BE26" s="51">
        <v>0</v>
      </c>
      <c r="BF26" s="51">
        <v>0</v>
      </c>
      <c r="BG26" s="51">
        <v>0</v>
      </c>
      <c r="BH26" s="51">
        <v>0</v>
      </c>
      <c r="BI26" s="51">
        <v>0</v>
      </c>
      <c r="BJ26" s="51">
        <v>0</v>
      </c>
      <c r="BK26" s="51">
        <v>0</v>
      </c>
      <c r="BL26" s="51">
        <v>0</v>
      </c>
      <c r="BM26" s="51">
        <v>0</v>
      </c>
      <c r="BN26" s="51">
        <v>0</v>
      </c>
      <c r="BO26" s="51">
        <v>0</v>
      </c>
    </row>
    <row r="27" spans="1:67" ht="16.5" customHeight="1" outlineLevel="1">
      <c r="A27" s="1"/>
      <c r="B27" s="55">
        <f t="shared" si="6"/>
        <v>44679</v>
      </c>
      <c r="C27" s="17" t="s">
        <v>104</v>
      </c>
      <c r="D27" s="46">
        <f t="shared" si="7"/>
        <v>16</v>
      </c>
      <c r="E27" s="16"/>
      <c r="F27" s="16"/>
      <c r="G27" s="16"/>
      <c r="H27" s="16" t="s">
        <v>155</v>
      </c>
      <c r="I27" s="46">
        <f>IF(H27=Forecast!$H$195,T27,IF(H27=Forecast!$H$196,BO27,IF(H27=Forecast!$H$197,SUM(T27:BO27),IF(H27=Forecast!$H$198,AVERAGE(T27:BO27),0))))</f>
        <v>0</v>
      </c>
      <c r="J27" s="16"/>
      <c r="K27" s="16"/>
      <c r="L27" s="16"/>
      <c r="M27" s="16"/>
      <c r="N27" s="16"/>
      <c r="O27" s="16"/>
      <c r="P27" s="16"/>
      <c r="Q27" s="16"/>
      <c r="R27" s="16"/>
      <c r="S27" s="51">
        <f t="shared" si="5"/>
        <v>0</v>
      </c>
      <c r="T27" s="51">
        <v>0</v>
      </c>
      <c r="U27" s="51">
        <v>0</v>
      </c>
      <c r="V27" s="51">
        <v>0</v>
      </c>
      <c r="W27" s="51">
        <v>0</v>
      </c>
      <c r="X27" s="51">
        <v>0</v>
      </c>
      <c r="Y27" s="51">
        <v>0</v>
      </c>
      <c r="Z27" s="51">
        <v>0</v>
      </c>
      <c r="AA27" s="51">
        <v>0</v>
      </c>
      <c r="AB27" s="51">
        <v>0</v>
      </c>
      <c r="AC27" s="51">
        <v>0</v>
      </c>
      <c r="AD27" s="51">
        <v>0</v>
      </c>
      <c r="AE27" s="51">
        <v>0</v>
      </c>
      <c r="AF27" s="51">
        <v>0</v>
      </c>
      <c r="AG27" s="51">
        <v>0</v>
      </c>
      <c r="AH27" s="51">
        <v>0</v>
      </c>
      <c r="AI27" s="51">
        <v>0</v>
      </c>
      <c r="AJ27" s="51">
        <v>0</v>
      </c>
      <c r="AK27" s="51">
        <v>0</v>
      </c>
      <c r="AL27" s="51">
        <v>0</v>
      </c>
      <c r="AM27" s="51">
        <v>0</v>
      </c>
      <c r="AN27" s="51">
        <v>0</v>
      </c>
      <c r="AO27" s="51">
        <v>0</v>
      </c>
      <c r="AP27" s="51">
        <v>0</v>
      </c>
      <c r="AQ27" s="51">
        <v>0</v>
      </c>
      <c r="AR27" s="51">
        <v>0</v>
      </c>
      <c r="AS27" s="51">
        <v>0</v>
      </c>
      <c r="AT27" s="51">
        <v>0</v>
      </c>
      <c r="AU27" s="51">
        <v>0</v>
      </c>
      <c r="AV27" s="51">
        <v>0</v>
      </c>
      <c r="AW27" s="51">
        <v>0</v>
      </c>
      <c r="AX27" s="51">
        <v>0</v>
      </c>
      <c r="AY27" s="51">
        <v>0</v>
      </c>
      <c r="AZ27" s="51">
        <v>0</v>
      </c>
      <c r="BA27" s="51">
        <v>0</v>
      </c>
      <c r="BB27" s="51">
        <v>0</v>
      </c>
      <c r="BC27" s="51">
        <v>0</v>
      </c>
      <c r="BD27" s="51">
        <v>0</v>
      </c>
      <c r="BE27" s="51">
        <v>0</v>
      </c>
      <c r="BF27" s="51">
        <v>0</v>
      </c>
      <c r="BG27" s="51">
        <v>0</v>
      </c>
      <c r="BH27" s="51">
        <v>0</v>
      </c>
      <c r="BI27" s="51">
        <v>0</v>
      </c>
      <c r="BJ27" s="51">
        <v>0</v>
      </c>
      <c r="BK27" s="51">
        <v>0</v>
      </c>
      <c r="BL27" s="51">
        <v>0</v>
      </c>
      <c r="BM27" s="51">
        <v>0</v>
      </c>
      <c r="BN27" s="51">
        <v>0</v>
      </c>
      <c r="BO27" s="51">
        <v>0</v>
      </c>
    </row>
    <row r="28" spans="1:67" ht="16.5" customHeight="1" outlineLevel="1">
      <c r="A28" s="1"/>
      <c r="B28" s="55">
        <f t="shared" si="6"/>
        <v>44709</v>
      </c>
      <c r="C28" s="17" t="s">
        <v>104</v>
      </c>
      <c r="D28" s="46">
        <f t="shared" si="7"/>
        <v>17</v>
      </c>
      <c r="E28" s="16"/>
      <c r="F28" s="16"/>
      <c r="G28" s="16"/>
      <c r="H28" s="16" t="s">
        <v>155</v>
      </c>
      <c r="I28" s="46">
        <f>IF(H28=Forecast!$H$195,T28,IF(H28=Forecast!$H$196,BO28,IF(H28=Forecast!$H$197,SUM(T28:BO28),IF(H28=Forecast!$H$198,AVERAGE(T28:BO28),0))))</f>
        <v>0</v>
      </c>
      <c r="J28" s="16"/>
      <c r="K28" s="16"/>
      <c r="L28" s="16"/>
      <c r="M28" s="16"/>
      <c r="N28" s="16"/>
      <c r="O28" s="16"/>
      <c r="P28" s="16"/>
      <c r="Q28" s="16"/>
      <c r="R28" s="16"/>
      <c r="S28" s="51">
        <f t="shared" si="5"/>
        <v>0</v>
      </c>
      <c r="T28" s="51">
        <v>0</v>
      </c>
      <c r="U28" s="51">
        <v>0</v>
      </c>
      <c r="V28" s="51">
        <v>0</v>
      </c>
      <c r="W28" s="51">
        <v>0</v>
      </c>
      <c r="X28" s="51">
        <v>0</v>
      </c>
      <c r="Y28" s="51">
        <v>0</v>
      </c>
      <c r="Z28" s="51">
        <v>0</v>
      </c>
      <c r="AA28" s="51">
        <v>0</v>
      </c>
      <c r="AB28" s="51">
        <v>0</v>
      </c>
      <c r="AC28" s="51">
        <v>0</v>
      </c>
      <c r="AD28" s="51">
        <v>0</v>
      </c>
      <c r="AE28" s="51">
        <v>0</v>
      </c>
      <c r="AF28" s="51">
        <v>0</v>
      </c>
      <c r="AG28" s="51">
        <v>0</v>
      </c>
      <c r="AH28" s="51">
        <v>0</v>
      </c>
      <c r="AI28" s="51">
        <v>0</v>
      </c>
      <c r="AJ28" s="51">
        <v>0</v>
      </c>
      <c r="AK28" s="51">
        <v>0</v>
      </c>
      <c r="AL28" s="51">
        <v>0</v>
      </c>
      <c r="AM28" s="51">
        <v>0</v>
      </c>
      <c r="AN28" s="51">
        <v>0</v>
      </c>
      <c r="AO28" s="51">
        <v>0</v>
      </c>
      <c r="AP28" s="51">
        <v>0</v>
      </c>
      <c r="AQ28" s="51">
        <v>0</v>
      </c>
      <c r="AR28" s="51">
        <v>0</v>
      </c>
      <c r="AS28" s="51">
        <v>0</v>
      </c>
      <c r="AT28" s="51">
        <v>0</v>
      </c>
      <c r="AU28" s="51">
        <v>0</v>
      </c>
      <c r="AV28" s="51">
        <v>0</v>
      </c>
      <c r="AW28" s="51">
        <v>0</v>
      </c>
      <c r="AX28" s="51">
        <v>0</v>
      </c>
      <c r="AY28" s="51">
        <v>0</v>
      </c>
      <c r="AZ28" s="51">
        <v>0</v>
      </c>
      <c r="BA28" s="51">
        <v>0</v>
      </c>
      <c r="BB28" s="51">
        <v>0</v>
      </c>
      <c r="BC28" s="51">
        <v>0</v>
      </c>
      <c r="BD28" s="51">
        <v>0</v>
      </c>
      <c r="BE28" s="51">
        <v>0</v>
      </c>
      <c r="BF28" s="51">
        <v>0</v>
      </c>
      <c r="BG28" s="51">
        <v>0</v>
      </c>
      <c r="BH28" s="51">
        <v>0</v>
      </c>
      <c r="BI28" s="51">
        <v>0</v>
      </c>
      <c r="BJ28" s="51">
        <v>0</v>
      </c>
      <c r="BK28" s="51">
        <v>0</v>
      </c>
      <c r="BL28" s="51">
        <v>0</v>
      </c>
      <c r="BM28" s="51">
        <v>0</v>
      </c>
      <c r="BN28" s="51">
        <v>0</v>
      </c>
      <c r="BO28" s="51">
        <v>0</v>
      </c>
    </row>
    <row r="29" spans="1:67" ht="16.5" customHeight="1" outlineLevel="1">
      <c r="A29" s="1"/>
      <c r="B29" s="55">
        <f t="shared" si="6"/>
        <v>44740</v>
      </c>
      <c r="C29" s="17" t="s">
        <v>104</v>
      </c>
      <c r="D29" s="46">
        <f t="shared" si="7"/>
        <v>18</v>
      </c>
      <c r="E29" s="16"/>
      <c r="F29" s="16"/>
      <c r="G29" s="16"/>
      <c r="H29" s="16" t="s">
        <v>155</v>
      </c>
      <c r="I29" s="46">
        <f>IF(H29=Forecast!$H$195,T29,IF(H29=Forecast!$H$196,BO29,IF(H29=Forecast!$H$197,SUM(T29:BO29),IF(H29=Forecast!$H$198,AVERAGE(T29:BO29),0))))</f>
        <v>0</v>
      </c>
      <c r="J29" s="16"/>
      <c r="K29" s="16"/>
      <c r="L29" s="16"/>
      <c r="M29" s="16"/>
      <c r="N29" s="16"/>
      <c r="O29" s="16"/>
      <c r="P29" s="16"/>
      <c r="Q29" s="16"/>
      <c r="R29" s="16"/>
      <c r="S29" s="51">
        <f t="shared" si="5"/>
        <v>0</v>
      </c>
      <c r="T29" s="51">
        <v>0</v>
      </c>
      <c r="U29" s="51">
        <v>0</v>
      </c>
      <c r="V29" s="51">
        <v>0</v>
      </c>
      <c r="W29" s="51">
        <v>0</v>
      </c>
      <c r="X29" s="51">
        <v>0</v>
      </c>
      <c r="Y29" s="51">
        <v>0</v>
      </c>
      <c r="Z29" s="51">
        <v>0</v>
      </c>
      <c r="AA29" s="51">
        <v>0</v>
      </c>
      <c r="AB29" s="51">
        <v>0</v>
      </c>
      <c r="AC29" s="51">
        <v>0</v>
      </c>
      <c r="AD29" s="51">
        <v>0</v>
      </c>
      <c r="AE29" s="51">
        <v>0</v>
      </c>
      <c r="AF29" s="51">
        <v>0</v>
      </c>
      <c r="AG29" s="51">
        <v>0</v>
      </c>
      <c r="AH29" s="51">
        <v>0</v>
      </c>
      <c r="AI29" s="51">
        <v>0</v>
      </c>
      <c r="AJ29" s="51">
        <v>0</v>
      </c>
      <c r="AK29" s="51">
        <v>0</v>
      </c>
      <c r="AL29" s="51">
        <v>0</v>
      </c>
      <c r="AM29" s="51">
        <v>0</v>
      </c>
      <c r="AN29" s="51">
        <v>0</v>
      </c>
      <c r="AO29" s="51">
        <v>0</v>
      </c>
      <c r="AP29" s="51">
        <v>0</v>
      </c>
      <c r="AQ29" s="51">
        <v>0</v>
      </c>
      <c r="AR29" s="51">
        <v>0</v>
      </c>
      <c r="AS29" s="51">
        <v>0</v>
      </c>
      <c r="AT29" s="51">
        <v>0</v>
      </c>
      <c r="AU29" s="51">
        <v>0</v>
      </c>
      <c r="AV29" s="51">
        <v>0</v>
      </c>
      <c r="AW29" s="51">
        <v>0</v>
      </c>
      <c r="AX29" s="51">
        <v>0</v>
      </c>
      <c r="AY29" s="51">
        <v>0</v>
      </c>
      <c r="AZ29" s="51">
        <v>0</v>
      </c>
      <c r="BA29" s="51">
        <v>0</v>
      </c>
      <c r="BB29" s="51">
        <v>0</v>
      </c>
      <c r="BC29" s="51">
        <v>0</v>
      </c>
      <c r="BD29" s="51">
        <v>0</v>
      </c>
      <c r="BE29" s="51">
        <v>0</v>
      </c>
      <c r="BF29" s="51">
        <v>0</v>
      </c>
      <c r="BG29" s="51">
        <v>0</v>
      </c>
      <c r="BH29" s="51">
        <v>0</v>
      </c>
      <c r="BI29" s="51">
        <v>0</v>
      </c>
      <c r="BJ29" s="51">
        <v>0</v>
      </c>
      <c r="BK29" s="51">
        <v>0</v>
      </c>
      <c r="BL29" s="51">
        <v>0</v>
      </c>
      <c r="BM29" s="51">
        <v>0</v>
      </c>
      <c r="BN29" s="51">
        <v>0</v>
      </c>
      <c r="BO29" s="51">
        <v>0</v>
      </c>
    </row>
    <row r="30" spans="1:67" ht="16.5" customHeight="1" outlineLevel="1">
      <c r="A30" s="1"/>
      <c r="B30" s="55">
        <f t="shared" si="6"/>
        <v>44770</v>
      </c>
      <c r="C30" s="17" t="s">
        <v>104</v>
      </c>
      <c r="D30" s="46">
        <f t="shared" si="7"/>
        <v>19</v>
      </c>
      <c r="E30" s="16"/>
      <c r="F30" s="16"/>
      <c r="G30" s="16"/>
      <c r="H30" s="16" t="s">
        <v>155</v>
      </c>
      <c r="I30" s="46">
        <f>IF(H30=Forecast!$H$195,T30,IF(H30=Forecast!$H$196,BO30,IF(H30=Forecast!$H$197,SUM(T30:BO30),IF(H30=Forecast!$H$198,AVERAGE(T30:BO30),0))))</f>
        <v>0</v>
      </c>
      <c r="J30" s="16"/>
      <c r="K30" s="16"/>
      <c r="L30" s="16"/>
      <c r="M30" s="16"/>
      <c r="N30" s="16"/>
      <c r="O30" s="16"/>
      <c r="P30" s="16"/>
      <c r="Q30" s="16"/>
      <c r="R30" s="16"/>
      <c r="S30" s="51">
        <f t="shared" si="5"/>
        <v>0</v>
      </c>
      <c r="T30" s="51">
        <v>0</v>
      </c>
      <c r="U30" s="51">
        <v>0</v>
      </c>
      <c r="V30" s="51">
        <v>0</v>
      </c>
      <c r="W30" s="51">
        <v>0</v>
      </c>
      <c r="X30" s="51">
        <v>0</v>
      </c>
      <c r="Y30" s="51">
        <v>0</v>
      </c>
      <c r="Z30" s="51">
        <v>0</v>
      </c>
      <c r="AA30" s="51">
        <v>0</v>
      </c>
      <c r="AB30" s="51">
        <v>0</v>
      </c>
      <c r="AC30" s="51">
        <v>0</v>
      </c>
      <c r="AD30" s="51">
        <v>0</v>
      </c>
      <c r="AE30" s="51">
        <v>0</v>
      </c>
      <c r="AF30" s="51">
        <v>0</v>
      </c>
      <c r="AG30" s="51">
        <v>0</v>
      </c>
      <c r="AH30" s="51">
        <v>0</v>
      </c>
      <c r="AI30" s="51">
        <v>0</v>
      </c>
      <c r="AJ30" s="51">
        <v>0</v>
      </c>
      <c r="AK30" s="51">
        <v>0</v>
      </c>
      <c r="AL30" s="51">
        <v>0</v>
      </c>
      <c r="AM30" s="51">
        <v>0</v>
      </c>
      <c r="AN30" s="51">
        <v>0</v>
      </c>
      <c r="AO30" s="51">
        <v>0</v>
      </c>
      <c r="AP30" s="51">
        <v>0</v>
      </c>
      <c r="AQ30" s="51">
        <v>0</v>
      </c>
      <c r="AR30" s="51">
        <v>0</v>
      </c>
      <c r="AS30" s="51">
        <v>0</v>
      </c>
      <c r="AT30" s="51">
        <v>0</v>
      </c>
      <c r="AU30" s="51">
        <v>0</v>
      </c>
      <c r="AV30" s="51">
        <v>0</v>
      </c>
      <c r="AW30" s="51">
        <v>0</v>
      </c>
      <c r="AX30" s="51">
        <v>0</v>
      </c>
      <c r="AY30" s="51">
        <v>0</v>
      </c>
      <c r="AZ30" s="51">
        <v>0</v>
      </c>
      <c r="BA30" s="51">
        <v>0</v>
      </c>
      <c r="BB30" s="51">
        <v>0</v>
      </c>
      <c r="BC30" s="51">
        <v>0</v>
      </c>
      <c r="BD30" s="51">
        <v>0</v>
      </c>
      <c r="BE30" s="51">
        <v>0</v>
      </c>
      <c r="BF30" s="51">
        <v>0</v>
      </c>
      <c r="BG30" s="51">
        <v>0</v>
      </c>
      <c r="BH30" s="51">
        <v>0</v>
      </c>
      <c r="BI30" s="51">
        <v>0</v>
      </c>
      <c r="BJ30" s="51">
        <v>0</v>
      </c>
      <c r="BK30" s="51">
        <v>0</v>
      </c>
      <c r="BL30" s="51">
        <v>0</v>
      </c>
      <c r="BM30" s="51">
        <v>0</v>
      </c>
      <c r="BN30" s="51">
        <v>0</v>
      </c>
      <c r="BO30" s="51">
        <v>0</v>
      </c>
    </row>
    <row r="31" spans="1:67" ht="16.5" customHeight="1" outlineLevel="1">
      <c r="A31" s="1"/>
      <c r="B31" s="55">
        <f t="shared" si="6"/>
        <v>44801</v>
      </c>
      <c r="C31" s="17" t="s">
        <v>104</v>
      </c>
      <c r="D31" s="46">
        <f t="shared" si="7"/>
        <v>20</v>
      </c>
      <c r="E31" s="16"/>
      <c r="F31" s="16"/>
      <c r="G31" s="16"/>
      <c r="H31" s="16" t="s">
        <v>155</v>
      </c>
      <c r="I31" s="46">
        <f>IF(H31=Forecast!$H$195,T31,IF(H31=Forecast!$H$196,BO31,IF(H31=Forecast!$H$197,SUM(T31:BO31),IF(H31=Forecast!$H$198,AVERAGE(T31:BO31),0))))</f>
        <v>0</v>
      </c>
      <c r="J31" s="16"/>
      <c r="K31" s="16"/>
      <c r="L31" s="16"/>
      <c r="M31" s="16"/>
      <c r="N31" s="16"/>
      <c r="O31" s="16"/>
      <c r="P31" s="16"/>
      <c r="Q31" s="16"/>
      <c r="R31" s="16"/>
      <c r="S31" s="51">
        <f t="shared" si="5"/>
        <v>0</v>
      </c>
      <c r="T31" s="51">
        <v>0</v>
      </c>
      <c r="U31" s="51">
        <v>0</v>
      </c>
      <c r="V31" s="51">
        <v>0</v>
      </c>
      <c r="W31" s="51">
        <v>0</v>
      </c>
      <c r="X31" s="51">
        <v>0</v>
      </c>
      <c r="Y31" s="51">
        <v>0</v>
      </c>
      <c r="Z31" s="51">
        <v>0</v>
      </c>
      <c r="AA31" s="51">
        <v>0</v>
      </c>
      <c r="AB31" s="51">
        <v>0</v>
      </c>
      <c r="AC31" s="51">
        <v>0</v>
      </c>
      <c r="AD31" s="51">
        <v>0</v>
      </c>
      <c r="AE31" s="51">
        <v>0</v>
      </c>
      <c r="AF31" s="51">
        <v>0</v>
      </c>
      <c r="AG31" s="51">
        <v>0</v>
      </c>
      <c r="AH31" s="51">
        <v>0</v>
      </c>
      <c r="AI31" s="51">
        <v>0</v>
      </c>
      <c r="AJ31" s="51">
        <v>0</v>
      </c>
      <c r="AK31" s="51">
        <v>0</v>
      </c>
      <c r="AL31" s="51">
        <v>0</v>
      </c>
      <c r="AM31" s="51">
        <v>0</v>
      </c>
      <c r="AN31" s="51">
        <v>0</v>
      </c>
      <c r="AO31" s="51">
        <v>0</v>
      </c>
      <c r="AP31" s="51">
        <v>0</v>
      </c>
      <c r="AQ31" s="51">
        <v>0</v>
      </c>
      <c r="AR31" s="51">
        <v>0</v>
      </c>
      <c r="AS31" s="51">
        <v>0</v>
      </c>
      <c r="AT31" s="51">
        <v>0</v>
      </c>
      <c r="AU31" s="51">
        <v>0</v>
      </c>
      <c r="AV31" s="51">
        <v>0</v>
      </c>
      <c r="AW31" s="51">
        <v>0</v>
      </c>
      <c r="AX31" s="51">
        <v>0</v>
      </c>
      <c r="AY31" s="51">
        <v>0</v>
      </c>
      <c r="AZ31" s="51">
        <v>0</v>
      </c>
      <c r="BA31" s="51">
        <v>0</v>
      </c>
      <c r="BB31" s="51">
        <v>0</v>
      </c>
      <c r="BC31" s="51">
        <v>0</v>
      </c>
      <c r="BD31" s="51">
        <v>0</v>
      </c>
      <c r="BE31" s="51">
        <v>0</v>
      </c>
      <c r="BF31" s="51">
        <v>0</v>
      </c>
      <c r="BG31" s="51">
        <v>0</v>
      </c>
      <c r="BH31" s="51">
        <v>0</v>
      </c>
      <c r="BI31" s="51">
        <v>0</v>
      </c>
      <c r="BJ31" s="51">
        <v>0</v>
      </c>
      <c r="BK31" s="51">
        <v>0</v>
      </c>
      <c r="BL31" s="51">
        <v>0</v>
      </c>
      <c r="BM31" s="51">
        <v>0</v>
      </c>
      <c r="BN31" s="51">
        <v>0</v>
      </c>
      <c r="BO31" s="51">
        <v>0</v>
      </c>
    </row>
    <row r="32" spans="1:67" ht="16.5" customHeight="1" outlineLevel="1">
      <c r="A32" s="1"/>
      <c r="B32" s="55">
        <f t="shared" si="6"/>
        <v>44832</v>
      </c>
      <c r="C32" s="17" t="s">
        <v>104</v>
      </c>
      <c r="D32" s="46">
        <f t="shared" si="7"/>
        <v>21</v>
      </c>
      <c r="E32" s="16"/>
      <c r="F32" s="16"/>
      <c r="G32" s="16"/>
      <c r="H32" s="16" t="s">
        <v>155</v>
      </c>
      <c r="I32" s="46">
        <f>IF(H32=Forecast!$H$195,T32,IF(H32=Forecast!$H$196,BO32,IF(H32=Forecast!$H$197,SUM(T32:BO32),IF(H32=Forecast!$H$198,AVERAGE(T32:BO32),0))))</f>
        <v>0</v>
      </c>
      <c r="J32" s="16"/>
      <c r="K32" s="16"/>
      <c r="L32" s="16"/>
      <c r="M32" s="16"/>
      <c r="N32" s="16"/>
      <c r="O32" s="16"/>
      <c r="P32" s="16"/>
      <c r="Q32" s="16"/>
      <c r="R32" s="16"/>
      <c r="S32" s="51">
        <f t="shared" si="5"/>
        <v>0</v>
      </c>
      <c r="T32" s="51">
        <v>0</v>
      </c>
      <c r="U32" s="51">
        <v>0</v>
      </c>
      <c r="V32" s="51">
        <v>0</v>
      </c>
      <c r="W32" s="51">
        <v>0</v>
      </c>
      <c r="X32" s="51">
        <v>0</v>
      </c>
      <c r="Y32" s="51">
        <v>0</v>
      </c>
      <c r="Z32" s="51">
        <v>0</v>
      </c>
      <c r="AA32" s="51">
        <v>0</v>
      </c>
      <c r="AB32" s="51">
        <v>0</v>
      </c>
      <c r="AC32" s="51">
        <v>0</v>
      </c>
      <c r="AD32" s="51">
        <v>0</v>
      </c>
      <c r="AE32" s="51">
        <v>0</v>
      </c>
      <c r="AF32" s="51">
        <v>0</v>
      </c>
      <c r="AG32" s="51">
        <v>0</v>
      </c>
      <c r="AH32" s="51">
        <v>0</v>
      </c>
      <c r="AI32" s="51">
        <v>0</v>
      </c>
      <c r="AJ32" s="51">
        <v>0</v>
      </c>
      <c r="AK32" s="51">
        <v>0</v>
      </c>
      <c r="AL32" s="51">
        <v>0</v>
      </c>
      <c r="AM32" s="51">
        <v>0</v>
      </c>
      <c r="AN32" s="51">
        <v>0</v>
      </c>
      <c r="AO32" s="51">
        <v>0</v>
      </c>
      <c r="AP32" s="51">
        <v>0</v>
      </c>
      <c r="AQ32" s="51">
        <v>0</v>
      </c>
      <c r="AR32" s="51">
        <v>0</v>
      </c>
      <c r="AS32" s="51">
        <v>0</v>
      </c>
      <c r="AT32" s="51">
        <v>0</v>
      </c>
      <c r="AU32" s="51">
        <v>0</v>
      </c>
      <c r="AV32" s="51">
        <v>0</v>
      </c>
      <c r="AW32" s="51">
        <v>0</v>
      </c>
      <c r="AX32" s="51">
        <v>0</v>
      </c>
      <c r="AY32" s="51">
        <v>0</v>
      </c>
      <c r="AZ32" s="51">
        <v>0</v>
      </c>
      <c r="BA32" s="51">
        <v>0</v>
      </c>
      <c r="BB32" s="51">
        <v>0</v>
      </c>
      <c r="BC32" s="51">
        <v>0</v>
      </c>
      <c r="BD32" s="51">
        <v>0</v>
      </c>
      <c r="BE32" s="51">
        <v>0</v>
      </c>
      <c r="BF32" s="51">
        <v>0</v>
      </c>
      <c r="BG32" s="51">
        <v>0</v>
      </c>
      <c r="BH32" s="51">
        <v>0</v>
      </c>
      <c r="BI32" s="51">
        <v>0</v>
      </c>
      <c r="BJ32" s="51">
        <v>0</v>
      </c>
      <c r="BK32" s="51">
        <v>0</v>
      </c>
      <c r="BL32" s="51">
        <v>0</v>
      </c>
      <c r="BM32" s="51">
        <v>0</v>
      </c>
      <c r="BN32" s="51">
        <v>0</v>
      </c>
      <c r="BO32" s="51">
        <v>0</v>
      </c>
    </row>
    <row r="33" spans="1:67" ht="16.5" customHeight="1" outlineLevel="1">
      <c r="A33" s="1"/>
      <c r="B33" s="55">
        <f t="shared" si="6"/>
        <v>44862</v>
      </c>
      <c r="C33" s="17" t="s">
        <v>104</v>
      </c>
      <c r="D33" s="46">
        <f t="shared" si="7"/>
        <v>22</v>
      </c>
      <c r="E33" s="16"/>
      <c r="F33" s="16"/>
      <c r="G33" s="16"/>
      <c r="H33" s="16" t="s">
        <v>155</v>
      </c>
      <c r="I33" s="46">
        <f>IF(H33=Forecast!$H$195,T33,IF(H33=Forecast!$H$196,BO33,IF(H33=Forecast!$H$197,SUM(T33:BO33),IF(H33=Forecast!$H$198,AVERAGE(T33:BO33),0))))</f>
        <v>0</v>
      </c>
      <c r="J33" s="16"/>
      <c r="K33" s="16"/>
      <c r="L33" s="16"/>
      <c r="M33" s="16"/>
      <c r="N33" s="16"/>
      <c r="O33" s="16"/>
      <c r="P33" s="16"/>
      <c r="Q33" s="16"/>
      <c r="R33" s="16"/>
      <c r="S33" s="51">
        <f t="shared" si="5"/>
        <v>0</v>
      </c>
      <c r="T33" s="51">
        <v>0</v>
      </c>
      <c r="U33" s="51">
        <v>0</v>
      </c>
      <c r="V33" s="51">
        <v>0</v>
      </c>
      <c r="W33" s="51">
        <v>0</v>
      </c>
      <c r="X33" s="51">
        <v>0</v>
      </c>
      <c r="Y33" s="51">
        <v>0</v>
      </c>
      <c r="Z33" s="51">
        <v>0</v>
      </c>
      <c r="AA33" s="51">
        <v>0</v>
      </c>
      <c r="AB33" s="51">
        <v>0</v>
      </c>
      <c r="AC33" s="51">
        <v>0</v>
      </c>
      <c r="AD33" s="51">
        <v>0</v>
      </c>
      <c r="AE33" s="51">
        <v>0</v>
      </c>
      <c r="AF33" s="51">
        <v>0</v>
      </c>
      <c r="AG33" s="51">
        <v>0</v>
      </c>
      <c r="AH33" s="51">
        <v>0</v>
      </c>
      <c r="AI33" s="51">
        <v>0</v>
      </c>
      <c r="AJ33" s="51">
        <v>0</v>
      </c>
      <c r="AK33" s="51">
        <v>0</v>
      </c>
      <c r="AL33" s="51">
        <v>0</v>
      </c>
      <c r="AM33" s="51">
        <v>0</v>
      </c>
      <c r="AN33" s="51">
        <v>0</v>
      </c>
      <c r="AO33" s="51">
        <v>0</v>
      </c>
      <c r="AP33" s="51">
        <v>0</v>
      </c>
      <c r="AQ33" s="51">
        <v>0</v>
      </c>
      <c r="AR33" s="51">
        <v>0</v>
      </c>
      <c r="AS33" s="51">
        <v>0</v>
      </c>
      <c r="AT33" s="51">
        <v>0</v>
      </c>
      <c r="AU33" s="51">
        <v>0</v>
      </c>
      <c r="AV33" s="51">
        <v>0</v>
      </c>
      <c r="AW33" s="51">
        <v>0</v>
      </c>
      <c r="AX33" s="51">
        <v>0</v>
      </c>
      <c r="AY33" s="51">
        <v>0</v>
      </c>
      <c r="AZ33" s="51">
        <v>0</v>
      </c>
      <c r="BA33" s="51">
        <v>0</v>
      </c>
      <c r="BB33" s="51">
        <v>0</v>
      </c>
      <c r="BC33" s="51">
        <v>0</v>
      </c>
      <c r="BD33" s="51">
        <v>0</v>
      </c>
      <c r="BE33" s="51">
        <v>0</v>
      </c>
      <c r="BF33" s="51">
        <v>0</v>
      </c>
      <c r="BG33" s="51">
        <v>0</v>
      </c>
      <c r="BH33" s="51">
        <v>0</v>
      </c>
      <c r="BI33" s="51">
        <v>0</v>
      </c>
      <c r="BJ33" s="51">
        <v>0</v>
      </c>
      <c r="BK33" s="51">
        <v>0</v>
      </c>
      <c r="BL33" s="51">
        <v>0</v>
      </c>
      <c r="BM33" s="51">
        <v>0</v>
      </c>
      <c r="BN33" s="51">
        <v>0</v>
      </c>
      <c r="BO33" s="51">
        <v>0</v>
      </c>
    </row>
    <row r="34" spans="1:67" ht="16.5" customHeight="1" outlineLevel="1">
      <c r="A34" s="1"/>
      <c r="B34" s="55">
        <f t="shared" si="6"/>
        <v>44893</v>
      </c>
      <c r="C34" s="17" t="s">
        <v>104</v>
      </c>
      <c r="D34" s="46">
        <f t="shared" si="7"/>
        <v>23</v>
      </c>
      <c r="E34" s="16"/>
      <c r="F34" s="16"/>
      <c r="G34" s="16"/>
      <c r="H34" s="16" t="s">
        <v>155</v>
      </c>
      <c r="I34" s="46">
        <f>IF(H34=Forecast!$H$195,T34,IF(H34=Forecast!$H$196,BO34,IF(H34=Forecast!$H$197,SUM(T34:BO34),IF(H34=Forecast!$H$198,AVERAGE(T34:BO34),0))))</f>
        <v>0</v>
      </c>
      <c r="J34" s="16"/>
      <c r="K34" s="16"/>
      <c r="L34" s="16"/>
      <c r="M34" s="16"/>
      <c r="N34" s="16"/>
      <c r="O34" s="16"/>
      <c r="P34" s="16"/>
      <c r="Q34" s="16"/>
      <c r="R34" s="16"/>
      <c r="S34" s="51">
        <f t="shared" si="5"/>
        <v>0</v>
      </c>
      <c r="T34" s="51">
        <v>0</v>
      </c>
      <c r="U34" s="51">
        <v>0</v>
      </c>
      <c r="V34" s="51">
        <v>0</v>
      </c>
      <c r="W34" s="51">
        <v>0</v>
      </c>
      <c r="X34" s="51">
        <v>0</v>
      </c>
      <c r="Y34" s="51">
        <v>0</v>
      </c>
      <c r="Z34" s="51">
        <v>0</v>
      </c>
      <c r="AA34" s="51">
        <v>0</v>
      </c>
      <c r="AB34" s="51">
        <v>0</v>
      </c>
      <c r="AC34" s="51">
        <v>0</v>
      </c>
      <c r="AD34" s="51">
        <v>0</v>
      </c>
      <c r="AE34" s="51">
        <v>0</v>
      </c>
      <c r="AF34" s="51">
        <v>0</v>
      </c>
      <c r="AG34" s="51">
        <v>0</v>
      </c>
      <c r="AH34" s="51">
        <v>0</v>
      </c>
      <c r="AI34" s="51">
        <v>0</v>
      </c>
      <c r="AJ34" s="51">
        <v>0</v>
      </c>
      <c r="AK34" s="51">
        <v>0</v>
      </c>
      <c r="AL34" s="51">
        <v>0</v>
      </c>
      <c r="AM34" s="51">
        <v>0</v>
      </c>
      <c r="AN34" s="51">
        <v>0</v>
      </c>
      <c r="AO34" s="51">
        <v>0</v>
      </c>
      <c r="AP34" s="51">
        <v>0</v>
      </c>
      <c r="AQ34" s="51">
        <v>0</v>
      </c>
      <c r="AR34" s="51">
        <v>0</v>
      </c>
      <c r="AS34" s="51">
        <v>0</v>
      </c>
      <c r="AT34" s="51">
        <v>0</v>
      </c>
      <c r="AU34" s="51">
        <v>0</v>
      </c>
      <c r="AV34" s="51">
        <v>0</v>
      </c>
      <c r="AW34" s="51">
        <v>0</v>
      </c>
      <c r="AX34" s="51">
        <v>0</v>
      </c>
      <c r="AY34" s="51">
        <v>0</v>
      </c>
      <c r="AZ34" s="51">
        <v>0</v>
      </c>
      <c r="BA34" s="51">
        <v>0</v>
      </c>
      <c r="BB34" s="51">
        <v>0</v>
      </c>
      <c r="BC34" s="51">
        <v>0</v>
      </c>
      <c r="BD34" s="51">
        <v>0</v>
      </c>
      <c r="BE34" s="51">
        <v>0</v>
      </c>
      <c r="BF34" s="51">
        <v>0</v>
      </c>
      <c r="BG34" s="51">
        <v>0</v>
      </c>
      <c r="BH34" s="51">
        <v>0</v>
      </c>
      <c r="BI34" s="51">
        <v>0</v>
      </c>
      <c r="BJ34" s="51">
        <v>0</v>
      </c>
      <c r="BK34" s="51">
        <v>0</v>
      </c>
      <c r="BL34" s="51">
        <v>0</v>
      </c>
      <c r="BM34" s="51">
        <v>0</v>
      </c>
      <c r="BN34" s="51">
        <v>0</v>
      </c>
      <c r="BO34" s="51">
        <v>0</v>
      </c>
    </row>
    <row r="35" spans="1:67" ht="16.5" customHeight="1" outlineLevel="1">
      <c r="A35" s="1"/>
      <c r="B35" s="55">
        <f t="shared" si="6"/>
        <v>44923</v>
      </c>
      <c r="C35" s="17" t="s">
        <v>104</v>
      </c>
      <c r="D35" s="46">
        <f t="shared" si="7"/>
        <v>24</v>
      </c>
      <c r="E35" s="16"/>
      <c r="F35" s="16"/>
      <c r="G35" s="16"/>
      <c r="H35" s="16" t="s">
        <v>155</v>
      </c>
      <c r="I35" s="46">
        <f>IF(H35=Forecast!$H$195,T35,IF(H35=Forecast!$H$196,BO35,IF(H35=Forecast!$H$197,SUM(T35:BO35),IF(H35=Forecast!$H$198,AVERAGE(T35:BO35),0))))</f>
        <v>2908.8592099324974</v>
      </c>
      <c r="J35" s="16"/>
      <c r="K35" s="16"/>
      <c r="L35" s="16"/>
      <c r="M35" s="16"/>
      <c r="N35" s="16"/>
      <c r="O35" s="16"/>
      <c r="P35" s="16"/>
      <c r="Q35" s="16"/>
      <c r="R35" s="16"/>
      <c r="S35" s="51">
        <f t="shared" si="5"/>
        <v>583.97804867754473</v>
      </c>
      <c r="T35" s="51">
        <f t="shared" ref="T35:T58" si="8">T36*0.95</f>
        <v>583.97804867754473</v>
      </c>
      <c r="U35" s="51">
        <f t="shared" ref="U35:AR35" si="9">T35*0.8</f>
        <v>467.18243894203579</v>
      </c>
      <c r="V35" s="51">
        <f t="shared" si="9"/>
        <v>373.74595115362865</v>
      </c>
      <c r="W35" s="51">
        <f t="shared" si="9"/>
        <v>298.99676092290292</v>
      </c>
      <c r="X35" s="51">
        <f t="shared" si="9"/>
        <v>239.19740873832234</v>
      </c>
      <c r="Y35" s="51">
        <f t="shared" si="9"/>
        <v>191.35792699065789</v>
      </c>
      <c r="Z35" s="51">
        <f t="shared" si="9"/>
        <v>153.08634159252631</v>
      </c>
      <c r="AA35" s="51">
        <f t="shared" si="9"/>
        <v>122.46907327402106</v>
      </c>
      <c r="AB35" s="51">
        <f t="shared" si="9"/>
        <v>97.975258619216845</v>
      </c>
      <c r="AC35" s="51">
        <f t="shared" si="9"/>
        <v>78.380206895373476</v>
      </c>
      <c r="AD35" s="51">
        <f t="shared" si="9"/>
        <v>62.704165516298787</v>
      </c>
      <c r="AE35" s="51">
        <f t="shared" si="9"/>
        <v>50.163332413039029</v>
      </c>
      <c r="AF35" s="51">
        <f t="shared" si="9"/>
        <v>40.130665930431228</v>
      </c>
      <c r="AG35" s="51">
        <f t="shared" si="9"/>
        <v>32.104532744344986</v>
      </c>
      <c r="AH35" s="51">
        <f t="shared" si="9"/>
        <v>25.683626195475991</v>
      </c>
      <c r="AI35" s="51">
        <f t="shared" si="9"/>
        <v>20.546900956380796</v>
      </c>
      <c r="AJ35" s="51">
        <f t="shared" si="9"/>
        <v>16.437520765104637</v>
      </c>
      <c r="AK35" s="51">
        <f t="shared" si="9"/>
        <v>13.150016612083711</v>
      </c>
      <c r="AL35" s="51">
        <f t="shared" si="9"/>
        <v>10.52001328966697</v>
      </c>
      <c r="AM35" s="51">
        <f t="shared" si="9"/>
        <v>8.4160106317335757</v>
      </c>
      <c r="AN35" s="51">
        <f t="shared" si="9"/>
        <v>6.7328085053868607</v>
      </c>
      <c r="AO35" s="51">
        <f t="shared" si="9"/>
        <v>5.3862468043094891</v>
      </c>
      <c r="AP35" s="51">
        <f t="shared" si="9"/>
        <v>4.3089974434475913</v>
      </c>
      <c r="AQ35" s="51">
        <f t="shared" si="9"/>
        <v>3.4471979547580731</v>
      </c>
      <c r="AR35" s="51">
        <f t="shared" si="9"/>
        <v>2.7577583638064587</v>
      </c>
      <c r="AS35" s="51"/>
      <c r="AT35" s="51"/>
      <c r="AU35" s="51"/>
      <c r="AV35" s="51"/>
      <c r="AW35" s="51"/>
      <c r="AX35" s="51"/>
      <c r="AY35" s="51"/>
      <c r="AZ35" s="51"/>
      <c r="BA35" s="51"/>
      <c r="BB35" s="51"/>
      <c r="BC35" s="51">
        <v>0</v>
      </c>
      <c r="BD35" s="51">
        <v>0</v>
      </c>
      <c r="BE35" s="51">
        <v>0</v>
      </c>
      <c r="BF35" s="51">
        <v>0</v>
      </c>
      <c r="BG35" s="51">
        <v>0</v>
      </c>
      <c r="BH35" s="51">
        <v>0</v>
      </c>
      <c r="BI35" s="51">
        <v>0</v>
      </c>
      <c r="BJ35" s="51">
        <v>0</v>
      </c>
      <c r="BK35" s="51">
        <v>0</v>
      </c>
      <c r="BL35" s="51">
        <v>0</v>
      </c>
      <c r="BM35" s="51">
        <v>0</v>
      </c>
      <c r="BN35" s="51">
        <v>0</v>
      </c>
      <c r="BO35" s="51">
        <v>0</v>
      </c>
    </row>
    <row r="36" spans="1:67" ht="16.5" customHeight="1" outlineLevel="1">
      <c r="A36" s="1"/>
      <c r="B36" s="55">
        <f t="shared" si="6"/>
        <v>44954</v>
      </c>
      <c r="C36" s="17" t="s">
        <v>104</v>
      </c>
      <c r="D36" s="46">
        <f t="shared" si="7"/>
        <v>25</v>
      </c>
      <c r="E36" s="16"/>
      <c r="F36" s="16"/>
      <c r="G36" s="16"/>
      <c r="H36" s="16" t="s">
        <v>155</v>
      </c>
      <c r="I36" s="46">
        <f>IF(H36=Forecast!$H$195,T36,IF(H36=Forecast!$H$196,BO36,IF(H36=Forecast!$H$197,SUM(T36:BO36),IF(H36=Forecast!$H$198,AVERAGE(T36:BO36),0))))</f>
        <v>3059.0541595459927</v>
      </c>
      <c r="J36" s="16"/>
      <c r="K36" s="16"/>
      <c r="L36" s="16"/>
      <c r="M36" s="16"/>
      <c r="N36" s="16"/>
      <c r="O36" s="16"/>
      <c r="P36" s="16"/>
      <c r="Q36" s="16"/>
      <c r="R36" s="16"/>
      <c r="S36" s="51">
        <f t="shared" si="5"/>
        <v>614.71373545004712</v>
      </c>
      <c r="T36" s="51">
        <f t="shared" si="8"/>
        <v>614.71373545004712</v>
      </c>
      <c r="U36" s="51">
        <f t="shared" ref="U36:AQ36" si="10">T36*0.8</f>
        <v>491.77098836003773</v>
      </c>
      <c r="V36" s="51">
        <f t="shared" si="10"/>
        <v>393.41679068803023</v>
      </c>
      <c r="W36" s="51">
        <f t="shared" si="10"/>
        <v>314.7334325504242</v>
      </c>
      <c r="X36" s="51">
        <f t="shared" si="10"/>
        <v>251.78674604033938</v>
      </c>
      <c r="Y36" s="51">
        <f t="shared" si="10"/>
        <v>201.42939683227152</v>
      </c>
      <c r="Z36" s="51">
        <f t="shared" si="10"/>
        <v>161.14351746581724</v>
      </c>
      <c r="AA36" s="51">
        <f t="shared" si="10"/>
        <v>128.9148139726538</v>
      </c>
      <c r="AB36" s="51">
        <f t="shared" si="10"/>
        <v>103.13185117812304</v>
      </c>
      <c r="AC36" s="51">
        <f t="shared" si="10"/>
        <v>82.505480942498437</v>
      </c>
      <c r="AD36" s="51">
        <f t="shared" si="10"/>
        <v>66.00438475399875</v>
      </c>
      <c r="AE36" s="51">
        <f t="shared" si="10"/>
        <v>52.803507803199004</v>
      </c>
      <c r="AF36" s="51">
        <f t="shared" si="10"/>
        <v>42.242806242559205</v>
      </c>
      <c r="AG36" s="51">
        <f t="shared" si="10"/>
        <v>33.794244994047368</v>
      </c>
      <c r="AH36" s="51">
        <f t="shared" si="10"/>
        <v>27.035395995237895</v>
      </c>
      <c r="AI36" s="51">
        <f t="shared" si="10"/>
        <v>21.628316796190319</v>
      </c>
      <c r="AJ36" s="51">
        <f t="shared" si="10"/>
        <v>17.302653436952255</v>
      </c>
      <c r="AK36" s="51">
        <f t="shared" si="10"/>
        <v>13.842122749561804</v>
      </c>
      <c r="AL36" s="51">
        <f t="shared" si="10"/>
        <v>11.073698199649444</v>
      </c>
      <c r="AM36" s="51">
        <f t="shared" si="10"/>
        <v>8.8589585597195555</v>
      </c>
      <c r="AN36" s="51">
        <f t="shared" si="10"/>
        <v>7.0871668477756451</v>
      </c>
      <c r="AO36" s="51">
        <f t="shared" si="10"/>
        <v>5.6697334782205164</v>
      </c>
      <c r="AP36" s="51">
        <f t="shared" si="10"/>
        <v>4.5357867825764133</v>
      </c>
      <c r="AQ36" s="51">
        <f t="shared" si="10"/>
        <v>3.6286294260611309</v>
      </c>
      <c r="AR36" s="51"/>
      <c r="AS36" s="51"/>
      <c r="AT36" s="51"/>
      <c r="AU36" s="51"/>
      <c r="AV36" s="51"/>
      <c r="AW36" s="51"/>
      <c r="AX36" s="51"/>
      <c r="AY36" s="51"/>
      <c r="AZ36" s="51"/>
      <c r="BA36" s="51"/>
      <c r="BB36" s="51"/>
      <c r="BC36" s="51">
        <v>0</v>
      </c>
      <c r="BD36" s="51">
        <v>0</v>
      </c>
      <c r="BE36" s="51">
        <v>0</v>
      </c>
      <c r="BF36" s="51">
        <v>0</v>
      </c>
      <c r="BG36" s="51">
        <v>0</v>
      </c>
      <c r="BH36" s="51">
        <v>0</v>
      </c>
      <c r="BI36" s="51">
        <v>0</v>
      </c>
      <c r="BJ36" s="51">
        <v>0</v>
      </c>
      <c r="BK36" s="51">
        <v>0</v>
      </c>
      <c r="BL36" s="51">
        <v>0</v>
      </c>
      <c r="BM36" s="51">
        <v>0</v>
      </c>
      <c r="BN36" s="51">
        <v>0</v>
      </c>
      <c r="BO36" s="51">
        <v>0</v>
      </c>
    </row>
    <row r="37" spans="1:67" ht="16.5" customHeight="1" outlineLevel="1">
      <c r="A37" s="1"/>
      <c r="B37" s="55">
        <f t="shared" si="6"/>
        <v>44985</v>
      </c>
      <c r="C37" s="17" t="s">
        <v>104</v>
      </c>
      <c r="D37" s="46">
        <f t="shared" si="7"/>
        <v>26</v>
      </c>
      <c r="E37" s="16"/>
      <c r="F37" s="16"/>
      <c r="G37" s="16"/>
      <c r="H37" s="16" t="s">
        <v>155</v>
      </c>
      <c r="I37" s="46">
        <f>IF(H37=Forecast!$H$195,T37,IF(H37=Forecast!$H$196,BO37,IF(H37=Forecast!$H$197,SUM(T37:BO37),IF(H37=Forecast!$H$198,AVERAGE(T37:BO37),0))))</f>
        <v>3216.2374001262424</v>
      </c>
      <c r="J37" s="16"/>
      <c r="K37" s="16"/>
      <c r="L37" s="16"/>
      <c r="M37" s="16"/>
      <c r="N37" s="16"/>
      <c r="O37" s="16"/>
      <c r="P37" s="16"/>
      <c r="Q37" s="16"/>
      <c r="R37" s="16"/>
      <c r="S37" s="51">
        <f t="shared" si="5"/>
        <v>647.06708994741803</v>
      </c>
      <c r="T37" s="51">
        <f t="shared" si="8"/>
        <v>647.06708994741803</v>
      </c>
      <c r="U37" s="51">
        <f t="shared" ref="U37:AP37" si="11">T37*0.8</f>
        <v>517.65367195793442</v>
      </c>
      <c r="V37" s="51">
        <f t="shared" si="11"/>
        <v>414.12293756634756</v>
      </c>
      <c r="W37" s="51">
        <f t="shared" si="11"/>
        <v>331.29835005307808</v>
      </c>
      <c r="X37" s="51">
        <f t="shared" si="11"/>
        <v>265.03868004246249</v>
      </c>
      <c r="Y37" s="51">
        <f t="shared" si="11"/>
        <v>212.03094403397</v>
      </c>
      <c r="Z37" s="51">
        <f t="shared" si="11"/>
        <v>169.62475522717602</v>
      </c>
      <c r="AA37" s="51">
        <f t="shared" si="11"/>
        <v>135.69980418174083</v>
      </c>
      <c r="AB37" s="51">
        <f t="shared" si="11"/>
        <v>108.55984334539266</v>
      </c>
      <c r="AC37" s="51">
        <f t="shared" si="11"/>
        <v>86.847874676314134</v>
      </c>
      <c r="AD37" s="51">
        <f t="shared" si="11"/>
        <v>69.478299741051316</v>
      </c>
      <c r="AE37" s="51">
        <f t="shared" si="11"/>
        <v>55.582639792841057</v>
      </c>
      <c r="AF37" s="51">
        <f t="shared" si="11"/>
        <v>44.466111834272851</v>
      </c>
      <c r="AG37" s="51">
        <f t="shared" si="11"/>
        <v>35.572889467418285</v>
      </c>
      <c r="AH37" s="51">
        <f t="shared" si="11"/>
        <v>28.45831157393463</v>
      </c>
      <c r="AI37" s="51">
        <f t="shared" si="11"/>
        <v>22.766649259147705</v>
      </c>
      <c r="AJ37" s="51">
        <f t="shared" si="11"/>
        <v>18.213319407318163</v>
      </c>
      <c r="AK37" s="51">
        <f t="shared" si="11"/>
        <v>14.570655525854532</v>
      </c>
      <c r="AL37" s="51">
        <f t="shared" si="11"/>
        <v>11.656524420683626</v>
      </c>
      <c r="AM37" s="51">
        <f t="shared" si="11"/>
        <v>9.3252195365469017</v>
      </c>
      <c r="AN37" s="51">
        <f t="shared" si="11"/>
        <v>7.4601756292375221</v>
      </c>
      <c r="AO37" s="51">
        <f t="shared" si="11"/>
        <v>5.9681405033900177</v>
      </c>
      <c r="AP37" s="51">
        <f t="shared" si="11"/>
        <v>4.7745124027120145</v>
      </c>
      <c r="AQ37" s="51"/>
      <c r="AR37" s="51"/>
      <c r="AS37" s="51"/>
      <c r="AT37" s="51"/>
      <c r="AU37" s="51"/>
      <c r="AV37" s="51"/>
      <c r="AW37" s="51"/>
      <c r="AX37" s="51"/>
      <c r="AY37" s="51"/>
      <c r="AZ37" s="51"/>
      <c r="BA37" s="51"/>
      <c r="BB37" s="51"/>
      <c r="BC37" s="51">
        <v>0</v>
      </c>
      <c r="BD37" s="51">
        <v>0</v>
      </c>
      <c r="BE37" s="51">
        <v>0</v>
      </c>
      <c r="BF37" s="51">
        <v>0</v>
      </c>
      <c r="BG37" s="51">
        <v>0</v>
      </c>
      <c r="BH37" s="51">
        <v>0</v>
      </c>
      <c r="BI37" s="51">
        <v>0</v>
      </c>
      <c r="BJ37" s="51">
        <v>0</v>
      </c>
      <c r="BK37" s="51">
        <v>0</v>
      </c>
      <c r="BL37" s="51">
        <v>0</v>
      </c>
      <c r="BM37" s="51">
        <v>0</v>
      </c>
      <c r="BN37" s="51">
        <v>0</v>
      </c>
      <c r="BO37" s="51">
        <v>0</v>
      </c>
    </row>
    <row r="38" spans="1:67" ht="16.5" customHeight="1" outlineLevel="1">
      <c r="A38" s="1"/>
      <c r="B38" s="55">
        <f t="shared" si="6"/>
        <v>45013</v>
      </c>
      <c r="C38" s="17" t="s">
        <v>104</v>
      </c>
      <c r="D38" s="46">
        <f t="shared" si="7"/>
        <v>27</v>
      </c>
      <c r="E38" s="16"/>
      <c r="F38" s="16"/>
      <c r="G38" s="16"/>
      <c r="H38" s="16" t="s">
        <v>155</v>
      </c>
      <c r="I38" s="46">
        <f>IF(H38=Forecast!$H$195,T38,IF(H38=Forecast!$H$196,BO38,IF(H38=Forecast!$H$197,SUM(T38:BO38),IF(H38=Forecast!$H$198,AVERAGE(T38:BO38),0))))</f>
        <v>3380.4872502352955</v>
      </c>
      <c r="J38" s="16"/>
      <c r="K38" s="16"/>
      <c r="L38" s="16"/>
      <c r="M38" s="16"/>
      <c r="N38" s="16"/>
      <c r="O38" s="16"/>
      <c r="P38" s="16"/>
      <c r="Q38" s="16"/>
      <c r="R38" s="16"/>
      <c r="S38" s="51">
        <f t="shared" si="5"/>
        <v>681.12325257622956</v>
      </c>
      <c r="T38" s="51">
        <f t="shared" si="8"/>
        <v>681.12325257622956</v>
      </c>
      <c r="U38" s="51">
        <f t="shared" ref="U38:AO38" si="12">T38*0.8</f>
        <v>544.89860206098365</v>
      </c>
      <c r="V38" s="51">
        <f t="shared" si="12"/>
        <v>435.91888164878696</v>
      </c>
      <c r="W38" s="51">
        <f t="shared" si="12"/>
        <v>348.73510531902957</v>
      </c>
      <c r="X38" s="51">
        <f t="shared" si="12"/>
        <v>278.98808425522367</v>
      </c>
      <c r="Y38" s="51">
        <f t="shared" si="12"/>
        <v>223.19046740417895</v>
      </c>
      <c r="Z38" s="51">
        <f t="shared" si="12"/>
        <v>178.55237392334317</v>
      </c>
      <c r="AA38" s="51">
        <f t="shared" si="12"/>
        <v>142.84189913867453</v>
      </c>
      <c r="AB38" s="51">
        <f t="shared" si="12"/>
        <v>114.27351931093963</v>
      </c>
      <c r="AC38" s="51">
        <f t="shared" si="12"/>
        <v>91.418815448751715</v>
      </c>
      <c r="AD38" s="51">
        <f t="shared" si="12"/>
        <v>73.135052359001378</v>
      </c>
      <c r="AE38" s="51">
        <f t="shared" si="12"/>
        <v>58.508041887201102</v>
      </c>
      <c r="AF38" s="51">
        <f t="shared" si="12"/>
        <v>46.806433509760886</v>
      </c>
      <c r="AG38" s="51">
        <f t="shared" si="12"/>
        <v>37.445146807808712</v>
      </c>
      <c r="AH38" s="51">
        <f t="shared" si="12"/>
        <v>29.956117446246971</v>
      </c>
      <c r="AI38" s="51">
        <f t="shared" si="12"/>
        <v>23.964893956997578</v>
      </c>
      <c r="AJ38" s="51">
        <f t="shared" si="12"/>
        <v>19.171915165598062</v>
      </c>
      <c r="AK38" s="51">
        <f t="shared" si="12"/>
        <v>15.337532132478451</v>
      </c>
      <c r="AL38" s="51">
        <f t="shared" si="12"/>
        <v>12.270025705982761</v>
      </c>
      <c r="AM38" s="51">
        <f t="shared" si="12"/>
        <v>9.8160205647862089</v>
      </c>
      <c r="AN38" s="51">
        <f t="shared" si="12"/>
        <v>7.8528164518289678</v>
      </c>
      <c r="AO38" s="51">
        <f t="shared" si="12"/>
        <v>6.2822531614631743</v>
      </c>
      <c r="AP38" s="51"/>
      <c r="AQ38" s="51"/>
      <c r="AR38" s="51"/>
      <c r="AS38" s="51"/>
      <c r="AT38" s="51"/>
      <c r="AU38" s="51"/>
      <c r="AV38" s="51"/>
      <c r="AW38" s="51"/>
      <c r="AX38" s="51"/>
      <c r="AY38" s="51"/>
      <c r="AZ38" s="51"/>
      <c r="BA38" s="51"/>
      <c r="BB38" s="51"/>
      <c r="BC38" s="51">
        <v>0</v>
      </c>
      <c r="BD38" s="51">
        <v>0</v>
      </c>
      <c r="BE38" s="51">
        <v>0</v>
      </c>
      <c r="BF38" s="51">
        <v>0</v>
      </c>
      <c r="BG38" s="51">
        <v>0</v>
      </c>
      <c r="BH38" s="51">
        <v>0</v>
      </c>
      <c r="BI38" s="51">
        <v>0</v>
      </c>
      <c r="BJ38" s="51">
        <v>0</v>
      </c>
      <c r="BK38" s="51">
        <v>0</v>
      </c>
      <c r="BL38" s="51">
        <v>0</v>
      </c>
      <c r="BM38" s="51">
        <v>0</v>
      </c>
      <c r="BN38" s="51">
        <v>0</v>
      </c>
      <c r="BO38" s="51">
        <v>0</v>
      </c>
    </row>
    <row r="39" spans="1:67" ht="16.5" customHeight="1" outlineLevel="1">
      <c r="A39" s="1"/>
      <c r="B39" s="55">
        <f t="shared" si="6"/>
        <v>45044</v>
      </c>
      <c r="C39" s="17" t="s">
        <v>104</v>
      </c>
      <c r="D39" s="46">
        <f t="shared" si="7"/>
        <v>28</v>
      </c>
      <c r="E39" s="16"/>
      <c r="F39" s="16"/>
      <c r="G39" s="16"/>
      <c r="H39" s="16" t="s">
        <v>155</v>
      </c>
      <c r="I39" s="46">
        <f>IF(H39=Forecast!$H$195,T39,IF(H39=Forecast!$H$196,BO39,IF(H39=Forecast!$H$197,SUM(T39:BO39),IF(H39=Forecast!$H$198,AVERAGE(T39:BO39),0))))</f>
        <v>3551.7947337619303</v>
      </c>
      <c r="J39" s="16"/>
      <c r="K39" s="16"/>
      <c r="L39" s="16"/>
      <c r="M39" s="16"/>
      <c r="N39" s="16"/>
      <c r="O39" s="16"/>
      <c r="P39" s="16"/>
      <c r="Q39" s="16"/>
      <c r="R39" s="16"/>
      <c r="S39" s="51">
        <f t="shared" si="5"/>
        <v>716.97184481708382</v>
      </c>
      <c r="T39" s="51">
        <f t="shared" si="8"/>
        <v>716.97184481708382</v>
      </c>
      <c r="U39" s="51">
        <f t="shared" ref="U39:AN39" si="13">T39*0.8</f>
        <v>573.57747585366712</v>
      </c>
      <c r="V39" s="51">
        <f t="shared" si="13"/>
        <v>458.86198068293373</v>
      </c>
      <c r="W39" s="51">
        <f t="shared" si="13"/>
        <v>367.089584546347</v>
      </c>
      <c r="X39" s="51">
        <f t="shared" si="13"/>
        <v>293.67166763707763</v>
      </c>
      <c r="Y39" s="51">
        <f t="shared" si="13"/>
        <v>234.93733410966212</v>
      </c>
      <c r="Z39" s="51">
        <f t="shared" si="13"/>
        <v>187.94986728772972</v>
      </c>
      <c r="AA39" s="51">
        <f t="shared" si="13"/>
        <v>150.35989383018378</v>
      </c>
      <c r="AB39" s="51">
        <f t="shared" si="13"/>
        <v>120.28791506414703</v>
      </c>
      <c r="AC39" s="51">
        <f t="shared" si="13"/>
        <v>96.230332051317632</v>
      </c>
      <c r="AD39" s="51">
        <f t="shared" si="13"/>
        <v>76.984265641054108</v>
      </c>
      <c r="AE39" s="51">
        <f t="shared" si="13"/>
        <v>61.587412512843287</v>
      </c>
      <c r="AF39" s="51">
        <f t="shared" si="13"/>
        <v>49.269930010274635</v>
      </c>
      <c r="AG39" s="51">
        <f t="shared" si="13"/>
        <v>39.415944008219711</v>
      </c>
      <c r="AH39" s="51">
        <f t="shared" si="13"/>
        <v>31.532755206575771</v>
      </c>
      <c r="AI39" s="51">
        <f t="shared" si="13"/>
        <v>25.226204165260619</v>
      </c>
      <c r="AJ39" s="51">
        <f t="shared" si="13"/>
        <v>20.180963332208496</v>
      </c>
      <c r="AK39" s="51">
        <f t="shared" si="13"/>
        <v>16.144770665766796</v>
      </c>
      <c r="AL39" s="51">
        <f t="shared" si="13"/>
        <v>12.915816532613437</v>
      </c>
      <c r="AM39" s="51">
        <f t="shared" si="13"/>
        <v>10.33265322609075</v>
      </c>
      <c r="AN39" s="51">
        <f t="shared" si="13"/>
        <v>8.2661225808726009</v>
      </c>
      <c r="AO39" s="51"/>
      <c r="AP39" s="51"/>
      <c r="AQ39" s="51"/>
      <c r="AR39" s="51"/>
      <c r="AS39" s="51"/>
      <c r="AT39" s="51"/>
      <c r="AU39" s="51"/>
      <c r="AV39" s="51"/>
      <c r="AW39" s="51"/>
      <c r="AX39" s="51"/>
      <c r="AY39" s="51"/>
      <c r="AZ39" s="51"/>
      <c r="BA39" s="51"/>
      <c r="BB39" s="51"/>
      <c r="BC39" s="51">
        <v>0</v>
      </c>
      <c r="BD39" s="51">
        <v>0</v>
      </c>
      <c r="BE39" s="51">
        <v>0</v>
      </c>
      <c r="BF39" s="51">
        <v>0</v>
      </c>
      <c r="BG39" s="51">
        <v>0</v>
      </c>
      <c r="BH39" s="51">
        <v>0</v>
      </c>
      <c r="BI39" s="51">
        <v>0</v>
      </c>
      <c r="BJ39" s="51">
        <v>0</v>
      </c>
      <c r="BK39" s="51">
        <v>0</v>
      </c>
      <c r="BL39" s="51">
        <v>0</v>
      </c>
      <c r="BM39" s="51">
        <v>0</v>
      </c>
      <c r="BN39" s="51">
        <v>0</v>
      </c>
      <c r="BO39" s="51">
        <v>0</v>
      </c>
    </row>
    <row r="40" spans="1:67" ht="16.5" customHeight="1" outlineLevel="1">
      <c r="A40" s="1"/>
      <c r="B40" s="55">
        <f t="shared" si="6"/>
        <v>45074</v>
      </c>
      <c r="C40" s="17" t="s">
        <v>104</v>
      </c>
      <c r="D40" s="46">
        <f t="shared" si="7"/>
        <v>29</v>
      </c>
      <c r="E40" s="16"/>
      <c r="F40" s="16"/>
      <c r="G40" s="16"/>
      <c r="H40" s="16" t="s">
        <v>155</v>
      </c>
      <c r="I40" s="46">
        <f>IF(H40=Forecast!$H$195,T40,IF(H40=Forecast!$H$196,BO40,IF(H40=Forecast!$H$197,SUM(T40:BO40),IF(H40=Forecast!$H$198,AVERAGE(T40:BO40),0))))</f>
        <v>3719.1536399525962</v>
      </c>
      <c r="J40" s="16"/>
      <c r="K40" s="16"/>
      <c r="L40" s="16"/>
      <c r="M40" s="16"/>
      <c r="N40" s="16"/>
      <c r="O40" s="16"/>
      <c r="P40" s="16"/>
      <c r="Q40" s="16"/>
      <c r="R40" s="16"/>
      <c r="S40" s="51">
        <f t="shared" si="5"/>
        <v>754.70720507061458</v>
      </c>
      <c r="T40" s="51">
        <f t="shared" si="8"/>
        <v>754.70720507061458</v>
      </c>
      <c r="U40" s="51">
        <f t="shared" ref="U40:AL40" si="14">T40*0.8</f>
        <v>603.76576405649166</v>
      </c>
      <c r="V40" s="51">
        <f t="shared" si="14"/>
        <v>483.01261124519334</v>
      </c>
      <c r="W40" s="51">
        <f t="shared" si="14"/>
        <v>386.41008899615468</v>
      </c>
      <c r="X40" s="51">
        <f t="shared" si="14"/>
        <v>309.12807119692377</v>
      </c>
      <c r="Y40" s="51">
        <f t="shared" si="14"/>
        <v>247.30245695753902</v>
      </c>
      <c r="Z40" s="51">
        <f t="shared" si="14"/>
        <v>197.84196556603123</v>
      </c>
      <c r="AA40" s="51">
        <f t="shared" si="14"/>
        <v>158.27357245282499</v>
      </c>
      <c r="AB40" s="51">
        <f t="shared" si="14"/>
        <v>126.61885796225999</v>
      </c>
      <c r="AC40" s="51">
        <f t="shared" si="14"/>
        <v>101.295086369808</v>
      </c>
      <c r="AD40" s="51">
        <f t="shared" si="14"/>
        <v>81.036069095846415</v>
      </c>
      <c r="AE40" s="51">
        <f t="shared" si="14"/>
        <v>64.828855276677132</v>
      </c>
      <c r="AF40" s="51">
        <f t="shared" si="14"/>
        <v>51.863084221341708</v>
      </c>
      <c r="AG40" s="51">
        <f t="shared" si="14"/>
        <v>41.490467377073372</v>
      </c>
      <c r="AH40" s="51">
        <f t="shared" si="14"/>
        <v>33.192373901658698</v>
      </c>
      <c r="AI40" s="51">
        <f t="shared" si="14"/>
        <v>26.55389912132696</v>
      </c>
      <c r="AJ40" s="51">
        <f t="shared" si="14"/>
        <v>21.243119297061568</v>
      </c>
      <c r="AK40" s="51">
        <f t="shared" si="14"/>
        <v>16.994495437649256</v>
      </c>
      <c r="AL40" s="51">
        <f t="shared" si="14"/>
        <v>13.595596350119406</v>
      </c>
      <c r="AM40" s="51"/>
      <c r="AN40" s="51"/>
      <c r="AO40" s="51"/>
      <c r="AP40" s="51"/>
      <c r="AQ40" s="51"/>
      <c r="AR40" s="51"/>
      <c r="AS40" s="51"/>
      <c r="AT40" s="51"/>
      <c r="AU40" s="51"/>
      <c r="AV40" s="51"/>
      <c r="AW40" s="51"/>
      <c r="AX40" s="51"/>
      <c r="AY40" s="51"/>
      <c r="AZ40" s="51"/>
      <c r="BA40" s="51"/>
      <c r="BB40" s="51"/>
      <c r="BC40" s="51">
        <v>0</v>
      </c>
      <c r="BD40" s="51">
        <v>0</v>
      </c>
      <c r="BE40" s="51">
        <v>0</v>
      </c>
      <c r="BF40" s="51">
        <v>0</v>
      </c>
      <c r="BG40" s="51">
        <v>0</v>
      </c>
      <c r="BH40" s="51">
        <v>0</v>
      </c>
      <c r="BI40" s="51">
        <v>0</v>
      </c>
      <c r="BJ40" s="51">
        <v>0</v>
      </c>
      <c r="BK40" s="51">
        <v>0</v>
      </c>
      <c r="BL40" s="51">
        <v>0</v>
      </c>
      <c r="BM40" s="51">
        <v>0</v>
      </c>
      <c r="BN40" s="51">
        <v>0</v>
      </c>
      <c r="BO40" s="51">
        <v>0</v>
      </c>
    </row>
    <row r="41" spans="1:67" ht="16.5" customHeight="1" outlineLevel="1">
      <c r="A41" s="1"/>
      <c r="B41" s="55">
        <f t="shared" si="6"/>
        <v>45105</v>
      </c>
      <c r="C41" s="17" t="s">
        <v>104</v>
      </c>
      <c r="D41" s="46">
        <f t="shared" si="7"/>
        <v>30</v>
      </c>
      <c r="E41" s="16"/>
      <c r="F41" s="16"/>
      <c r="G41" s="16"/>
      <c r="H41" s="16" t="s">
        <v>155</v>
      </c>
      <c r="I41" s="46">
        <f>IF(H41=Forecast!$H$195,T41,IF(H41=Forecast!$H$196,BO41,IF(H41=Forecast!$H$197,SUM(T41:BO41),IF(H41=Forecast!$H$198,AVERAGE(T41:BO41),0))))</f>
        <v>3914.8985683711539</v>
      </c>
      <c r="J41" s="16"/>
      <c r="K41" s="16"/>
      <c r="L41" s="16"/>
      <c r="M41" s="16"/>
      <c r="N41" s="16"/>
      <c r="O41" s="16"/>
      <c r="P41" s="16"/>
      <c r="Q41" s="16"/>
      <c r="R41" s="16"/>
      <c r="S41" s="51">
        <f t="shared" si="5"/>
        <v>794.4286369164364</v>
      </c>
      <c r="T41" s="51">
        <f t="shared" si="8"/>
        <v>794.4286369164364</v>
      </c>
      <c r="U41" s="51">
        <f t="shared" ref="U41:AL41" si="15">T41*0.8</f>
        <v>635.54290953314921</v>
      </c>
      <c r="V41" s="51">
        <f t="shared" si="15"/>
        <v>508.4343276265194</v>
      </c>
      <c r="W41" s="51">
        <f t="shared" si="15"/>
        <v>406.74746210121555</v>
      </c>
      <c r="X41" s="51">
        <f t="shared" si="15"/>
        <v>325.39796968097244</v>
      </c>
      <c r="Y41" s="51">
        <f t="shared" si="15"/>
        <v>260.31837574477794</v>
      </c>
      <c r="Z41" s="51">
        <f t="shared" si="15"/>
        <v>208.25470059582236</v>
      </c>
      <c r="AA41" s="51">
        <f t="shared" si="15"/>
        <v>166.6037604766579</v>
      </c>
      <c r="AB41" s="51">
        <f t="shared" si="15"/>
        <v>133.28300838132631</v>
      </c>
      <c r="AC41" s="51">
        <f t="shared" si="15"/>
        <v>106.62640670506106</v>
      </c>
      <c r="AD41" s="51">
        <f t="shared" si="15"/>
        <v>85.301125364048858</v>
      </c>
      <c r="AE41" s="51">
        <f t="shared" si="15"/>
        <v>68.240900291239086</v>
      </c>
      <c r="AF41" s="51">
        <f t="shared" si="15"/>
        <v>54.592720232991269</v>
      </c>
      <c r="AG41" s="51">
        <f t="shared" si="15"/>
        <v>43.674176186393019</v>
      </c>
      <c r="AH41" s="51">
        <f t="shared" si="15"/>
        <v>34.939340949114417</v>
      </c>
      <c r="AI41" s="51">
        <f t="shared" si="15"/>
        <v>27.951472759291534</v>
      </c>
      <c r="AJ41" s="51">
        <f t="shared" si="15"/>
        <v>22.361178207433227</v>
      </c>
      <c r="AK41" s="51">
        <f t="shared" si="15"/>
        <v>17.888942565946582</v>
      </c>
      <c r="AL41" s="51">
        <f t="shared" si="15"/>
        <v>14.311154052757267</v>
      </c>
      <c r="AM41" s="51"/>
      <c r="AN41" s="51"/>
      <c r="AO41" s="51"/>
      <c r="AP41" s="51"/>
      <c r="AQ41" s="51"/>
      <c r="AR41" s="51"/>
      <c r="AS41" s="51"/>
      <c r="AT41" s="51"/>
      <c r="AU41" s="51"/>
      <c r="AV41" s="51"/>
      <c r="AW41" s="51"/>
      <c r="AX41" s="51"/>
      <c r="AY41" s="51"/>
      <c r="AZ41" s="51"/>
      <c r="BA41" s="51"/>
      <c r="BB41" s="51"/>
      <c r="BC41" s="51">
        <v>0</v>
      </c>
      <c r="BD41" s="51">
        <v>0</v>
      </c>
      <c r="BE41" s="51">
        <v>0</v>
      </c>
      <c r="BF41" s="51">
        <v>0</v>
      </c>
      <c r="BG41" s="51">
        <v>0</v>
      </c>
      <c r="BH41" s="51">
        <v>0</v>
      </c>
      <c r="BI41" s="51">
        <v>0</v>
      </c>
      <c r="BJ41" s="51">
        <v>0</v>
      </c>
      <c r="BK41" s="51">
        <v>0</v>
      </c>
      <c r="BL41" s="51">
        <v>0</v>
      </c>
      <c r="BM41" s="51">
        <v>0</v>
      </c>
      <c r="BN41" s="51">
        <v>0</v>
      </c>
      <c r="BO41" s="51">
        <v>0</v>
      </c>
    </row>
    <row r="42" spans="1:67" ht="16.5" customHeight="1" outlineLevel="1">
      <c r="A42" s="1"/>
      <c r="B42" s="55">
        <f t="shared" si="6"/>
        <v>45135</v>
      </c>
      <c r="C42" s="17" t="s">
        <v>104</v>
      </c>
      <c r="D42" s="46">
        <f t="shared" si="7"/>
        <v>31</v>
      </c>
      <c r="E42" s="16"/>
      <c r="F42" s="16"/>
      <c r="G42" s="16"/>
      <c r="H42" s="16" t="s">
        <v>155</v>
      </c>
      <c r="I42" s="46">
        <f>IF(H42=Forecast!$H$195,T42,IF(H42=Forecast!$H$196,BO42,IF(H42=Forecast!$H$197,SUM(T42:BO42),IF(H42=Forecast!$H$198,AVERAGE(T42:BO42),0))))</f>
        <v>4105.8814887562075</v>
      </c>
      <c r="J42" s="16"/>
      <c r="K42" s="16"/>
      <c r="L42" s="16"/>
      <c r="M42" s="16"/>
      <c r="N42" s="16"/>
      <c r="O42" s="16"/>
      <c r="P42" s="16"/>
      <c r="Q42" s="16"/>
      <c r="R42" s="16"/>
      <c r="S42" s="51">
        <f t="shared" si="5"/>
        <v>836.24067043835419</v>
      </c>
      <c r="T42" s="51">
        <f t="shared" si="8"/>
        <v>836.24067043835419</v>
      </c>
      <c r="U42" s="51">
        <f t="shared" ref="U42:AK42" si="16">T42*0.8</f>
        <v>668.99253635068339</v>
      </c>
      <c r="V42" s="51">
        <f t="shared" si="16"/>
        <v>535.19402908054678</v>
      </c>
      <c r="W42" s="51">
        <f t="shared" si="16"/>
        <v>428.15522326443744</v>
      </c>
      <c r="X42" s="51">
        <f t="shared" si="16"/>
        <v>342.52417861154998</v>
      </c>
      <c r="Y42" s="51">
        <f t="shared" si="16"/>
        <v>274.01934288924002</v>
      </c>
      <c r="Z42" s="51">
        <f t="shared" si="16"/>
        <v>219.21547431139203</v>
      </c>
      <c r="AA42" s="51">
        <f t="shared" si="16"/>
        <v>175.37237944911362</v>
      </c>
      <c r="AB42" s="51">
        <f t="shared" si="16"/>
        <v>140.29790355929092</v>
      </c>
      <c r="AC42" s="51">
        <f t="shared" si="16"/>
        <v>112.23832284743274</v>
      </c>
      <c r="AD42" s="51">
        <f t="shared" si="16"/>
        <v>89.790658277946193</v>
      </c>
      <c r="AE42" s="51">
        <f t="shared" si="16"/>
        <v>71.832526622356951</v>
      </c>
      <c r="AF42" s="51">
        <f t="shared" si="16"/>
        <v>57.466021297885561</v>
      </c>
      <c r="AG42" s="51">
        <f t="shared" si="16"/>
        <v>45.972817038308449</v>
      </c>
      <c r="AH42" s="51">
        <f t="shared" si="16"/>
        <v>36.778253630646759</v>
      </c>
      <c r="AI42" s="51">
        <f t="shared" si="16"/>
        <v>29.422602904517408</v>
      </c>
      <c r="AJ42" s="51">
        <f t="shared" si="16"/>
        <v>23.538082323613928</v>
      </c>
      <c r="AK42" s="51">
        <f t="shared" si="16"/>
        <v>18.830465858891142</v>
      </c>
      <c r="AL42" s="51"/>
      <c r="AM42" s="51"/>
      <c r="AN42" s="51"/>
      <c r="AO42" s="51"/>
      <c r="AP42" s="51"/>
      <c r="AQ42" s="51"/>
      <c r="AR42" s="51"/>
      <c r="AS42" s="51"/>
      <c r="AT42" s="51"/>
      <c r="AU42" s="51"/>
      <c r="AV42" s="51"/>
      <c r="AW42" s="51"/>
      <c r="AX42" s="51"/>
      <c r="AY42" s="51"/>
      <c r="AZ42" s="51"/>
      <c r="BA42" s="51"/>
      <c r="BB42" s="51"/>
      <c r="BC42" s="51">
        <v>0</v>
      </c>
      <c r="BD42" s="51">
        <v>0</v>
      </c>
      <c r="BE42" s="51">
        <v>0</v>
      </c>
      <c r="BF42" s="51">
        <v>0</v>
      </c>
      <c r="BG42" s="51">
        <v>0</v>
      </c>
      <c r="BH42" s="51">
        <v>0</v>
      </c>
      <c r="BI42" s="51">
        <v>0</v>
      </c>
      <c r="BJ42" s="51">
        <v>0</v>
      </c>
      <c r="BK42" s="51">
        <v>0</v>
      </c>
      <c r="BL42" s="51">
        <v>0</v>
      </c>
      <c r="BM42" s="51">
        <v>0</v>
      </c>
      <c r="BN42" s="51">
        <v>0</v>
      </c>
      <c r="BO42" s="51">
        <v>0</v>
      </c>
    </row>
    <row r="43" spans="1:67" ht="16.5" customHeight="1" outlineLevel="1">
      <c r="A43" s="1"/>
      <c r="B43" s="55">
        <f t="shared" si="6"/>
        <v>45166</v>
      </c>
      <c r="C43" s="17" t="s">
        <v>104</v>
      </c>
      <c r="D43" s="46">
        <f t="shared" si="7"/>
        <v>32</v>
      </c>
      <c r="E43" s="16"/>
      <c r="F43" s="16"/>
      <c r="G43" s="16"/>
      <c r="H43" s="16" t="s">
        <v>155</v>
      </c>
      <c r="I43" s="46">
        <f>IF(H43=Forecast!$H$195,T43,IF(H43=Forecast!$H$196,BO43,IF(H43=Forecast!$H$197,SUM(T43:BO43),IF(H43=Forecast!$H$198,AVERAGE(T43:BO43),0))))</f>
        <v>4302.1589714708598</v>
      </c>
      <c r="J43" s="16"/>
      <c r="K43" s="16"/>
      <c r="L43" s="16"/>
      <c r="M43" s="16"/>
      <c r="N43" s="16"/>
      <c r="O43" s="16"/>
      <c r="P43" s="16"/>
      <c r="Q43" s="16"/>
      <c r="R43" s="16"/>
      <c r="S43" s="51">
        <f t="shared" si="5"/>
        <v>880.25333730353077</v>
      </c>
      <c r="T43" s="51">
        <f t="shared" si="8"/>
        <v>880.25333730353077</v>
      </c>
      <c r="U43" s="51">
        <f t="shared" ref="U43:AJ43" si="17">T43*0.8</f>
        <v>704.20266984282466</v>
      </c>
      <c r="V43" s="51">
        <f t="shared" si="17"/>
        <v>563.36213587425971</v>
      </c>
      <c r="W43" s="51">
        <f t="shared" si="17"/>
        <v>450.68970869940779</v>
      </c>
      <c r="X43" s="51">
        <f t="shared" si="17"/>
        <v>360.55176695952628</v>
      </c>
      <c r="Y43" s="51">
        <f t="shared" si="17"/>
        <v>288.44141356762105</v>
      </c>
      <c r="Z43" s="51">
        <f t="shared" si="17"/>
        <v>230.75313085409687</v>
      </c>
      <c r="AA43" s="51">
        <f t="shared" si="17"/>
        <v>184.60250468327752</v>
      </c>
      <c r="AB43" s="51">
        <f t="shared" si="17"/>
        <v>147.68200374662203</v>
      </c>
      <c r="AC43" s="51">
        <f t="shared" si="17"/>
        <v>118.14560299729763</v>
      </c>
      <c r="AD43" s="51">
        <f t="shared" si="17"/>
        <v>94.516482397838104</v>
      </c>
      <c r="AE43" s="51">
        <f t="shared" si="17"/>
        <v>75.613185918270489</v>
      </c>
      <c r="AF43" s="51">
        <f t="shared" si="17"/>
        <v>60.490548734616397</v>
      </c>
      <c r="AG43" s="51">
        <f t="shared" si="17"/>
        <v>48.392438987693119</v>
      </c>
      <c r="AH43" s="51">
        <f t="shared" si="17"/>
        <v>38.713951190154496</v>
      </c>
      <c r="AI43" s="51">
        <f t="shared" si="17"/>
        <v>30.971160952123597</v>
      </c>
      <c r="AJ43" s="51">
        <f t="shared" si="17"/>
        <v>24.77692876169888</v>
      </c>
      <c r="AK43" s="51"/>
      <c r="AL43" s="51"/>
      <c r="AM43" s="51"/>
      <c r="AN43" s="51"/>
      <c r="AO43" s="51"/>
      <c r="AP43" s="51"/>
      <c r="AQ43" s="51"/>
      <c r="AR43" s="51"/>
      <c r="AS43" s="51"/>
      <c r="AT43" s="51"/>
      <c r="AU43" s="51"/>
      <c r="AV43" s="51"/>
      <c r="AW43" s="51"/>
      <c r="AX43" s="51"/>
      <c r="AY43" s="51"/>
      <c r="AZ43" s="51"/>
      <c r="BA43" s="51"/>
      <c r="BB43" s="51"/>
      <c r="BC43" s="51">
        <v>0</v>
      </c>
      <c r="BD43" s="51">
        <v>0</v>
      </c>
      <c r="BE43" s="51">
        <v>0</v>
      </c>
      <c r="BF43" s="51">
        <v>0</v>
      </c>
      <c r="BG43" s="51">
        <v>0</v>
      </c>
      <c r="BH43" s="51">
        <v>0</v>
      </c>
      <c r="BI43" s="51">
        <v>0</v>
      </c>
      <c r="BJ43" s="51">
        <v>0</v>
      </c>
      <c r="BK43" s="51">
        <v>0</v>
      </c>
      <c r="BL43" s="51">
        <v>0</v>
      </c>
      <c r="BM43" s="51">
        <v>0</v>
      </c>
      <c r="BN43" s="51">
        <v>0</v>
      </c>
      <c r="BO43" s="51">
        <v>0</v>
      </c>
    </row>
    <row r="44" spans="1:67" ht="16.5" customHeight="1" outlineLevel="1">
      <c r="A44" s="1"/>
      <c r="B44" s="55">
        <f t="shared" si="6"/>
        <v>45197</v>
      </c>
      <c r="C44" s="17" t="s">
        <v>104</v>
      </c>
      <c r="D44" s="46">
        <f t="shared" si="7"/>
        <v>33</v>
      </c>
      <c r="E44" s="16"/>
      <c r="F44" s="16"/>
      <c r="G44" s="16"/>
      <c r="H44" s="16" t="s">
        <v>155</v>
      </c>
      <c r="I44" s="46">
        <f>IF(H44=Forecast!$H$195,T44,IF(H44=Forecast!$H$196,BO44,IF(H44=Forecast!$H$197,SUM(T44:BO44),IF(H44=Forecast!$H$198,AVERAGE(T44:BO44),0))))</f>
        <v>4502.5074133780654</v>
      </c>
      <c r="J44" s="16"/>
      <c r="K44" s="16"/>
      <c r="L44" s="16"/>
      <c r="M44" s="16"/>
      <c r="N44" s="16"/>
      <c r="O44" s="16"/>
      <c r="P44" s="16"/>
      <c r="Q44" s="16"/>
      <c r="R44" s="16"/>
      <c r="S44" s="51">
        <f t="shared" si="5"/>
        <v>926.58246031950614</v>
      </c>
      <c r="T44" s="51">
        <f t="shared" si="8"/>
        <v>926.58246031950614</v>
      </c>
      <c r="U44" s="51">
        <f t="shared" ref="U44:AI44" si="18">T44*0.8</f>
        <v>741.265968255605</v>
      </c>
      <c r="V44" s="51">
        <f t="shared" si="18"/>
        <v>593.01277460448398</v>
      </c>
      <c r="W44" s="51">
        <f t="shared" si="18"/>
        <v>474.41021968358723</v>
      </c>
      <c r="X44" s="51">
        <f t="shared" si="18"/>
        <v>379.52817574686981</v>
      </c>
      <c r="Y44" s="51">
        <f t="shared" si="18"/>
        <v>303.62254059749586</v>
      </c>
      <c r="Z44" s="51">
        <f t="shared" si="18"/>
        <v>242.89803247799671</v>
      </c>
      <c r="AA44" s="51">
        <f t="shared" si="18"/>
        <v>194.31842598239737</v>
      </c>
      <c r="AB44" s="51">
        <f t="shared" si="18"/>
        <v>155.45474078591792</v>
      </c>
      <c r="AC44" s="51">
        <f t="shared" si="18"/>
        <v>124.36379262873434</v>
      </c>
      <c r="AD44" s="51">
        <f t="shared" si="18"/>
        <v>99.491034102987484</v>
      </c>
      <c r="AE44" s="51">
        <f t="shared" si="18"/>
        <v>79.59282728238999</v>
      </c>
      <c r="AF44" s="51">
        <f t="shared" si="18"/>
        <v>63.674261825911998</v>
      </c>
      <c r="AG44" s="51">
        <f t="shared" si="18"/>
        <v>50.9394094607296</v>
      </c>
      <c r="AH44" s="51">
        <f t="shared" si="18"/>
        <v>40.751527568583683</v>
      </c>
      <c r="AI44" s="51">
        <f t="shared" si="18"/>
        <v>32.601222054866945</v>
      </c>
      <c r="AJ44" s="51"/>
      <c r="AK44" s="51"/>
      <c r="AL44" s="51"/>
      <c r="AM44" s="51"/>
      <c r="AN44" s="51"/>
      <c r="AO44" s="51"/>
      <c r="AP44" s="51"/>
      <c r="AQ44" s="51"/>
      <c r="AR44" s="51"/>
      <c r="AS44" s="51"/>
      <c r="AT44" s="51"/>
      <c r="AU44" s="51"/>
      <c r="AV44" s="51"/>
      <c r="AW44" s="51"/>
      <c r="AX44" s="51"/>
      <c r="AY44" s="51"/>
      <c r="AZ44" s="51"/>
      <c r="BA44" s="51"/>
      <c r="BB44" s="51"/>
      <c r="BC44" s="51">
        <v>0</v>
      </c>
      <c r="BD44" s="51">
        <v>0</v>
      </c>
      <c r="BE44" s="51">
        <v>0</v>
      </c>
      <c r="BF44" s="51">
        <v>0</v>
      </c>
      <c r="BG44" s="51">
        <v>0</v>
      </c>
      <c r="BH44" s="51">
        <v>0</v>
      </c>
      <c r="BI44" s="51">
        <v>0</v>
      </c>
      <c r="BJ44" s="51">
        <v>0</v>
      </c>
      <c r="BK44" s="51">
        <v>0</v>
      </c>
      <c r="BL44" s="51">
        <v>0</v>
      </c>
      <c r="BM44" s="51">
        <v>0</v>
      </c>
      <c r="BN44" s="51">
        <v>0</v>
      </c>
      <c r="BO44" s="51">
        <v>0</v>
      </c>
    </row>
    <row r="45" spans="1:67" ht="16.5" customHeight="1" outlineLevel="1">
      <c r="A45" s="1"/>
      <c r="B45" s="55">
        <f t="shared" si="6"/>
        <v>45227</v>
      </c>
      <c r="C45" s="17" t="s">
        <v>104</v>
      </c>
      <c r="D45" s="46">
        <f t="shared" si="7"/>
        <v>34</v>
      </c>
      <c r="E45" s="16"/>
      <c r="F45" s="16"/>
      <c r="G45" s="16"/>
      <c r="H45" s="16" t="s">
        <v>155</v>
      </c>
      <c r="I45" s="46">
        <f>IF(H45=Forecast!$H$195,T45,IF(H45=Forecast!$H$196,BO45,IF(H45=Forecast!$H$197,SUM(T45:BO45),IF(H45=Forecast!$H$198,AVERAGE(T45:BO45),0))))</f>
        <v>4705.164411919156</v>
      </c>
      <c r="J45" s="16"/>
      <c r="K45" s="16"/>
      <c r="L45" s="16"/>
      <c r="M45" s="16"/>
      <c r="N45" s="16"/>
      <c r="O45" s="16"/>
      <c r="P45" s="16"/>
      <c r="Q45" s="16"/>
      <c r="R45" s="16"/>
      <c r="S45" s="51">
        <f t="shared" si="5"/>
        <v>975.34995823105919</v>
      </c>
      <c r="T45" s="51">
        <f t="shared" si="8"/>
        <v>975.34995823105919</v>
      </c>
      <c r="U45" s="51">
        <f t="shared" ref="U45:AH45" si="19">T45*0.8</f>
        <v>780.27996658484744</v>
      </c>
      <c r="V45" s="51">
        <f t="shared" si="19"/>
        <v>624.22397326787802</v>
      </c>
      <c r="W45" s="51">
        <f t="shared" si="19"/>
        <v>499.37917861430242</v>
      </c>
      <c r="X45" s="51">
        <f t="shared" si="19"/>
        <v>399.50334289144195</v>
      </c>
      <c r="Y45" s="51">
        <f t="shared" si="19"/>
        <v>319.60267431315356</v>
      </c>
      <c r="Z45" s="51">
        <f t="shared" si="19"/>
        <v>255.68213945052287</v>
      </c>
      <c r="AA45" s="51">
        <f t="shared" si="19"/>
        <v>204.54571156041831</v>
      </c>
      <c r="AB45" s="51">
        <f t="shared" si="19"/>
        <v>163.63656924833467</v>
      </c>
      <c r="AC45" s="51">
        <f t="shared" si="19"/>
        <v>130.90925539866774</v>
      </c>
      <c r="AD45" s="51">
        <f t="shared" si="19"/>
        <v>104.72740431893419</v>
      </c>
      <c r="AE45" s="51">
        <f t="shared" si="19"/>
        <v>83.781923455147364</v>
      </c>
      <c r="AF45" s="51">
        <f t="shared" si="19"/>
        <v>67.025538764117897</v>
      </c>
      <c r="AG45" s="51">
        <f t="shared" si="19"/>
        <v>53.620431011294322</v>
      </c>
      <c r="AH45" s="51">
        <f t="shared" si="19"/>
        <v>42.896344809035462</v>
      </c>
      <c r="AI45" s="51"/>
      <c r="AJ45" s="51"/>
      <c r="AK45" s="51"/>
      <c r="AL45" s="51"/>
      <c r="AM45" s="51"/>
      <c r="AN45" s="51"/>
      <c r="AO45" s="51"/>
      <c r="AP45" s="51"/>
      <c r="AQ45" s="51"/>
      <c r="AR45" s="51"/>
      <c r="AS45" s="51"/>
      <c r="AT45" s="51"/>
      <c r="AU45" s="51"/>
      <c r="AV45" s="51"/>
      <c r="AW45" s="51"/>
      <c r="AX45" s="51"/>
      <c r="AY45" s="51"/>
      <c r="AZ45" s="51"/>
      <c r="BA45" s="51"/>
      <c r="BB45" s="51"/>
      <c r="BC45" s="51">
        <v>0</v>
      </c>
      <c r="BD45" s="51">
        <v>0</v>
      </c>
      <c r="BE45" s="51">
        <v>0</v>
      </c>
      <c r="BF45" s="51">
        <v>0</v>
      </c>
      <c r="BG45" s="51">
        <v>0</v>
      </c>
      <c r="BH45" s="51">
        <v>0</v>
      </c>
      <c r="BI45" s="51">
        <v>0</v>
      </c>
      <c r="BJ45" s="51">
        <v>0</v>
      </c>
      <c r="BK45" s="51">
        <v>0</v>
      </c>
      <c r="BL45" s="51">
        <v>0</v>
      </c>
      <c r="BM45" s="51">
        <v>0</v>
      </c>
      <c r="BN45" s="51">
        <v>0</v>
      </c>
      <c r="BO45" s="51">
        <v>0</v>
      </c>
    </row>
    <row r="46" spans="1:67" ht="16.5" customHeight="1" outlineLevel="1">
      <c r="A46" s="1"/>
      <c r="B46" s="55">
        <f t="shared" si="6"/>
        <v>45258</v>
      </c>
      <c r="C46" s="17" t="s">
        <v>104</v>
      </c>
      <c r="D46" s="46">
        <f t="shared" si="7"/>
        <v>35</v>
      </c>
      <c r="E46" s="16"/>
      <c r="F46" s="16"/>
      <c r="G46" s="16"/>
      <c r="H46" s="16" t="s">
        <v>155</v>
      </c>
      <c r="I46" s="46">
        <f>IF(H46=Forecast!$H$195,T46,IF(H46=Forecast!$H$196,BO46,IF(H46=Forecast!$H$197,SUM(T46:BO46),IF(H46=Forecast!$H$198,AVERAGE(T46:BO46),0))))</f>
        <v>4907.650596958023</v>
      </c>
      <c r="J46" s="16"/>
      <c r="K46" s="16"/>
      <c r="L46" s="16"/>
      <c r="M46" s="16"/>
      <c r="N46" s="16"/>
      <c r="O46" s="16"/>
      <c r="P46" s="16"/>
      <c r="Q46" s="16"/>
      <c r="R46" s="16"/>
      <c r="S46" s="51">
        <f t="shared" si="5"/>
        <v>1026.6841665590098</v>
      </c>
      <c r="T46" s="51">
        <f t="shared" si="8"/>
        <v>1026.6841665590098</v>
      </c>
      <c r="U46" s="51">
        <f t="shared" ref="U46:AG46" si="20">T46*0.8</f>
        <v>821.34733324720787</v>
      </c>
      <c r="V46" s="51">
        <f t="shared" si="20"/>
        <v>657.07786659776639</v>
      </c>
      <c r="W46" s="51">
        <f t="shared" si="20"/>
        <v>525.66229327821316</v>
      </c>
      <c r="X46" s="51">
        <f t="shared" si="20"/>
        <v>420.52983462257055</v>
      </c>
      <c r="Y46" s="51">
        <f t="shared" si="20"/>
        <v>336.42386769805648</v>
      </c>
      <c r="Z46" s="51">
        <f t="shared" si="20"/>
        <v>269.13909415844518</v>
      </c>
      <c r="AA46" s="51">
        <f t="shared" si="20"/>
        <v>215.31127532675615</v>
      </c>
      <c r="AB46" s="51">
        <f t="shared" si="20"/>
        <v>172.24902026140492</v>
      </c>
      <c r="AC46" s="51">
        <f t="shared" si="20"/>
        <v>137.79921620912395</v>
      </c>
      <c r="AD46" s="51">
        <f t="shared" si="20"/>
        <v>110.23937296729918</v>
      </c>
      <c r="AE46" s="51">
        <f t="shared" si="20"/>
        <v>88.191498373839352</v>
      </c>
      <c r="AF46" s="51">
        <f t="shared" si="20"/>
        <v>70.553198699071487</v>
      </c>
      <c r="AG46" s="51">
        <f t="shared" si="20"/>
        <v>56.442558959257191</v>
      </c>
      <c r="AH46" s="51"/>
      <c r="AI46" s="51"/>
      <c r="AJ46" s="51"/>
      <c r="AK46" s="51"/>
      <c r="AL46" s="51"/>
      <c r="AM46" s="51"/>
      <c r="AN46" s="51"/>
      <c r="AO46" s="51"/>
      <c r="AP46" s="51"/>
      <c r="AQ46" s="51"/>
      <c r="AR46" s="51"/>
      <c r="AS46" s="51"/>
      <c r="AT46" s="51"/>
      <c r="AU46" s="51"/>
      <c r="AV46" s="51"/>
      <c r="AW46" s="51"/>
      <c r="AX46" s="51"/>
      <c r="AY46" s="51"/>
      <c r="AZ46" s="51"/>
      <c r="BA46" s="51"/>
      <c r="BB46" s="51"/>
      <c r="BC46" s="51">
        <v>0</v>
      </c>
      <c r="BD46" s="51">
        <v>0</v>
      </c>
      <c r="BE46" s="51">
        <v>0</v>
      </c>
      <c r="BF46" s="51">
        <v>0</v>
      </c>
      <c r="BG46" s="51">
        <v>0</v>
      </c>
      <c r="BH46" s="51">
        <v>0</v>
      </c>
      <c r="BI46" s="51">
        <v>0</v>
      </c>
      <c r="BJ46" s="51">
        <v>0</v>
      </c>
      <c r="BK46" s="51">
        <v>0</v>
      </c>
      <c r="BL46" s="51">
        <v>0</v>
      </c>
      <c r="BM46" s="51">
        <v>0</v>
      </c>
      <c r="BN46" s="51">
        <v>0</v>
      </c>
      <c r="BO46" s="51">
        <v>0</v>
      </c>
    </row>
    <row r="47" spans="1:67" ht="16.5" customHeight="1" outlineLevel="1">
      <c r="A47" s="1"/>
      <c r="B47" s="55">
        <f t="shared" si="6"/>
        <v>45288</v>
      </c>
      <c r="C47" s="17" t="s">
        <v>104</v>
      </c>
      <c r="D47" s="46">
        <f t="shared" si="7"/>
        <v>36</v>
      </c>
      <c r="E47" s="16"/>
      <c r="F47" s="16"/>
      <c r="G47" s="16"/>
      <c r="H47" s="16" t="s">
        <v>155</v>
      </c>
      <c r="I47" s="46">
        <f>IF(H47=Forecast!$H$195,T47,IF(H47=Forecast!$H$196,BO47,IF(H47=Forecast!$H$197,SUM(T47:BO47),IF(H47=Forecast!$H$198,AVERAGE(T47:BO47),0))))</f>
        <v>5106.5347768408037</v>
      </c>
      <c r="J47" s="16"/>
      <c r="K47" s="16"/>
      <c r="L47" s="16"/>
      <c r="M47" s="16"/>
      <c r="N47" s="16"/>
      <c r="O47" s="16"/>
      <c r="P47" s="16"/>
      <c r="Q47" s="16"/>
      <c r="R47" s="16"/>
      <c r="S47" s="51">
        <f t="shared" si="5"/>
        <v>1080.7201753252734</v>
      </c>
      <c r="T47" s="51">
        <f t="shared" si="8"/>
        <v>1080.7201753252734</v>
      </c>
      <c r="U47" s="51">
        <f t="shared" ref="U47:AF47" si="21">T47*0.8</f>
        <v>864.57614026021884</v>
      </c>
      <c r="V47" s="51">
        <f t="shared" si="21"/>
        <v>691.66091220817509</v>
      </c>
      <c r="W47" s="51">
        <f t="shared" si="21"/>
        <v>553.32872976654005</v>
      </c>
      <c r="X47" s="51">
        <f t="shared" si="21"/>
        <v>442.66298381323207</v>
      </c>
      <c r="Y47" s="51">
        <f t="shared" si="21"/>
        <v>354.13038705058568</v>
      </c>
      <c r="Z47" s="51">
        <f t="shared" si="21"/>
        <v>283.30430964046855</v>
      </c>
      <c r="AA47" s="51">
        <f t="shared" si="21"/>
        <v>226.64344771237484</v>
      </c>
      <c r="AB47" s="51">
        <f t="shared" si="21"/>
        <v>181.31475816989987</v>
      </c>
      <c r="AC47" s="51">
        <f t="shared" si="21"/>
        <v>145.05180653591989</v>
      </c>
      <c r="AD47" s="51">
        <f t="shared" si="21"/>
        <v>116.04144522873592</v>
      </c>
      <c r="AE47" s="51">
        <f t="shared" si="21"/>
        <v>92.833156182988745</v>
      </c>
      <c r="AF47" s="51">
        <f t="shared" si="21"/>
        <v>74.266524946391002</v>
      </c>
      <c r="AG47" s="51"/>
      <c r="AH47" s="51"/>
      <c r="AI47" s="51"/>
      <c r="AJ47" s="51"/>
      <c r="AK47" s="51"/>
      <c r="AL47" s="51"/>
      <c r="AM47" s="51"/>
      <c r="AN47" s="51"/>
      <c r="AO47" s="51"/>
      <c r="AP47" s="51"/>
      <c r="AQ47" s="51"/>
      <c r="AR47" s="51"/>
      <c r="AS47" s="51"/>
      <c r="AT47" s="51"/>
      <c r="AU47" s="51"/>
      <c r="AV47" s="51"/>
      <c r="AW47" s="51"/>
      <c r="AX47" s="51"/>
      <c r="AY47" s="51"/>
      <c r="AZ47" s="51"/>
      <c r="BA47" s="51"/>
      <c r="BB47" s="51"/>
      <c r="BC47" s="51">
        <v>0</v>
      </c>
      <c r="BD47" s="51">
        <v>0</v>
      </c>
      <c r="BE47" s="51">
        <v>0</v>
      </c>
      <c r="BF47" s="51">
        <v>0</v>
      </c>
      <c r="BG47" s="51">
        <v>0</v>
      </c>
      <c r="BH47" s="51">
        <v>0</v>
      </c>
      <c r="BI47" s="51">
        <v>0</v>
      </c>
      <c r="BJ47" s="51">
        <v>0</v>
      </c>
      <c r="BK47" s="51">
        <v>0</v>
      </c>
      <c r="BL47" s="51">
        <v>0</v>
      </c>
      <c r="BM47" s="51">
        <v>0</v>
      </c>
      <c r="BN47" s="51">
        <v>0</v>
      </c>
      <c r="BO47" s="51">
        <v>0</v>
      </c>
    </row>
    <row r="48" spans="1:67" ht="16.5" customHeight="1" outlineLevel="1">
      <c r="A48" s="1"/>
      <c r="B48" s="55">
        <f t="shared" si="6"/>
        <v>45319</v>
      </c>
      <c r="C48" s="17" t="s">
        <v>104</v>
      </c>
      <c r="D48" s="46">
        <f t="shared" si="7"/>
        <v>37</v>
      </c>
      <c r="E48" s="16"/>
      <c r="F48" s="16"/>
      <c r="G48" s="16"/>
      <c r="H48" s="16" t="s">
        <v>155</v>
      </c>
      <c r="I48" s="46">
        <f>IF(H48=Forecast!$H$195,T48,IF(H48=Forecast!$H$196,BO48,IF(H48=Forecast!$H$197,SUM(T48:BO48),IF(H48=Forecast!$H$198,AVERAGE(T48:BO48),0))))</f>
        <v>5297.1244756783308</v>
      </c>
      <c r="J48" s="16"/>
      <c r="K48" s="16"/>
      <c r="L48" s="16"/>
      <c r="M48" s="16"/>
      <c r="N48" s="16"/>
      <c r="O48" s="16"/>
      <c r="P48" s="16"/>
      <c r="Q48" s="16"/>
      <c r="R48" s="16"/>
      <c r="S48" s="51">
        <f t="shared" si="5"/>
        <v>1137.6001845529195</v>
      </c>
      <c r="T48" s="51">
        <f t="shared" si="8"/>
        <v>1137.6001845529195</v>
      </c>
      <c r="U48" s="51">
        <f t="shared" ref="U48:AE48" si="22">T48*0.8</f>
        <v>910.08014764233565</v>
      </c>
      <c r="V48" s="51">
        <f t="shared" si="22"/>
        <v>728.06411811386852</v>
      </c>
      <c r="W48" s="51">
        <f t="shared" si="22"/>
        <v>582.45129449109481</v>
      </c>
      <c r="X48" s="51">
        <f t="shared" si="22"/>
        <v>465.96103559287587</v>
      </c>
      <c r="Y48" s="51">
        <f t="shared" si="22"/>
        <v>372.76882847430073</v>
      </c>
      <c r="Z48" s="51">
        <f t="shared" si="22"/>
        <v>298.21506277944059</v>
      </c>
      <c r="AA48" s="51">
        <f t="shared" si="22"/>
        <v>238.57205022355248</v>
      </c>
      <c r="AB48" s="51">
        <f t="shared" si="22"/>
        <v>190.85764017884199</v>
      </c>
      <c r="AC48" s="51">
        <f t="shared" si="22"/>
        <v>152.68611214307359</v>
      </c>
      <c r="AD48" s="51">
        <f t="shared" si="22"/>
        <v>122.14888971445887</v>
      </c>
      <c r="AE48" s="51">
        <f t="shared" si="22"/>
        <v>97.7191117715671</v>
      </c>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v>0</v>
      </c>
      <c r="BD48" s="51">
        <v>0</v>
      </c>
      <c r="BE48" s="51">
        <v>0</v>
      </c>
      <c r="BF48" s="51">
        <v>0</v>
      </c>
      <c r="BG48" s="51">
        <v>0</v>
      </c>
      <c r="BH48" s="51">
        <v>0</v>
      </c>
      <c r="BI48" s="51">
        <v>0</v>
      </c>
      <c r="BJ48" s="51">
        <v>0</v>
      </c>
      <c r="BK48" s="51">
        <v>0</v>
      </c>
      <c r="BL48" s="51">
        <v>0</v>
      </c>
      <c r="BM48" s="51">
        <v>0</v>
      </c>
      <c r="BN48" s="51">
        <v>0</v>
      </c>
      <c r="BO48" s="51">
        <v>0</v>
      </c>
    </row>
    <row r="49" spans="1:67" ht="16.5" customHeight="1" outlineLevel="1">
      <c r="A49" s="1"/>
      <c r="B49" s="55">
        <f t="shared" si="6"/>
        <v>45350</v>
      </c>
      <c r="C49" s="17" t="s">
        <v>104</v>
      </c>
      <c r="D49" s="46">
        <f t="shared" si="7"/>
        <v>38</v>
      </c>
      <c r="E49" s="16"/>
      <c r="F49" s="16"/>
      <c r="G49" s="16"/>
      <c r="H49" s="16" t="s">
        <v>155</v>
      </c>
      <c r="I49" s="46">
        <f>IF(H49=Forecast!$H$195,T49,IF(H49=Forecast!$H$196,BO49,IF(H49=Forecast!$H$197,SUM(T49:BO49),IF(H49=Forecast!$H$198,AVERAGE(T49:BO49),0))))</f>
        <v>5473.0582777965919</v>
      </c>
      <c r="J49" s="16"/>
      <c r="K49" s="16"/>
      <c r="L49" s="16"/>
      <c r="M49" s="16"/>
      <c r="N49" s="16"/>
      <c r="O49" s="16"/>
      <c r="P49" s="16"/>
      <c r="Q49" s="16"/>
      <c r="R49" s="16"/>
      <c r="S49" s="51">
        <f t="shared" si="5"/>
        <v>1197.4738784767574</v>
      </c>
      <c r="T49" s="51">
        <f t="shared" si="8"/>
        <v>1197.4738784767574</v>
      </c>
      <c r="U49" s="51">
        <f t="shared" ref="U49:AD49" si="23">T49*0.8</f>
        <v>957.97910278140591</v>
      </c>
      <c r="V49" s="51">
        <f t="shared" si="23"/>
        <v>766.38328222512473</v>
      </c>
      <c r="W49" s="51">
        <f t="shared" si="23"/>
        <v>613.10662578009976</v>
      </c>
      <c r="X49" s="51">
        <f t="shared" si="23"/>
        <v>490.48530062407985</v>
      </c>
      <c r="Y49" s="51">
        <f t="shared" si="23"/>
        <v>392.38824049926393</v>
      </c>
      <c r="Z49" s="51">
        <f t="shared" si="23"/>
        <v>313.91059239941114</v>
      </c>
      <c r="AA49" s="51">
        <f t="shared" si="23"/>
        <v>251.12847391952891</v>
      </c>
      <c r="AB49" s="51">
        <f t="shared" si="23"/>
        <v>200.90277913562315</v>
      </c>
      <c r="AC49" s="51">
        <f t="shared" si="23"/>
        <v>160.72222330849854</v>
      </c>
      <c r="AD49" s="51">
        <f t="shared" si="23"/>
        <v>128.57777864679883</v>
      </c>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v>0</v>
      </c>
      <c r="BD49" s="51">
        <v>0</v>
      </c>
      <c r="BE49" s="51">
        <v>0</v>
      </c>
      <c r="BF49" s="51">
        <v>0</v>
      </c>
      <c r="BG49" s="51">
        <v>0</v>
      </c>
      <c r="BH49" s="51">
        <v>0</v>
      </c>
      <c r="BI49" s="51">
        <v>0</v>
      </c>
      <c r="BJ49" s="51">
        <v>0</v>
      </c>
      <c r="BK49" s="51">
        <v>0</v>
      </c>
      <c r="BL49" s="51">
        <v>0</v>
      </c>
      <c r="BM49" s="51">
        <v>0</v>
      </c>
      <c r="BN49" s="51">
        <v>0</v>
      </c>
      <c r="BO49" s="51">
        <v>0</v>
      </c>
    </row>
    <row r="50" spans="1:67" ht="16.5" customHeight="1" outlineLevel="1">
      <c r="A50" s="1"/>
      <c r="B50" s="55">
        <f t="shared" si="6"/>
        <v>45379</v>
      </c>
      <c r="C50" s="17" t="s">
        <v>104</v>
      </c>
      <c r="D50" s="46">
        <f t="shared" si="7"/>
        <v>39</v>
      </c>
      <c r="E50" s="16"/>
      <c r="F50" s="16"/>
      <c r="G50" s="16"/>
      <c r="H50" s="16" t="s">
        <v>155</v>
      </c>
      <c r="I50" s="46">
        <f>IF(H50=Forecast!$H$195,T50,IF(H50=Forecast!$H$196,BO50,IF(H50=Forecast!$H$197,SUM(T50:BO50),IF(H50=Forecast!$H$198,AVERAGE(T50:BO50),0))))</f>
        <v>5625.7689464734658</v>
      </c>
      <c r="J50" s="16"/>
      <c r="K50" s="16"/>
      <c r="L50" s="16"/>
      <c r="M50" s="16"/>
      <c r="N50" s="16"/>
      <c r="O50" s="16"/>
      <c r="P50" s="16"/>
      <c r="Q50" s="16"/>
      <c r="R50" s="16"/>
      <c r="S50" s="51">
        <f t="shared" si="5"/>
        <v>1260.4988194492182</v>
      </c>
      <c r="T50" s="51">
        <f t="shared" si="8"/>
        <v>1260.4988194492182</v>
      </c>
      <c r="U50" s="51">
        <f t="shared" ref="U50:AC50" si="24">T50*0.8</f>
        <v>1008.3990555593746</v>
      </c>
      <c r="V50" s="51">
        <f t="shared" si="24"/>
        <v>806.7192444474997</v>
      </c>
      <c r="W50" s="51">
        <f t="shared" si="24"/>
        <v>645.37539555799981</v>
      </c>
      <c r="X50" s="51">
        <f t="shared" si="24"/>
        <v>516.30031644639985</v>
      </c>
      <c r="Y50" s="51">
        <f t="shared" si="24"/>
        <v>413.04025315711988</v>
      </c>
      <c r="Z50" s="51">
        <f t="shared" si="24"/>
        <v>330.43220252569591</v>
      </c>
      <c r="AA50" s="51">
        <f t="shared" si="24"/>
        <v>264.34576202055672</v>
      </c>
      <c r="AB50" s="51">
        <f t="shared" si="24"/>
        <v>211.47660961644539</v>
      </c>
      <c r="AC50" s="51">
        <f t="shared" si="24"/>
        <v>169.18128769315632</v>
      </c>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v>0</v>
      </c>
      <c r="BD50" s="51">
        <v>0</v>
      </c>
      <c r="BE50" s="51">
        <v>0</v>
      </c>
      <c r="BF50" s="51">
        <v>0</v>
      </c>
      <c r="BG50" s="51">
        <v>0</v>
      </c>
      <c r="BH50" s="51">
        <v>0</v>
      </c>
      <c r="BI50" s="51">
        <v>0</v>
      </c>
      <c r="BJ50" s="51">
        <v>0</v>
      </c>
      <c r="BK50" s="51">
        <v>0</v>
      </c>
      <c r="BL50" s="51">
        <v>0</v>
      </c>
      <c r="BM50" s="51">
        <v>0</v>
      </c>
      <c r="BN50" s="51">
        <v>0</v>
      </c>
      <c r="BO50" s="51">
        <v>0</v>
      </c>
    </row>
    <row r="51" spans="1:67" ht="16.5" customHeight="1" outlineLevel="1">
      <c r="A51" s="1"/>
      <c r="B51" s="55">
        <f t="shared" si="6"/>
        <v>45410</v>
      </c>
      <c r="C51" s="17" t="s">
        <v>104</v>
      </c>
      <c r="D51" s="46">
        <f t="shared" si="7"/>
        <v>40</v>
      </c>
      <c r="E51" s="16"/>
      <c r="F51" s="16"/>
      <c r="G51" s="16"/>
      <c r="H51" s="16" t="s">
        <v>155</v>
      </c>
      <c r="I51" s="46">
        <f>IF(H51=Forecast!$H$195,T51,IF(H51=Forecast!$H$196,BO51,IF(H51=Forecast!$H$197,SUM(T51:BO51),IF(H51=Forecast!$H$198,AVERAGE(T51:BO51),0))))</f>
        <v>5743.7764829266434</v>
      </c>
      <c r="J51" s="16"/>
      <c r="K51" s="16"/>
      <c r="L51" s="16"/>
      <c r="M51" s="16"/>
      <c r="N51" s="16"/>
      <c r="O51" s="16"/>
      <c r="P51" s="16"/>
      <c r="Q51" s="16"/>
      <c r="R51" s="16"/>
      <c r="S51" s="51">
        <f t="shared" si="5"/>
        <v>1326.8408625781244</v>
      </c>
      <c r="T51" s="51">
        <f t="shared" si="8"/>
        <v>1326.8408625781244</v>
      </c>
      <c r="U51" s="51">
        <f t="shared" ref="U51:AB51" si="25">T51*0.8</f>
        <v>1061.4726900624996</v>
      </c>
      <c r="V51" s="51">
        <f t="shared" si="25"/>
        <v>849.17815204999977</v>
      </c>
      <c r="W51" s="51">
        <f t="shared" si="25"/>
        <v>679.34252163999986</v>
      </c>
      <c r="X51" s="51">
        <f t="shared" si="25"/>
        <v>543.47401731199989</v>
      </c>
      <c r="Y51" s="51">
        <f t="shared" si="25"/>
        <v>434.77921384959996</v>
      </c>
      <c r="Z51" s="51">
        <f t="shared" si="25"/>
        <v>347.82337107967999</v>
      </c>
      <c r="AA51" s="51">
        <f t="shared" si="25"/>
        <v>278.25869686374398</v>
      </c>
      <c r="AB51" s="51">
        <f t="shared" si="25"/>
        <v>222.6069574909952</v>
      </c>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v>0</v>
      </c>
      <c r="BD51" s="51">
        <v>0</v>
      </c>
      <c r="BE51" s="51">
        <v>0</v>
      </c>
      <c r="BF51" s="51">
        <v>0</v>
      </c>
      <c r="BG51" s="51">
        <v>0</v>
      </c>
      <c r="BH51" s="51">
        <v>0</v>
      </c>
      <c r="BI51" s="51">
        <v>0</v>
      </c>
      <c r="BJ51" s="51">
        <v>0</v>
      </c>
      <c r="BK51" s="51">
        <v>0</v>
      </c>
      <c r="BL51" s="51">
        <v>0</v>
      </c>
      <c r="BM51" s="51">
        <v>0</v>
      </c>
      <c r="BN51" s="51">
        <v>0</v>
      </c>
      <c r="BO51" s="51">
        <v>0</v>
      </c>
    </row>
    <row r="52" spans="1:67" ht="16.5" customHeight="1" outlineLevel="1">
      <c r="A52" s="1"/>
      <c r="B52" s="55">
        <f t="shared" si="6"/>
        <v>45440</v>
      </c>
      <c r="C52" s="17" t="s">
        <v>104</v>
      </c>
      <c r="D52" s="46">
        <f t="shared" si="7"/>
        <v>41</v>
      </c>
      <c r="E52" s="16"/>
      <c r="F52" s="16"/>
      <c r="G52" s="16"/>
      <c r="H52" s="16" t="s">
        <v>155</v>
      </c>
      <c r="I52" s="46">
        <f>IF(H52=Forecast!$H$195,T52,IF(H52=Forecast!$H$196,BO52,IF(H52=Forecast!$H$197,SUM(T52:BO52),IF(H52=Forecast!$H$198,AVERAGE(T52:BO52),0))))</f>
        <v>5811.7573951954173</v>
      </c>
      <c r="J52" s="16"/>
      <c r="K52" s="16"/>
      <c r="L52" s="16"/>
      <c r="M52" s="16"/>
      <c r="N52" s="16"/>
      <c r="O52" s="16"/>
      <c r="P52" s="16"/>
      <c r="Q52" s="16"/>
      <c r="R52" s="16"/>
      <c r="S52" s="51">
        <f t="shared" si="5"/>
        <v>1396.6745921874995</v>
      </c>
      <c r="T52" s="51">
        <f t="shared" si="8"/>
        <v>1396.6745921874995</v>
      </c>
      <c r="U52" s="51">
        <f t="shared" ref="U52:AA52" si="26">T52*0.8</f>
        <v>1117.3396737499995</v>
      </c>
      <c r="V52" s="51">
        <f t="shared" si="26"/>
        <v>893.87173899999971</v>
      </c>
      <c r="W52" s="51">
        <f t="shared" si="26"/>
        <v>715.09739119999983</v>
      </c>
      <c r="X52" s="51">
        <f t="shared" si="26"/>
        <v>572.07791295999994</v>
      </c>
      <c r="Y52" s="51">
        <f t="shared" si="26"/>
        <v>457.66233036799997</v>
      </c>
      <c r="Z52" s="51">
        <f t="shared" si="26"/>
        <v>366.12986429440002</v>
      </c>
      <c r="AA52" s="51">
        <f t="shared" si="26"/>
        <v>292.90389143552005</v>
      </c>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v>0</v>
      </c>
      <c r="BD52" s="51">
        <v>0</v>
      </c>
      <c r="BE52" s="51">
        <v>0</v>
      </c>
      <c r="BF52" s="51">
        <v>0</v>
      </c>
      <c r="BG52" s="51">
        <v>0</v>
      </c>
      <c r="BH52" s="51">
        <v>0</v>
      </c>
      <c r="BI52" s="51">
        <v>0</v>
      </c>
      <c r="BJ52" s="51">
        <v>0</v>
      </c>
      <c r="BK52" s="51">
        <v>0</v>
      </c>
      <c r="BL52" s="51">
        <v>0</v>
      </c>
      <c r="BM52" s="51">
        <v>0</v>
      </c>
      <c r="BN52" s="51">
        <v>0</v>
      </c>
      <c r="BO52" s="51">
        <v>0</v>
      </c>
    </row>
    <row r="53" spans="1:67" ht="16.5" customHeight="1" outlineLevel="1">
      <c r="A53" s="1"/>
      <c r="B53" s="55">
        <f t="shared" si="6"/>
        <v>45471</v>
      </c>
      <c r="C53" s="17" t="s">
        <v>104</v>
      </c>
      <c r="D53" s="46">
        <f t="shared" si="7"/>
        <v>42</v>
      </c>
      <c r="E53" s="16"/>
      <c r="F53" s="16"/>
      <c r="G53" s="16"/>
      <c r="H53" s="16" t="s">
        <v>155</v>
      </c>
      <c r="I53" s="46">
        <f>IF(H53=Forecast!$H$195,T53,IF(H53=Forecast!$H$196,BO53,IF(H53=Forecast!$H$197,SUM(T53:BO53),IF(H53=Forecast!$H$198,AVERAGE(T53:BO53),0))))</f>
        <v>5809.3194776419987</v>
      </c>
      <c r="J53" s="16"/>
      <c r="K53" s="16"/>
      <c r="L53" s="16"/>
      <c r="M53" s="16"/>
      <c r="N53" s="16"/>
      <c r="O53" s="16"/>
      <c r="P53" s="16"/>
      <c r="Q53" s="16"/>
      <c r="R53" s="16"/>
      <c r="S53" s="51">
        <f t="shared" si="5"/>
        <v>1470.1837812499996</v>
      </c>
      <c r="T53" s="51">
        <f t="shared" si="8"/>
        <v>1470.1837812499996</v>
      </c>
      <c r="U53" s="51">
        <f t="shared" ref="U53:Z53" si="27">T53*0.8</f>
        <v>1176.1470249999998</v>
      </c>
      <c r="V53" s="51">
        <f t="shared" si="27"/>
        <v>940.91761999999983</v>
      </c>
      <c r="W53" s="51">
        <f t="shared" si="27"/>
        <v>752.73409599999991</v>
      </c>
      <c r="X53" s="51">
        <f t="shared" si="27"/>
        <v>602.18727679999995</v>
      </c>
      <c r="Y53" s="51">
        <f t="shared" si="27"/>
        <v>481.74982144000001</v>
      </c>
      <c r="Z53" s="51">
        <f t="shared" si="27"/>
        <v>385.39985715200004</v>
      </c>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v>0</v>
      </c>
      <c r="BD53" s="51">
        <v>0</v>
      </c>
      <c r="BE53" s="51">
        <v>0</v>
      </c>
      <c r="BF53" s="51">
        <v>0</v>
      </c>
      <c r="BG53" s="51">
        <v>0</v>
      </c>
      <c r="BH53" s="51">
        <v>0</v>
      </c>
      <c r="BI53" s="51">
        <v>0</v>
      </c>
      <c r="BJ53" s="51">
        <v>0</v>
      </c>
      <c r="BK53" s="51">
        <v>0</v>
      </c>
      <c r="BL53" s="51">
        <v>0</v>
      </c>
      <c r="BM53" s="51">
        <v>0</v>
      </c>
      <c r="BN53" s="51">
        <v>0</v>
      </c>
      <c r="BO53" s="51">
        <v>0</v>
      </c>
    </row>
    <row r="54" spans="1:67" ht="16.5" customHeight="1" outlineLevel="1">
      <c r="A54" s="1"/>
      <c r="B54" s="55">
        <f t="shared" si="6"/>
        <v>45501</v>
      </c>
      <c r="C54" s="17" t="s">
        <v>104</v>
      </c>
      <c r="D54" s="46">
        <f t="shared" si="7"/>
        <v>43</v>
      </c>
      <c r="E54" s="16"/>
      <c r="F54" s="16"/>
      <c r="G54" s="16"/>
      <c r="H54" s="16" t="s">
        <v>155</v>
      </c>
      <c r="I54" s="46">
        <f>IF(H54=Forecast!$H$195,T54,IF(H54=Forecast!$H$196,BO54,IF(H54=Forecast!$H$197,SUM(T54:BO54),IF(H54=Forecast!$H$198,AVERAGE(T54:BO54),0))))</f>
        <v>5709.3890741999994</v>
      </c>
      <c r="J54" s="16"/>
      <c r="K54" s="16"/>
      <c r="L54" s="16"/>
      <c r="M54" s="16"/>
      <c r="N54" s="16"/>
      <c r="O54" s="16"/>
      <c r="P54" s="16"/>
      <c r="Q54" s="16"/>
      <c r="R54" s="16"/>
      <c r="S54" s="51">
        <f t="shared" si="5"/>
        <v>1547.5618749999996</v>
      </c>
      <c r="T54" s="51">
        <f t="shared" si="8"/>
        <v>1547.5618749999996</v>
      </c>
      <c r="U54" s="51">
        <f t="shared" ref="U54:Y54" si="28">T54*0.8</f>
        <v>1238.0494999999999</v>
      </c>
      <c r="V54" s="51">
        <f t="shared" si="28"/>
        <v>990.43959999999993</v>
      </c>
      <c r="W54" s="51">
        <f t="shared" si="28"/>
        <v>792.35167999999999</v>
      </c>
      <c r="X54" s="51">
        <f t="shared" si="28"/>
        <v>633.88134400000001</v>
      </c>
      <c r="Y54" s="51">
        <f t="shared" si="28"/>
        <v>507.10507520000004</v>
      </c>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v>0</v>
      </c>
      <c r="BD54" s="51">
        <v>0</v>
      </c>
      <c r="BE54" s="51">
        <v>0</v>
      </c>
      <c r="BF54" s="51">
        <v>0</v>
      </c>
      <c r="BG54" s="51">
        <v>0</v>
      </c>
      <c r="BH54" s="51">
        <v>0</v>
      </c>
      <c r="BI54" s="51">
        <v>0</v>
      </c>
      <c r="BJ54" s="51">
        <v>0</v>
      </c>
      <c r="BK54" s="51">
        <v>0</v>
      </c>
      <c r="BL54" s="51">
        <v>0</v>
      </c>
      <c r="BM54" s="51">
        <v>0</v>
      </c>
      <c r="BN54" s="51">
        <v>0</v>
      </c>
      <c r="BO54" s="51">
        <v>0</v>
      </c>
    </row>
    <row r="55" spans="1:67" ht="16.5" customHeight="1" outlineLevel="1">
      <c r="A55" s="1"/>
      <c r="B55" s="55">
        <f t="shared" si="6"/>
        <v>45532</v>
      </c>
      <c r="C55" s="17" t="s">
        <v>104</v>
      </c>
      <c r="D55" s="46">
        <f t="shared" si="7"/>
        <v>44</v>
      </c>
      <c r="E55" s="16"/>
      <c r="F55" s="16"/>
      <c r="G55" s="16"/>
      <c r="H55" s="16" t="s">
        <v>155</v>
      </c>
      <c r="I55" s="46">
        <f>IF(H55=Forecast!$H$195,T55,IF(H55=Forecast!$H$196,BO55,IF(H55=Forecast!$H$197,SUM(T55:BO55),IF(H55=Forecast!$H$198,AVERAGE(T55:BO55),0))))</f>
        <v>5476.08842</v>
      </c>
      <c r="J55" s="16"/>
      <c r="K55" s="16"/>
      <c r="L55" s="16"/>
      <c r="M55" s="16"/>
      <c r="N55" s="16"/>
      <c r="O55" s="16"/>
      <c r="P55" s="16"/>
      <c r="Q55" s="16"/>
      <c r="R55" s="16"/>
      <c r="S55" s="51">
        <f t="shared" si="5"/>
        <v>1629.0124999999998</v>
      </c>
      <c r="T55" s="51">
        <f t="shared" si="8"/>
        <v>1629.0124999999998</v>
      </c>
      <c r="U55" s="51">
        <f t="shared" ref="U55:X55" si="29">T55*0.8</f>
        <v>1303.21</v>
      </c>
      <c r="V55" s="51">
        <f t="shared" si="29"/>
        <v>1042.568</v>
      </c>
      <c r="W55" s="51">
        <f t="shared" si="29"/>
        <v>834.05439999999999</v>
      </c>
      <c r="X55" s="51">
        <f t="shared" si="29"/>
        <v>667.24351999999999</v>
      </c>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v>0</v>
      </c>
      <c r="BD55" s="51">
        <v>0</v>
      </c>
      <c r="BE55" s="51">
        <v>0</v>
      </c>
      <c r="BF55" s="51">
        <v>0</v>
      </c>
      <c r="BG55" s="51">
        <v>0</v>
      </c>
      <c r="BH55" s="51">
        <v>0</v>
      </c>
      <c r="BI55" s="51">
        <v>0</v>
      </c>
      <c r="BJ55" s="51">
        <v>0</v>
      </c>
      <c r="BK55" s="51">
        <v>0</v>
      </c>
      <c r="BL55" s="51">
        <v>0</v>
      </c>
      <c r="BM55" s="51">
        <v>0</v>
      </c>
      <c r="BN55" s="51">
        <v>0</v>
      </c>
      <c r="BO55" s="51">
        <v>0</v>
      </c>
    </row>
    <row r="56" spans="1:67" ht="16.5" customHeight="1" outlineLevel="1">
      <c r="A56" s="1"/>
      <c r="B56" s="55">
        <f t="shared" si="6"/>
        <v>45563</v>
      </c>
      <c r="C56" s="17" t="s">
        <v>104</v>
      </c>
      <c r="D56" s="46">
        <f t="shared" si="7"/>
        <v>45</v>
      </c>
      <c r="E56" s="16"/>
      <c r="F56" s="16"/>
      <c r="G56" s="16"/>
      <c r="H56" s="16" t="s">
        <v>155</v>
      </c>
      <c r="I56" s="46">
        <f>IF(H56=Forecast!$H$195,T56,IF(H56=Forecast!$H$196,BO56,IF(H56=Forecast!$H$197,SUM(T56:BO56),IF(H56=Forecast!$H$198,AVERAGE(T56:BO56),0))))</f>
        <v>5061.9420000000009</v>
      </c>
      <c r="J56" s="16"/>
      <c r="K56" s="16"/>
      <c r="L56" s="16"/>
      <c r="M56" s="16"/>
      <c r="N56" s="16"/>
      <c r="O56" s="16"/>
      <c r="P56" s="16"/>
      <c r="Q56" s="16"/>
      <c r="R56" s="16"/>
      <c r="S56" s="51">
        <f t="shared" si="5"/>
        <v>1714.75</v>
      </c>
      <c r="T56" s="51">
        <f t="shared" si="8"/>
        <v>1714.75</v>
      </c>
      <c r="U56" s="51">
        <f t="shared" ref="U56:W56" si="30">T56*0.8</f>
        <v>1371.8000000000002</v>
      </c>
      <c r="V56" s="51">
        <f t="shared" si="30"/>
        <v>1097.4400000000003</v>
      </c>
      <c r="W56" s="51">
        <f t="shared" si="30"/>
        <v>877.95200000000023</v>
      </c>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v>0</v>
      </c>
      <c r="BD56" s="51">
        <v>0</v>
      </c>
      <c r="BE56" s="51">
        <v>0</v>
      </c>
      <c r="BF56" s="51">
        <v>0</v>
      </c>
      <c r="BG56" s="51">
        <v>0</v>
      </c>
      <c r="BH56" s="51">
        <v>0</v>
      </c>
      <c r="BI56" s="51">
        <v>0</v>
      </c>
      <c r="BJ56" s="51">
        <v>0</v>
      </c>
      <c r="BK56" s="51">
        <v>0</v>
      </c>
      <c r="BL56" s="51">
        <v>0</v>
      </c>
      <c r="BM56" s="51">
        <v>0</v>
      </c>
      <c r="BN56" s="51">
        <v>0</v>
      </c>
      <c r="BO56" s="51">
        <v>0</v>
      </c>
    </row>
    <row r="57" spans="1:67" ht="16.5" customHeight="1" outlineLevel="1">
      <c r="A57" s="1"/>
      <c r="B57" s="55">
        <f t="shared" si="6"/>
        <v>45593</v>
      </c>
      <c r="C57" s="17" t="s">
        <v>104</v>
      </c>
      <c r="D57" s="46">
        <f t="shared" si="7"/>
        <v>46</v>
      </c>
      <c r="E57" s="16"/>
      <c r="F57" s="16"/>
      <c r="G57" s="16"/>
      <c r="H57" s="16" t="s">
        <v>155</v>
      </c>
      <c r="I57" s="46">
        <f>IF(H57=Forecast!$H$195,T57,IF(H57=Forecast!$H$196,BO57,IF(H57=Forecast!$H$197,SUM(T57:BO57),IF(H57=Forecast!$H$198,AVERAGE(T57:BO57),0))))</f>
        <v>4404.2</v>
      </c>
      <c r="J57" s="16"/>
      <c r="K57" s="16"/>
      <c r="L57" s="16"/>
      <c r="M57" s="16"/>
      <c r="N57" s="16"/>
      <c r="O57" s="16"/>
      <c r="P57" s="16"/>
      <c r="Q57" s="16"/>
      <c r="R57" s="16"/>
      <c r="S57" s="51">
        <f t="shared" si="5"/>
        <v>1805</v>
      </c>
      <c r="T57" s="51">
        <f t="shared" si="8"/>
        <v>1805</v>
      </c>
      <c r="U57" s="51">
        <f t="shared" ref="U57:V57" si="31">T57*0.8</f>
        <v>1444</v>
      </c>
      <c r="V57" s="51">
        <f t="shared" si="31"/>
        <v>1155.2</v>
      </c>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v>0</v>
      </c>
      <c r="BD57" s="51">
        <v>0</v>
      </c>
      <c r="BE57" s="51">
        <v>0</v>
      </c>
      <c r="BF57" s="51">
        <v>0</v>
      </c>
      <c r="BG57" s="51">
        <v>0</v>
      </c>
      <c r="BH57" s="51">
        <v>0</v>
      </c>
      <c r="BI57" s="51">
        <v>0</v>
      </c>
      <c r="BJ57" s="51">
        <v>0</v>
      </c>
      <c r="BK57" s="51">
        <v>0</v>
      </c>
      <c r="BL57" s="51">
        <v>0</v>
      </c>
      <c r="BM57" s="51">
        <v>0</v>
      </c>
      <c r="BN57" s="51">
        <v>0</v>
      </c>
      <c r="BO57" s="51">
        <v>0</v>
      </c>
    </row>
    <row r="58" spans="1:67" ht="16.5" customHeight="1" outlineLevel="1">
      <c r="A58" s="1"/>
      <c r="B58" s="55">
        <f t="shared" si="6"/>
        <v>45624</v>
      </c>
      <c r="C58" s="17" t="s">
        <v>104</v>
      </c>
      <c r="D58" s="46">
        <f t="shared" si="7"/>
        <v>47</v>
      </c>
      <c r="E58" s="16"/>
      <c r="F58" s="16"/>
      <c r="G58" s="16"/>
      <c r="H58" s="16" t="s">
        <v>155</v>
      </c>
      <c r="I58" s="46">
        <f>IF(H58=Forecast!$H$195,T58,IF(H58=Forecast!$H$196,BO58,IF(H58=Forecast!$H$197,SUM(T58:BO58),IF(H58=Forecast!$H$198,AVERAGE(T58:BO58),0))))</f>
        <v>2067</v>
      </c>
      <c r="J58" s="16"/>
      <c r="K58" s="16"/>
      <c r="L58" s="16"/>
      <c r="M58" s="16"/>
      <c r="N58" s="16"/>
      <c r="O58" s="16"/>
      <c r="P58" s="16"/>
      <c r="Q58" s="16"/>
      <c r="R58" s="16"/>
      <c r="S58" s="51">
        <f t="shared" si="5"/>
        <v>1900</v>
      </c>
      <c r="T58" s="51">
        <f t="shared" si="8"/>
        <v>1900</v>
      </c>
      <c r="U58" s="51">
        <v>167</v>
      </c>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v>0</v>
      </c>
      <c r="BD58" s="51">
        <v>0</v>
      </c>
      <c r="BE58" s="51">
        <v>0</v>
      </c>
      <c r="BF58" s="51">
        <v>0</v>
      </c>
      <c r="BG58" s="51">
        <v>0</v>
      </c>
      <c r="BH58" s="51">
        <v>0</v>
      </c>
      <c r="BI58" s="51">
        <v>0</v>
      </c>
      <c r="BJ58" s="51">
        <v>0</v>
      </c>
      <c r="BK58" s="51">
        <v>0</v>
      </c>
      <c r="BL58" s="51">
        <v>0</v>
      </c>
      <c r="BM58" s="51">
        <v>0</v>
      </c>
      <c r="BN58" s="51">
        <v>0</v>
      </c>
      <c r="BO58" s="51">
        <v>0</v>
      </c>
    </row>
    <row r="59" spans="1:67" ht="16.5" customHeight="1" outlineLevel="1">
      <c r="A59" s="1"/>
      <c r="B59" s="55">
        <f t="shared" si="6"/>
        <v>45654</v>
      </c>
      <c r="C59" s="17" t="s">
        <v>104</v>
      </c>
      <c r="D59" s="46">
        <f t="shared" si="7"/>
        <v>48</v>
      </c>
      <c r="E59" s="16"/>
      <c r="F59" s="16"/>
      <c r="G59" s="16"/>
      <c r="H59" s="16" t="s">
        <v>155</v>
      </c>
      <c r="I59" s="46">
        <f>IF(H59=Forecast!$H$195,T59,IF(H59=Forecast!$H$196,BO59,IF(H59=Forecast!$H$197,SUM(T59:BO59),IF(H59=Forecast!$H$198,AVERAGE(T59:BO59),0))))</f>
        <v>2000</v>
      </c>
      <c r="J59" s="16"/>
      <c r="K59" s="16"/>
      <c r="L59" s="16"/>
      <c r="M59" s="16"/>
      <c r="N59" s="16"/>
      <c r="O59" s="16"/>
      <c r="P59" s="16"/>
      <c r="Q59" s="16"/>
      <c r="R59" s="16"/>
      <c r="S59" s="51">
        <f t="shared" si="5"/>
        <v>2000</v>
      </c>
      <c r="T59" s="51">
        <v>2000</v>
      </c>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v>0</v>
      </c>
      <c r="BD59" s="51">
        <v>0</v>
      </c>
      <c r="BE59" s="51">
        <v>0</v>
      </c>
      <c r="BF59" s="51">
        <v>0</v>
      </c>
      <c r="BG59" s="51">
        <v>0</v>
      </c>
      <c r="BH59" s="51">
        <v>0</v>
      </c>
      <c r="BI59" s="51">
        <v>0</v>
      </c>
      <c r="BJ59" s="51">
        <v>0</v>
      </c>
      <c r="BK59" s="51">
        <v>0</v>
      </c>
      <c r="BL59" s="51">
        <v>0</v>
      </c>
      <c r="BM59" s="51">
        <v>0</v>
      </c>
      <c r="BN59" s="51">
        <v>0</v>
      </c>
      <c r="BO59" s="51">
        <v>0</v>
      </c>
    </row>
    <row r="60" spans="1:67" ht="16.5" customHeight="1">
      <c r="A60" s="1"/>
      <c r="B60" s="16"/>
      <c r="C60" s="17"/>
      <c r="D60" s="16"/>
      <c r="E60" s="16"/>
      <c r="F60" s="16"/>
      <c r="G60" s="16"/>
      <c r="H60" s="16"/>
      <c r="I60" s="16"/>
      <c r="J60" s="16"/>
      <c r="K60" s="16"/>
      <c r="L60" s="16"/>
      <c r="M60" s="16"/>
      <c r="N60" s="16"/>
      <c r="O60" s="16"/>
      <c r="P60" s="16"/>
      <c r="Q60" s="16"/>
      <c r="R60" s="16"/>
      <c r="S60" s="1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row>
    <row r="61" spans="1:67" ht="16.5" customHeight="1">
      <c r="A61" s="1"/>
      <c r="B61" s="22" t="s">
        <v>234</v>
      </c>
      <c r="C61" s="17"/>
      <c r="D61" s="16"/>
      <c r="E61" s="16"/>
      <c r="F61" s="16"/>
      <c r="G61" s="16"/>
      <c r="H61" s="16"/>
      <c r="I61" s="16"/>
      <c r="J61" s="16"/>
      <c r="K61" s="16"/>
      <c r="L61" s="16"/>
      <c r="M61" s="16"/>
      <c r="N61" s="16"/>
      <c r="O61" s="16"/>
      <c r="P61" s="16"/>
      <c r="Q61" s="16"/>
      <c r="R61" s="16"/>
      <c r="S61" s="16"/>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ht="16.5" customHeight="1">
      <c r="A62" s="1"/>
      <c r="B62" s="16" t="s">
        <v>235</v>
      </c>
      <c r="C62" s="17" t="s">
        <v>104</v>
      </c>
      <c r="D62" s="60" t="s">
        <v>236</v>
      </c>
      <c r="F62" s="61">
        <v>0</v>
      </c>
      <c r="G62" s="16"/>
      <c r="H62" s="16" t="s">
        <v>155</v>
      </c>
      <c r="I62" s="46">
        <f>IF(H62=Forecast!$H$195,T62,IF(H62=Forecast!$H$196,BO62,IF(H62=Forecast!$H$197,SUM(T62:BO62),IF(H62=Forecast!$H$198,AVERAGE(T62:BO62),0))))</f>
        <v>5307.4698457957911</v>
      </c>
      <c r="J62" s="16"/>
      <c r="K62" s="62">
        <f>D12</f>
        <v>1</v>
      </c>
      <c r="L62" s="62">
        <f>D59</f>
        <v>48</v>
      </c>
      <c r="M62" s="63"/>
      <c r="P62" s="16"/>
      <c r="Q62" s="16"/>
      <c r="R62" s="16"/>
      <c r="S62" s="16"/>
      <c r="T62" s="41">
        <f t="shared" ref="T62:BO62" si="32">IFERROR(IF(T6&gt;$L62,0, SUMPRODUCT(T11:T59,--($D11:$D59&gt;=$K62),--($D11:$D59&lt;=$L62),S11:S59)/SUMPRODUCT(--($D11:$D59&gt;=$K62),--($D11:$D59&lt;=$L62),S11:S59)),0)*(1+$F62)</f>
        <v>1310.1431519198295</v>
      </c>
      <c r="U62" s="41">
        <f t="shared" si="32"/>
        <v>848.46683499020037</v>
      </c>
      <c r="V62" s="41">
        <f t="shared" si="32"/>
        <v>768.07928812244472</v>
      </c>
      <c r="W62" s="41">
        <f t="shared" si="32"/>
        <v>552.8807287594168</v>
      </c>
      <c r="X62" s="41">
        <f t="shared" si="32"/>
        <v>424.80350615044659</v>
      </c>
      <c r="Y62" s="41">
        <f t="shared" si="32"/>
        <v>326.4931459771164</v>
      </c>
      <c r="Z62" s="41">
        <f t="shared" si="32"/>
        <v>251.00436912051009</v>
      </c>
      <c r="AA62" s="41">
        <f t="shared" si="32"/>
        <v>193.01835546388477</v>
      </c>
      <c r="AB62" s="41">
        <f t="shared" si="32"/>
        <v>148.46054989808928</v>
      </c>
      <c r="AC62" s="41">
        <f t="shared" si="32"/>
        <v>114.20854903688442</v>
      </c>
      <c r="AD62" s="41">
        <f t="shared" si="32"/>
        <v>87.868779247027732</v>
      </c>
      <c r="AE62" s="41">
        <f t="shared" si="32"/>
        <v>67.60571934033517</v>
      </c>
      <c r="AF62" s="41">
        <f t="shared" si="32"/>
        <v>52.011266881512007</v>
      </c>
      <c r="AG62" s="41">
        <f t="shared" si="32"/>
        <v>40.004780034817969</v>
      </c>
      <c r="AH62" s="41">
        <f t="shared" si="32"/>
        <v>30.756563831246812</v>
      </c>
      <c r="AI62" s="41">
        <f t="shared" si="32"/>
        <v>23.629275488759614</v>
      </c>
      <c r="AJ62" s="41">
        <f t="shared" si="32"/>
        <v>18.133022989055682</v>
      </c>
      <c r="AK62" s="41">
        <f t="shared" si="32"/>
        <v>13.890918506589575</v>
      </c>
      <c r="AL62" s="41">
        <f t="shared" si="32"/>
        <v>10.61259198384154</v>
      </c>
      <c r="AM62" s="41">
        <f t="shared" si="32"/>
        <v>6.3610969624142983</v>
      </c>
      <c r="AN62" s="41">
        <f t="shared" si="32"/>
        <v>7.5191234158923681</v>
      </c>
      <c r="AO62" s="41">
        <f t="shared" si="32"/>
        <v>4.5536849342087216</v>
      </c>
      <c r="AP62" s="41">
        <f t="shared" si="32"/>
        <v>3.3218803967593264</v>
      </c>
      <c r="AQ62" s="41">
        <f t="shared" si="32"/>
        <v>2.2991390390630095</v>
      </c>
      <c r="AR62" s="41">
        <f t="shared" si="32"/>
        <v>1.3435233054441718</v>
      </c>
      <c r="AS62" s="41">
        <f t="shared" si="32"/>
        <v>0</v>
      </c>
      <c r="AT62" s="41">
        <f t="shared" si="32"/>
        <v>0</v>
      </c>
      <c r="AU62" s="41">
        <f t="shared" si="32"/>
        <v>0</v>
      </c>
      <c r="AV62" s="41">
        <f t="shared" si="32"/>
        <v>0</v>
      </c>
      <c r="AW62" s="41">
        <f t="shared" si="32"/>
        <v>0</v>
      </c>
      <c r="AX62" s="41">
        <f t="shared" si="32"/>
        <v>0</v>
      </c>
      <c r="AY62" s="41">
        <f t="shared" si="32"/>
        <v>0</v>
      </c>
      <c r="AZ62" s="41">
        <f t="shared" si="32"/>
        <v>0</v>
      </c>
      <c r="BA62" s="41">
        <f t="shared" si="32"/>
        <v>0</v>
      </c>
      <c r="BB62" s="41">
        <f t="shared" si="32"/>
        <v>0</v>
      </c>
      <c r="BC62" s="41">
        <f t="shared" si="32"/>
        <v>0</v>
      </c>
      <c r="BD62" s="41">
        <f t="shared" si="32"/>
        <v>0</v>
      </c>
      <c r="BE62" s="41">
        <f t="shared" si="32"/>
        <v>0</v>
      </c>
      <c r="BF62" s="41">
        <f t="shared" si="32"/>
        <v>0</v>
      </c>
      <c r="BG62" s="41">
        <f t="shared" si="32"/>
        <v>0</v>
      </c>
      <c r="BH62" s="41">
        <f t="shared" si="32"/>
        <v>0</v>
      </c>
      <c r="BI62" s="41">
        <f t="shared" si="32"/>
        <v>0</v>
      </c>
      <c r="BJ62" s="41">
        <f t="shared" si="32"/>
        <v>0</v>
      </c>
      <c r="BK62" s="41">
        <f t="shared" si="32"/>
        <v>0</v>
      </c>
      <c r="BL62" s="41">
        <f t="shared" si="32"/>
        <v>0</v>
      </c>
      <c r="BM62" s="41">
        <f t="shared" si="32"/>
        <v>0</v>
      </c>
      <c r="BN62" s="41">
        <f t="shared" si="32"/>
        <v>0</v>
      </c>
      <c r="BO62" s="41">
        <f t="shared" si="32"/>
        <v>0</v>
      </c>
    </row>
    <row r="63" spans="1:67" ht="16.5" customHeight="1">
      <c r="A63" s="1"/>
      <c r="B63" s="16" t="s">
        <v>237</v>
      </c>
      <c r="C63" s="17" t="s">
        <v>85</v>
      </c>
      <c r="D63" s="16"/>
      <c r="E63" s="16"/>
      <c r="F63" s="16"/>
      <c r="G63" s="16"/>
      <c r="H63" s="16" t="s">
        <v>143</v>
      </c>
      <c r="I63" s="64">
        <f>IF(H63=Forecast!$H$195,T63,IF(H63=Forecast!$H$196,BO63,IF(H63=Forecast!$H$197,SUM(T63:BO63),IF(H63=Forecast!$H$198,AVERAGE(T63:BO63),0))))</f>
        <v>8.4397104463013004E-2</v>
      </c>
      <c r="J63" s="16"/>
      <c r="K63" s="16"/>
      <c r="L63" s="16"/>
      <c r="M63" s="16"/>
      <c r="N63" s="16"/>
      <c r="O63" s="16"/>
      <c r="P63" s="16"/>
      <c r="Q63" s="16"/>
      <c r="R63" s="16"/>
      <c r="S63" s="16"/>
      <c r="T63" s="65">
        <f t="shared" ref="T63:BO63" si="33">IFERROR(T62/$T62,0)</f>
        <v>1</v>
      </c>
      <c r="U63" s="65">
        <f t="shared" si="33"/>
        <v>0.64761383803509731</v>
      </c>
      <c r="V63" s="65">
        <f t="shared" si="33"/>
        <v>0.58625600339698236</v>
      </c>
      <c r="W63" s="65">
        <f t="shared" si="33"/>
        <v>0.42200024321712348</v>
      </c>
      <c r="X63" s="65">
        <f t="shared" si="33"/>
        <v>0.32424205364731107</v>
      </c>
      <c r="Y63" s="65">
        <f t="shared" si="33"/>
        <v>0.24920417703873571</v>
      </c>
      <c r="Z63" s="65">
        <f t="shared" si="33"/>
        <v>0.19158545289703549</v>
      </c>
      <c r="AA63" s="65">
        <f t="shared" si="33"/>
        <v>0.14732615682572067</v>
      </c>
      <c r="AB63" s="65">
        <f t="shared" si="33"/>
        <v>0.11331628126326604</v>
      </c>
      <c r="AC63" s="65">
        <f t="shared" si="33"/>
        <v>8.7172572607449761E-2</v>
      </c>
      <c r="AD63" s="65">
        <f t="shared" si="33"/>
        <v>6.7068075055972676E-2</v>
      </c>
      <c r="AE63" s="65">
        <f t="shared" si="33"/>
        <v>5.160178049342818E-2</v>
      </c>
      <c r="AF63" s="65">
        <f t="shared" si="33"/>
        <v>3.969891901148119E-2</v>
      </c>
      <c r="AG63" s="65">
        <f t="shared" si="33"/>
        <v>3.0534663312323254E-2</v>
      </c>
      <c r="AH63" s="65">
        <f t="shared" si="33"/>
        <v>2.3475727660887603E-2</v>
      </c>
      <c r="AI63" s="65">
        <f t="shared" si="33"/>
        <v>1.8035644008927005E-2</v>
      </c>
      <c r="AJ63" s="65">
        <f t="shared" si="33"/>
        <v>1.384048984455195E-2</v>
      </c>
      <c r="AK63" s="65">
        <f t="shared" si="33"/>
        <v>1.0602595972993026E-2</v>
      </c>
      <c r="AL63" s="65">
        <f t="shared" si="33"/>
        <v>8.1003300809459541E-3</v>
      </c>
      <c r="AM63" s="65">
        <f t="shared" si="33"/>
        <v>4.8552686422800514E-3</v>
      </c>
      <c r="AN63" s="65">
        <f t="shared" si="33"/>
        <v>5.7391617128816465E-3</v>
      </c>
      <c r="AO63" s="65">
        <f t="shared" si="33"/>
        <v>3.4757155563771335E-3</v>
      </c>
      <c r="AP63" s="65">
        <f t="shared" si="33"/>
        <v>2.5355094913800682E-3</v>
      </c>
      <c r="AQ63" s="65">
        <f t="shared" si="33"/>
        <v>1.754876202416466E-3</v>
      </c>
      <c r="AR63" s="65">
        <f t="shared" si="33"/>
        <v>1.0254782490565465E-3</v>
      </c>
      <c r="AS63" s="65">
        <f t="shared" si="33"/>
        <v>0</v>
      </c>
      <c r="AT63" s="65">
        <f t="shared" si="33"/>
        <v>0</v>
      </c>
      <c r="AU63" s="65">
        <f t="shared" si="33"/>
        <v>0</v>
      </c>
      <c r="AV63" s="65">
        <f t="shared" si="33"/>
        <v>0</v>
      </c>
      <c r="AW63" s="65">
        <f t="shared" si="33"/>
        <v>0</v>
      </c>
      <c r="AX63" s="65">
        <f t="shared" si="33"/>
        <v>0</v>
      </c>
      <c r="AY63" s="65">
        <f t="shared" si="33"/>
        <v>0</v>
      </c>
      <c r="AZ63" s="65">
        <f t="shared" si="33"/>
        <v>0</v>
      </c>
      <c r="BA63" s="65">
        <f t="shared" si="33"/>
        <v>0</v>
      </c>
      <c r="BB63" s="65">
        <f t="shared" si="33"/>
        <v>0</v>
      </c>
      <c r="BC63" s="65">
        <f t="shared" si="33"/>
        <v>0</v>
      </c>
      <c r="BD63" s="65">
        <f t="shared" si="33"/>
        <v>0</v>
      </c>
      <c r="BE63" s="65">
        <f t="shared" si="33"/>
        <v>0</v>
      </c>
      <c r="BF63" s="65">
        <f t="shared" si="33"/>
        <v>0</v>
      </c>
      <c r="BG63" s="65">
        <f t="shared" si="33"/>
        <v>0</v>
      </c>
      <c r="BH63" s="65">
        <f t="shared" si="33"/>
        <v>0</v>
      </c>
      <c r="BI63" s="65">
        <f t="shared" si="33"/>
        <v>0</v>
      </c>
      <c r="BJ63" s="65">
        <f t="shared" si="33"/>
        <v>0</v>
      </c>
      <c r="BK63" s="65">
        <f t="shared" si="33"/>
        <v>0</v>
      </c>
      <c r="BL63" s="65">
        <f t="shared" si="33"/>
        <v>0</v>
      </c>
      <c r="BM63" s="65">
        <f t="shared" si="33"/>
        <v>0</v>
      </c>
      <c r="BN63" s="65">
        <f t="shared" si="33"/>
        <v>0</v>
      </c>
      <c r="BO63" s="65">
        <f t="shared" si="33"/>
        <v>0</v>
      </c>
    </row>
    <row r="64" spans="1:67" ht="16.5" customHeight="1">
      <c r="A64" s="1"/>
      <c r="B64" s="16" t="s">
        <v>238</v>
      </c>
      <c r="C64" s="17" t="s">
        <v>104</v>
      </c>
      <c r="D64" s="16"/>
      <c r="E64" s="16"/>
      <c r="F64" s="16"/>
      <c r="G64" s="16"/>
      <c r="H64" s="16" t="s">
        <v>155</v>
      </c>
      <c r="I64" s="46">
        <f>IF(H64=Forecast!$H$195,T64,IF(H64=Forecast!$H$196,BO64,IF(H64=Forecast!$H$197,SUM(T64:BO64),IF(H64=Forecast!$H$198,AVERAGE(T64:BO64),0))))</f>
        <v>4.0510610142246239</v>
      </c>
      <c r="J64" s="16"/>
      <c r="K64" s="16"/>
      <c r="L64" s="16"/>
      <c r="M64" s="16"/>
      <c r="N64" s="16"/>
      <c r="O64" s="16"/>
      <c r="P64" s="16"/>
      <c r="Q64" s="16"/>
      <c r="R64" s="16"/>
      <c r="S64" s="16">
        <v>1</v>
      </c>
      <c r="T64" s="16">
        <f t="shared" ref="T64:BO64" si="34">IFERROR(T62/$T62,0)</f>
        <v>1</v>
      </c>
      <c r="U64" s="16">
        <f t="shared" si="34"/>
        <v>0.64761383803509731</v>
      </c>
      <c r="V64" s="16">
        <f t="shared" si="34"/>
        <v>0.58625600339698236</v>
      </c>
      <c r="W64" s="16">
        <f t="shared" si="34"/>
        <v>0.42200024321712348</v>
      </c>
      <c r="X64" s="16">
        <f t="shared" si="34"/>
        <v>0.32424205364731107</v>
      </c>
      <c r="Y64" s="16">
        <f t="shared" si="34"/>
        <v>0.24920417703873571</v>
      </c>
      <c r="Z64" s="16">
        <f t="shared" si="34"/>
        <v>0.19158545289703549</v>
      </c>
      <c r="AA64" s="16">
        <f t="shared" si="34"/>
        <v>0.14732615682572067</v>
      </c>
      <c r="AB64" s="16">
        <f t="shared" si="34"/>
        <v>0.11331628126326604</v>
      </c>
      <c r="AC64" s="16">
        <f t="shared" si="34"/>
        <v>8.7172572607449761E-2</v>
      </c>
      <c r="AD64" s="16">
        <f t="shared" si="34"/>
        <v>6.7068075055972676E-2</v>
      </c>
      <c r="AE64" s="16">
        <f t="shared" si="34"/>
        <v>5.160178049342818E-2</v>
      </c>
      <c r="AF64" s="16">
        <f t="shared" si="34"/>
        <v>3.969891901148119E-2</v>
      </c>
      <c r="AG64" s="16">
        <f t="shared" si="34"/>
        <v>3.0534663312323254E-2</v>
      </c>
      <c r="AH64" s="16">
        <f t="shared" si="34"/>
        <v>2.3475727660887603E-2</v>
      </c>
      <c r="AI64" s="16">
        <f t="shared" si="34"/>
        <v>1.8035644008927005E-2</v>
      </c>
      <c r="AJ64" s="16">
        <f t="shared" si="34"/>
        <v>1.384048984455195E-2</v>
      </c>
      <c r="AK64" s="16">
        <f t="shared" si="34"/>
        <v>1.0602595972993026E-2</v>
      </c>
      <c r="AL64" s="16">
        <f t="shared" si="34"/>
        <v>8.1003300809459541E-3</v>
      </c>
      <c r="AM64" s="16">
        <f t="shared" si="34"/>
        <v>4.8552686422800514E-3</v>
      </c>
      <c r="AN64" s="16">
        <f t="shared" si="34"/>
        <v>5.7391617128816465E-3</v>
      </c>
      <c r="AO64" s="16">
        <f t="shared" si="34"/>
        <v>3.4757155563771335E-3</v>
      </c>
      <c r="AP64" s="16">
        <f t="shared" si="34"/>
        <v>2.5355094913800682E-3</v>
      </c>
      <c r="AQ64" s="16">
        <f t="shared" si="34"/>
        <v>1.754876202416466E-3</v>
      </c>
      <c r="AR64" s="16">
        <f t="shared" si="34"/>
        <v>1.0254782490565465E-3</v>
      </c>
      <c r="AS64" s="16">
        <f t="shared" si="34"/>
        <v>0</v>
      </c>
      <c r="AT64" s="16">
        <f t="shared" si="34"/>
        <v>0</v>
      </c>
      <c r="AU64" s="16">
        <f t="shared" si="34"/>
        <v>0</v>
      </c>
      <c r="AV64" s="16">
        <f t="shared" si="34"/>
        <v>0</v>
      </c>
      <c r="AW64" s="16">
        <f t="shared" si="34"/>
        <v>0</v>
      </c>
      <c r="AX64" s="16">
        <f t="shared" si="34"/>
        <v>0</v>
      </c>
      <c r="AY64" s="16">
        <f t="shared" si="34"/>
        <v>0</v>
      </c>
      <c r="AZ64" s="16">
        <f t="shared" si="34"/>
        <v>0</v>
      </c>
      <c r="BA64" s="16">
        <f t="shared" si="34"/>
        <v>0</v>
      </c>
      <c r="BB64" s="16">
        <f t="shared" si="34"/>
        <v>0</v>
      </c>
      <c r="BC64" s="16">
        <f t="shared" si="34"/>
        <v>0</v>
      </c>
      <c r="BD64" s="16">
        <f t="shared" si="34"/>
        <v>0</v>
      </c>
      <c r="BE64" s="16">
        <f t="shared" si="34"/>
        <v>0</v>
      </c>
      <c r="BF64" s="16">
        <f t="shared" si="34"/>
        <v>0</v>
      </c>
      <c r="BG64" s="16">
        <f t="shared" si="34"/>
        <v>0</v>
      </c>
      <c r="BH64" s="16">
        <f t="shared" si="34"/>
        <v>0</v>
      </c>
      <c r="BI64" s="16">
        <f t="shared" si="34"/>
        <v>0</v>
      </c>
      <c r="BJ64" s="16">
        <f t="shared" si="34"/>
        <v>0</v>
      </c>
      <c r="BK64" s="16">
        <f t="shared" si="34"/>
        <v>0</v>
      </c>
      <c r="BL64" s="16">
        <f t="shared" si="34"/>
        <v>0</v>
      </c>
      <c r="BM64" s="16">
        <f t="shared" si="34"/>
        <v>0</v>
      </c>
      <c r="BN64" s="16">
        <f t="shared" si="34"/>
        <v>0</v>
      </c>
      <c r="BO64" s="16">
        <f t="shared" si="34"/>
        <v>0</v>
      </c>
    </row>
    <row r="65" spans="1:67" ht="16.5" customHeight="1">
      <c r="A65" s="1"/>
      <c r="B65" s="16" t="s">
        <v>239</v>
      </c>
      <c r="C65" s="17" t="s">
        <v>85</v>
      </c>
      <c r="D65" s="16"/>
      <c r="E65" s="16"/>
      <c r="F65" s="16"/>
      <c r="G65" s="16"/>
      <c r="H65" s="16" t="s">
        <v>143</v>
      </c>
      <c r="I65" s="64">
        <f>IF(H65=Forecast!$H$195,T65,IF(H65=Forecast!$H$196,BO65,IF(H65=Forecast!$H$197,SUM(T65:BO65),IF(H65=Forecast!$H$198,AVERAGE(T65:BO65),0))))</f>
        <v>-0.1418616647530456</v>
      </c>
      <c r="J65" s="16"/>
      <c r="K65" s="16"/>
      <c r="L65" s="16"/>
      <c r="M65" s="16"/>
      <c r="N65" s="16"/>
      <c r="O65" s="16"/>
      <c r="P65" s="16"/>
      <c r="Q65" s="16"/>
      <c r="R65" s="16"/>
      <c r="S65" s="16"/>
      <c r="T65" s="65">
        <f t="shared" ref="T65:BO65" si="35">IFERROR((T64-S64)/S64,0)</f>
        <v>0</v>
      </c>
      <c r="U65" s="65">
        <f t="shared" si="35"/>
        <v>-0.35238616196490269</v>
      </c>
      <c r="V65" s="65">
        <f t="shared" si="35"/>
        <v>-9.4744477394551399E-2</v>
      </c>
      <c r="W65" s="65">
        <f t="shared" si="35"/>
        <v>-0.28017753204760504</v>
      </c>
      <c r="X65" s="65">
        <f t="shared" si="35"/>
        <v>-0.23165434414101704</v>
      </c>
      <c r="Y65" s="65">
        <f t="shared" si="35"/>
        <v>-0.23142549143300384</v>
      </c>
      <c r="Z65" s="65">
        <f t="shared" si="35"/>
        <v>-0.23121090836589026</v>
      </c>
      <c r="AA65" s="65">
        <f t="shared" si="35"/>
        <v>-0.23101595346647358</v>
      </c>
      <c r="AB65" s="65">
        <f t="shared" si="35"/>
        <v>-0.23084750390038736</v>
      </c>
      <c r="AC65" s="65">
        <f t="shared" si="35"/>
        <v>-0.23071449543139336</v>
      </c>
      <c r="AD65" s="65">
        <f t="shared" si="35"/>
        <v>-0.23062870522372259</v>
      </c>
      <c r="AE65" s="65">
        <f t="shared" si="35"/>
        <v>-0.23060591122731441</v>
      </c>
      <c r="AF65" s="65">
        <f t="shared" si="35"/>
        <v>-0.23066765076958723</v>
      </c>
      <c r="AG65" s="65">
        <f t="shared" si="35"/>
        <v>-0.23084396067579505</v>
      </c>
      <c r="AH65" s="65">
        <f t="shared" si="35"/>
        <v>-0.23117777914344279</v>
      </c>
      <c r="AI65" s="65">
        <f t="shared" si="35"/>
        <v>-0.23173226962520113</v>
      </c>
      <c r="AJ65" s="65">
        <f t="shared" si="35"/>
        <v>-0.2326035134813374</v>
      </c>
      <c r="AK65" s="65">
        <f t="shared" si="35"/>
        <v>-0.23394358927501838</v>
      </c>
      <c r="AL65" s="65">
        <f t="shared" si="35"/>
        <v>-0.23600502164006373</v>
      </c>
      <c r="AM65" s="65">
        <f t="shared" si="35"/>
        <v>-0.40060854387886197</v>
      </c>
      <c r="AN65" s="65">
        <f t="shared" si="35"/>
        <v>0.18204823166829256</v>
      </c>
      <c r="AO65" s="65">
        <f t="shared" si="35"/>
        <v>-0.39438619605789632</v>
      </c>
      <c r="AP65" s="65">
        <f t="shared" si="35"/>
        <v>-0.27050719477662805</v>
      </c>
      <c r="AQ65" s="65">
        <f t="shared" si="35"/>
        <v>-0.30788024719193868</v>
      </c>
      <c r="AR65" s="65">
        <f t="shared" si="35"/>
        <v>-0.41564068870244975</v>
      </c>
      <c r="AS65" s="65">
        <f t="shared" si="35"/>
        <v>-1</v>
      </c>
      <c r="AT65" s="65">
        <f t="shared" si="35"/>
        <v>0</v>
      </c>
      <c r="AU65" s="65">
        <f t="shared" si="35"/>
        <v>0</v>
      </c>
      <c r="AV65" s="65">
        <f t="shared" si="35"/>
        <v>0</v>
      </c>
      <c r="AW65" s="65">
        <f t="shared" si="35"/>
        <v>0</v>
      </c>
      <c r="AX65" s="65">
        <f t="shared" si="35"/>
        <v>0</v>
      </c>
      <c r="AY65" s="65">
        <f t="shared" si="35"/>
        <v>0</v>
      </c>
      <c r="AZ65" s="65">
        <f t="shared" si="35"/>
        <v>0</v>
      </c>
      <c r="BA65" s="65">
        <f t="shared" si="35"/>
        <v>0</v>
      </c>
      <c r="BB65" s="65">
        <f t="shared" si="35"/>
        <v>0</v>
      </c>
      <c r="BC65" s="65">
        <f t="shared" si="35"/>
        <v>0</v>
      </c>
      <c r="BD65" s="65">
        <f t="shared" si="35"/>
        <v>0</v>
      </c>
      <c r="BE65" s="65">
        <f t="shared" si="35"/>
        <v>0</v>
      </c>
      <c r="BF65" s="65">
        <f t="shared" si="35"/>
        <v>0</v>
      </c>
      <c r="BG65" s="65">
        <f t="shared" si="35"/>
        <v>0</v>
      </c>
      <c r="BH65" s="65">
        <f t="shared" si="35"/>
        <v>0</v>
      </c>
      <c r="BI65" s="65">
        <f t="shared" si="35"/>
        <v>0</v>
      </c>
      <c r="BJ65" s="65">
        <f t="shared" si="35"/>
        <v>0</v>
      </c>
      <c r="BK65" s="65">
        <f t="shared" si="35"/>
        <v>0</v>
      </c>
      <c r="BL65" s="65">
        <f t="shared" si="35"/>
        <v>0</v>
      </c>
      <c r="BM65" s="65">
        <f t="shared" si="35"/>
        <v>0</v>
      </c>
      <c r="BN65" s="65">
        <f t="shared" si="35"/>
        <v>0</v>
      </c>
      <c r="BO65" s="65">
        <f t="shared" si="35"/>
        <v>0</v>
      </c>
    </row>
    <row r="66" spans="1:67" ht="16.5" customHeight="1">
      <c r="A66" s="1"/>
      <c r="B66" s="16"/>
      <c r="C66" s="17"/>
      <c r="D66" s="16"/>
      <c r="E66" s="16"/>
      <c r="F66" s="16"/>
      <c r="G66" s="16"/>
      <c r="H66" s="16"/>
      <c r="I66" s="16"/>
      <c r="J66" s="16"/>
      <c r="K66" s="16"/>
      <c r="L66" s="16"/>
      <c r="M66" s="16"/>
      <c r="N66" s="16"/>
      <c r="O66" s="16"/>
      <c r="P66" s="16"/>
      <c r="Q66" s="16"/>
      <c r="R66" s="16"/>
      <c r="S66" s="16"/>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sheetData>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3"/>
  <sheetViews>
    <sheetView showGridLines="0" workbookViewId="0">
      <selection activeCell="F16" sqref="F16"/>
    </sheetView>
  </sheetViews>
  <sheetFormatPr baseColWidth="10" defaultColWidth="10.140625" defaultRowHeight="15" customHeight="1"/>
  <cols>
    <col min="1" max="1" width="4.140625" customWidth="1"/>
    <col min="2" max="2" width="22.85546875" customWidth="1"/>
    <col min="4" max="4" width="13.140625" customWidth="1"/>
    <col min="5" max="5" width="17.5703125" style="88" customWidth="1"/>
    <col min="6" max="6" width="9.140625" customWidth="1"/>
    <col min="7" max="17" width="10.140625" customWidth="1"/>
    <col min="18" max="18" width="6.42578125" customWidth="1"/>
  </cols>
  <sheetData>
    <row r="1" spans="1:18" ht="16">
      <c r="A1" s="1"/>
      <c r="B1" s="1"/>
      <c r="C1" s="1"/>
      <c r="D1" s="1"/>
      <c r="E1" s="85"/>
      <c r="F1" s="1"/>
      <c r="G1" s="42"/>
      <c r="H1" s="42"/>
      <c r="I1" s="42"/>
      <c r="J1" s="42"/>
      <c r="K1" s="42"/>
      <c r="L1" s="42"/>
      <c r="M1" s="42"/>
      <c r="N1" s="42"/>
      <c r="O1" s="42"/>
      <c r="P1" s="42"/>
      <c r="Q1" s="42"/>
      <c r="R1" s="1"/>
    </row>
    <row r="2" spans="1:18" ht="18">
      <c r="A2" s="1"/>
      <c r="B2" s="2" t="s">
        <v>240</v>
      </c>
      <c r="C2" s="1"/>
      <c r="D2" s="1"/>
      <c r="E2" s="85"/>
      <c r="F2" s="1"/>
      <c r="G2" s="42"/>
      <c r="H2" s="42"/>
      <c r="I2" s="42"/>
      <c r="J2" s="42"/>
      <c r="K2" s="42"/>
      <c r="L2" s="42"/>
      <c r="M2" s="42"/>
      <c r="N2" s="42"/>
      <c r="O2" s="42"/>
      <c r="P2" s="42"/>
      <c r="Q2" s="42"/>
      <c r="R2" s="1"/>
    </row>
    <row r="3" spans="1:18" ht="16">
      <c r="A3" s="1"/>
      <c r="B3" s="3" t="s">
        <v>241</v>
      </c>
      <c r="C3" s="1"/>
      <c r="D3" s="1"/>
      <c r="E3" s="85"/>
      <c r="F3" s="1"/>
      <c r="G3" s="42"/>
      <c r="H3" s="42"/>
      <c r="I3" s="42"/>
      <c r="J3" s="42"/>
      <c r="K3" s="42"/>
      <c r="L3" s="42"/>
      <c r="M3" s="42"/>
      <c r="N3" s="42"/>
      <c r="O3" s="42"/>
      <c r="P3" s="42"/>
      <c r="Q3" s="42"/>
      <c r="R3" s="1"/>
    </row>
    <row r="4" spans="1:18" ht="16">
      <c r="A4" s="1"/>
      <c r="B4" s="1"/>
      <c r="C4" s="1"/>
      <c r="D4" s="1"/>
      <c r="E4" s="85"/>
      <c r="F4" s="1"/>
      <c r="G4" s="42"/>
      <c r="H4" s="42"/>
      <c r="I4" s="42"/>
      <c r="J4" s="42"/>
      <c r="K4" s="42"/>
      <c r="L4" s="42"/>
      <c r="M4" s="42"/>
      <c r="N4" s="42"/>
      <c r="O4" s="42"/>
      <c r="P4" s="42"/>
      <c r="Q4" s="42"/>
      <c r="R4" s="1"/>
    </row>
    <row r="5" spans="1:18" ht="51" customHeight="1">
      <c r="A5" s="18"/>
      <c r="B5" s="66" t="s">
        <v>242</v>
      </c>
      <c r="C5" s="66" t="s">
        <v>243</v>
      </c>
      <c r="D5" s="66" t="s">
        <v>244</v>
      </c>
      <c r="E5" s="86" t="s">
        <v>245</v>
      </c>
      <c r="F5" s="67" t="s">
        <v>246</v>
      </c>
      <c r="G5" s="67" t="s">
        <v>247</v>
      </c>
      <c r="H5" s="67" t="s">
        <v>248</v>
      </c>
      <c r="I5" s="67" t="s">
        <v>249</v>
      </c>
      <c r="J5" s="67" t="s">
        <v>250</v>
      </c>
      <c r="K5" s="67" t="s">
        <v>251</v>
      </c>
      <c r="L5" s="67" t="s">
        <v>252</v>
      </c>
      <c r="M5" s="67" t="s">
        <v>253</v>
      </c>
      <c r="N5" s="67" t="s">
        <v>254</v>
      </c>
      <c r="O5" s="67" t="s">
        <v>255</v>
      </c>
      <c r="P5" s="67" t="s">
        <v>256</v>
      </c>
      <c r="Q5" s="67" t="s">
        <v>257</v>
      </c>
      <c r="R5" s="18"/>
    </row>
    <row r="6" spans="1:18" ht="16">
      <c r="A6" s="8"/>
      <c r="B6" s="8"/>
      <c r="C6" s="11"/>
      <c r="D6" s="8"/>
      <c r="E6" s="87"/>
      <c r="F6" s="68"/>
      <c r="G6" s="68"/>
      <c r="H6" s="68"/>
      <c r="I6" s="68"/>
      <c r="J6" s="68"/>
      <c r="K6" s="68"/>
      <c r="L6" s="68"/>
      <c r="M6" s="68"/>
      <c r="N6" s="68"/>
      <c r="O6" s="68"/>
      <c r="P6" s="68"/>
      <c r="Q6" s="68"/>
      <c r="R6" s="8"/>
    </row>
    <row r="7" spans="1:18" ht="28">
      <c r="A7" s="8"/>
      <c r="B7" s="8" t="s">
        <v>258</v>
      </c>
      <c r="C7" s="69" t="s">
        <v>259</v>
      </c>
      <c r="D7" s="8" t="s">
        <v>260</v>
      </c>
      <c r="E7" s="87" t="s">
        <v>261</v>
      </c>
      <c r="F7" s="70" t="s">
        <v>262</v>
      </c>
      <c r="G7" s="70" t="s">
        <v>263</v>
      </c>
      <c r="H7" s="84" t="b">
        <v>0</v>
      </c>
      <c r="I7" s="84" t="b">
        <v>1</v>
      </c>
      <c r="J7" s="84" t="b">
        <v>0</v>
      </c>
      <c r="K7" s="84" t="b">
        <v>1</v>
      </c>
      <c r="L7" s="84" t="b">
        <v>1</v>
      </c>
      <c r="M7" s="84" t="b">
        <v>1</v>
      </c>
      <c r="N7" s="84" t="b">
        <v>0</v>
      </c>
      <c r="O7" s="84" t="b">
        <v>0</v>
      </c>
      <c r="P7" s="84" t="b">
        <v>1</v>
      </c>
      <c r="Q7" s="84" t="b">
        <v>0</v>
      </c>
      <c r="R7" s="8"/>
    </row>
    <row r="8" spans="1:18" ht="56">
      <c r="A8" s="8"/>
      <c r="B8" s="8" t="s">
        <v>264</v>
      </c>
      <c r="C8" s="71" t="s">
        <v>265</v>
      </c>
      <c r="D8" s="8" t="s">
        <v>266</v>
      </c>
      <c r="E8" s="87" t="s">
        <v>267</v>
      </c>
      <c r="F8" s="70" t="s">
        <v>268</v>
      </c>
      <c r="G8" s="70" t="s">
        <v>269</v>
      </c>
      <c r="H8" s="84" t="b">
        <v>0</v>
      </c>
      <c r="I8" s="84" t="b">
        <v>1</v>
      </c>
      <c r="J8" s="84" t="b">
        <v>1</v>
      </c>
      <c r="K8" s="84" t="b">
        <v>1</v>
      </c>
      <c r="L8" s="84" t="b">
        <v>1</v>
      </c>
      <c r="M8" s="84" t="b">
        <v>1</v>
      </c>
      <c r="N8" s="84" t="b">
        <v>0</v>
      </c>
      <c r="O8" s="84" t="b">
        <v>1</v>
      </c>
      <c r="P8" s="84" t="b">
        <v>1</v>
      </c>
      <c r="Q8" s="84" t="b">
        <v>0</v>
      </c>
      <c r="R8" s="8"/>
    </row>
    <row r="9" spans="1:18" ht="70">
      <c r="A9" s="8"/>
      <c r="B9" s="8" t="s">
        <v>270</v>
      </c>
      <c r="C9" s="71" t="s">
        <v>271</v>
      </c>
      <c r="D9" s="8" t="s">
        <v>266</v>
      </c>
      <c r="E9" s="87" t="s">
        <v>272</v>
      </c>
      <c r="F9" s="70" t="s">
        <v>273</v>
      </c>
      <c r="G9" s="70" t="s">
        <v>269</v>
      </c>
      <c r="H9" s="84" t="b">
        <v>1</v>
      </c>
      <c r="I9" s="84" t="b">
        <v>1</v>
      </c>
      <c r="J9" s="84" t="b">
        <v>1</v>
      </c>
      <c r="K9" s="84" t="b">
        <v>1</v>
      </c>
      <c r="L9" s="84" t="b">
        <v>1</v>
      </c>
      <c r="M9" s="84" t="b">
        <v>1</v>
      </c>
      <c r="N9" s="84" t="b">
        <v>1</v>
      </c>
      <c r="O9" s="84" t="b">
        <v>1</v>
      </c>
      <c r="P9" s="84" t="b">
        <v>1</v>
      </c>
      <c r="Q9" s="84" t="b">
        <v>1</v>
      </c>
      <c r="R9" s="8"/>
    </row>
    <row r="10" spans="1:18" ht="70">
      <c r="A10" s="8"/>
      <c r="B10" s="8" t="s">
        <v>274</v>
      </c>
      <c r="C10" s="71" t="s">
        <v>275</v>
      </c>
      <c r="D10" s="8" t="s">
        <v>266</v>
      </c>
      <c r="E10" s="87" t="s">
        <v>276</v>
      </c>
      <c r="F10" s="70" t="s">
        <v>262</v>
      </c>
      <c r="G10" s="70" t="s">
        <v>263</v>
      </c>
      <c r="H10" s="84" t="b">
        <v>1</v>
      </c>
      <c r="I10" s="84" t="b">
        <v>0</v>
      </c>
      <c r="J10" s="84" t="b">
        <v>0</v>
      </c>
      <c r="K10" s="84" t="b">
        <v>0</v>
      </c>
      <c r="L10" s="84" t="b">
        <v>1</v>
      </c>
      <c r="M10" s="84" t="b">
        <v>1</v>
      </c>
      <c r="N10" s="84" t="b">
        <v>0</v>
      </c>
      <c r="O10" s="84" t="b">
        <v>0</v>
      </c>
      <c r="P10" s="84" t="b">
        <v>0</v>
      </c>
      <c r="Q10" s="84" t="b">
        <v>0</v>
      </c>
      <c r="R10" s="8"/>
    </row>
    <row r="11" spans="1:18" ht="70">
      <c r="A11" s="8"/>
      <c r="B11" s="8" t="s">
        <v>277</v>
      </c>
      <c r="C11" s="69" t="s">
        <v>278</v>
      </c>
      <c r="D11" s="8" t="s">
        <v>266</v>
      </c>
      <c r="E11" s="87" t="s">
        <v>279</v>
      </c>
      <c r="F11" s="70" t="s">
        <v>262</v>
      </c>
      <c r="G11" s="70" t="s">
        <v>263</v>
      </c>
      <c r="H11" s="84" t="b">
        <v>1</v>
      </c>
      <c r="I11" s="84" t="b">
        <v>0</v>
      </c>
      <c r="J11" s="84" t="b">
        <v>0</v>
      </c>
      <c r="K11" s="84" t="b">
        <v>0</v>
      </c>
      <c r="L11" s="84" t="b">
        <v>1</v>
      </c>
      <c r="M11" s="84" t="b">
        <v>1</v>
      </c>
      <c r="N11" s="84" t="b">
        <v>0</v>
      </c>
      <c r="O11" s="84" t="b">
        <v>0</v>
      </c>
      <c r="P11" s="84" t="b">
        <v>0</v>
      </c>
      <c r="Q11" s="84" t="b">
        <v>0</v>
      </c>
      <c r="R11" s="8"/>
    </row>
    <row r="12" spans="1:18" ht="98">
      <c r="A12" s="8"/>
      <c r="B12" s="8" t="s">
        <v>280</v>
      </c>
      <c r="C12" s="69" t="s">
        <v>281</v>
      </c>
      <c r="D12" s="8" t="s">
        <v>266</v>
      </c>
      <c r="E12" s="87" t="s">
        <v>282</v>
      </c>
      <c r="F12" s="70" t="s">
        <v>262</v>
      </c>
      <c r="G12" s="70" t="s">
        <v>283</v>
      </c>
      <c r="H12" s="84" t="b">
        <v>1</v>
      </c>
      <c r="I12" s="84" t="b">
        <v>0</v>
      </c>
      <c r="J12" s="84" t="b">
        <v>0</v>
      </c>
      <c r="K12" s="84" t="b">
        <v>0</v>
      </c>
      <c r="L12" s="84" t="b">
        <v>0</v>
      </c>
      <c r="M12" s="84" t="b">
        <v>0</v>
      </c>
      <c r="N12" s="84" t="b">
        <v>0</v>
      </c>
      <c r="O12" s="84" t="b">
        <v>0</v>
      </c>
      <c r="P12" s="84" t="b">
        <v>0</v>
      </c>
      <c r="Q12" s="84" t="b">
        <v>0</v>
      </c>
      <c r="R12" s="8"/>
    </row>
    <row r="13" spans="1:18" ht="84">
      <c r="A13" s="8"/>
      <c r="B13" s="8" t="s">
        <v>284</v>
      </c>
      <c r="C13" s="69" t="s">
        <v>285</v>
      </c>
      <c r="D13" s="8" t="s">
        <v>266</v>
      </c>
      <c r="E13" s="87" t="s">
        <v>286</v>
      </c>
      <c r="F13" s="70" t="s">
        <v>262</v>
      </c>
      <c r="G13" s="70" t="s">
        <v>263</v>
      </c>
      <c r="H13" s="84" t="b">
        <v>1</v>
      </c>
      <c r="I13" s="84" t="b">
        <v>0</v>
      </c>
      <c r="J13" s="84" t="b">
        <v>0</v>
      </c>
      <c r="K13" s="84" t="b">
        <v>0</v>
      </c>
      <c r="L13" s="84" t="b">
        <v>1</v>
      </c>
      <c r="M13" s="84" t="b">
        <v>1</v>
      </c>
      <c r="N13" s="84" t="b">
        <v>0</v>
      </c>
      <c r="O13" s="84" t="b">
        <v>0</v>
      </c>
      <c r="P13" s="84" t="b">
        <v>0</v>
      </c>
      <c r="Q13" s="84" t="b">
        <v>0</v>
      </c>
      <c r="R13" s="8"/>
    </row>
  </sheetData>
  <hyperlinks>
    <hyperlink ref="C7" r:id="rId1" xr:uid="{00000000-0004-0000-0700-000000000000}"/>
    <hyperlink ref="C8" r:id="rId2" xr:uid="{00000000-0004-0000-0700-000001000000}"/>
    <hyperlink ref="C9" r:id="rId3" xr:uid="{00000000-0004-0000-0700-000002000000}"/>
    <hyperlink ref="C10" r:id="rId4" xr:uid="{00000000-0004-0000-0700-000005000000}"/>
    <hyperlink ref="C11" r:id="rId5" xr:uid="{00000000-0004-0000-0700-000006000000}"/>
    <hyperlink ref="C12" r:id="rId6" xr:uid="{00000000-0004-0000-0700-000007000000}"/>
    <hyperlink ref="C13" r:id="rId7" xr:uid="{00000000-0004-0000-0700-000008000000}"/>
  </hyperlinks>
  <pageMargins left="0.7" right="0.7" top="0.75" bottom="0.75" header="0.3" footer="0.3"/>
  <tableParts count="1">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2"/>
  <sheetViews>
    <sheetView showGridLines="0" workbookViewId="0"/>
  </sheetViews>
  <sheetFormatPr baseColWidth="10" defaultColWidth="10.140625" defaultRowHeight="15" customHeight="1"/>
  <cols>
    <col min="1" max="1" width="3.5703125" customWidth="1"/>
    <col min="2" max="2" width="8.42578125" customWidth="1"/>
    <col min="3" max="3" width="10.28515625" customWidth="1"/>
    <col min="4" max="4" width="21.140625" customWidth="1"/>
    <col min="5" max="5" width="62.85546875" customWidth="1"/>
  </cols>
  <sheetData>
    <row r="1" spans="1:26">
      <c r="A1" s="72"/>
      <c r="B1" s="72"/>
      <c r="C1" s="72"/>
      <c r="D1" s="72"/>
      <c r="E1" s="72"/>
      <c r="F1" s="72"/>
      <c r="G1" s="1"/>
      <c r="H1" s="1"/>
      <c r="I1" s="1"/>
      <c r="J1" s="1"/>
      <c r="K1" s="1"/>
      <c r="L1" s="1"/>
      <c r="M1" s="1"/>
      <c r="N1" s="1"/>
      <c r="O1" s="1"/>
      <c r="P1" s="1"/>
      <c r="Q1" s="1"/>
      <c r="R1" s="1"/>
      <c r="S1" s="1"/>
      <c r="T1" s="1"/>
      <c r="U1" s="1"/>
      <c r="V1" s="1"/>
      <c r="W1" s="1"/>
      <c r="X1" s="1"/>
      <c r="Y1" s="1"/>
      <c r="Z1" s="1"/>
    </row>
    <row r="2" spans="1:26">
      <c r="A2" s="72"/>
      <c r="B2" s="73" t="s">
        <v>34</v>
      </c>
      <c r="C2" s="72"/>
      <c r="D2" s="72"/>
      <c r="E2" s="72"/>
      <c r="F2" s="72"/>
      <c r="G2" s="1"/>
      <c r="H2" s="1"/>
      <c r="I2" s="1"/>
      <c r="J2" s="1"/>
      <c r="K2" s="1"/>
      <c r="L2" s="1"/>
      <c r="M2" s="1"/>
      <c r="N2" s="1"/>
      <c r="O2" s="1"/>
      <c r="P2" s="1"/>
      <c r="Q2" s="1"/>
      <c r="R2" s="1"/>
      <c r="S2" s="1"/>
      <c r="T2" s="1"/>
      <c r="U2" s="1"/>
      <c r="V2" s="1"/>
      <c r="W2" s="1"/>
      <c r="X2" s="1"/>
      <c r="Y2" s="1"/>
      <c r="Z2" s="1"/>
    </row>
    <row r="3" spans="1:26">
      <c r="A3" s="72"/>
      <c r="B3" s="74" t="s">
        <v>287</v>
      </c>
      <c r="C3" s="72"/>
      <c r="D3" s="72"/>
      <c r="E3" s="72"/>
      <c r="F3" s="72"/>
      <c r="G3" s="1"/>
      <c r="H3" s="1"/>
      <c r="I3" s="1"/>
      <c r="J3" s="1"/>
      <c r="K3" s="1"/>
      <c r="L3" s="1"/>
      <c r="M3" s="1"/>
      <c r="N3" s="1"/>
      <c r="O3" s="1"/>
      <c r="P3" s="1"/>
      <c r="Q3" s="1"/>
      <c r="R3" s="1"/>
      <c r="S3" s="1"/>
      <c r="T3" s="1"/>
      <c r="U3" s="1"/>
      <c r="V3" s="1"/>
      <c r="W3" s="1"/>
      <c r="X3" s="1"/>
      <c r="Y3" s="1"/>
      <c r="Z3" s="1"/>
    </row>
    <row r="4" spans="1:26">
      <c r="A4" s="72"/>
      <c r="B4" s="72"/>
      <c r="C4" s="72"/>
      <c r="D4" s="72"/>
      <c r="E4" s="72"/>
      <c r="F4" s="72"/>
      <c r="G4" s="1"/>
      <c r="H4" s="1"/>
      <c r="I4" s="1"/>
      <c r="J4" s="1"/>
      <c r="K4" s="1"/>
      <c r="L4" s="1"/>
      <c r="M4" s="1"/>
      <c r="N4" s="1"/>
      <c r="O4" s="1"/>
      <c r="P4" s="1"/>
      <c r="Q4" s="1"/>
      <c r="R4" s="1"/>
      <c r="S4" s="1"/>
      <c r="T4" s="1"/>
      <c r="U4" s="1"/>
      <c r="V4" s="1"/>
      <c r="W4" s="1"/>
      <c r="X4" s="1"/>
      <c r="Y4" s="1"/>
      <c r="Z4" s="1"/>
    </row>
    <row r="5" spans="1:26">
      <c r="A5" s="72"/>
      <c r="B5" s="75" t="s">
        <v>288</v>
      </c>
      <c r="C5" s="75" t="s">
        <v>124</v>
      </c>
      <c r="D5" s="75" t="s">
        <v>289</v>
      </c>
      <c r="E5" s="75" t="s">
        <v>290</v>
      </c>
      <c r="F5" s="72"/>
      <c r="G5" s="1"/>
      <c r="H5" s="1"/>
      <c r="I5" s="1"/>
      <c r="J5" s="1"/>
      <c r="K5" s="1"/>
      <c r="L5" s="1"/>
      <c r="M5" s="1"/>
      <c r="N5" s="1"/>
      <c r="O5" s="1"/>
      <c r="P5" s="1"/>
      <c r="Q5" s="1"/>
      <c r="R5" s="1"/>
      <c r="S5" s="1"/>
      <c r="T5" s="1"/>
      <c r="U5" s="1"/>
      <c r="V5" s="1"/>
      <c r="W5" s="1"/>
      <c r="X5" s="1"/>
      <c r="Y5" s="1"/>
      <c r="Z5" s="1"/>
    </row>
    <row r="6" spans="1:26">
      <c r="A6" s="72"/>
      <c r="B6" s="76"/>
      <c r="C6" s="76"/>
      <c r="D6" s="76"/>
      <c r="E6" s="76"/>
      <c r="F6" s="72"/>
      <c r="G6" s="1"/>
      <c r="H6" s="1"/>
      <c r="I6" s="1"/>
      <c r="J6" s="1"/>
      <c r="K6" s="1"/>
      <c r="L6" s="1"/>
      <c r="M6" s="1"/>
      <c r="N6" s="1"/>
      <c r="O6" s="1"/>
      <c r="P6" s="1"/>
      <c r="Q6" s="1"/>
      <c r="R6" s="1"/>
      <c r="S6" s="1"/>
      <c r="T6" s="1"/>
      <c r="U6" s="1"/>
      <c r="V6" s="1"/>
      <c r="W6" s="1"/>
      <c r="X6" s="1"/>
      <c r="Y6" s="1"/>
      <c r="Z6" s="1"/>
    </row>
    <row r="7" spans="1:26">
      <c r="A7" s="72"/>
      <c r="B7" s="77" t="s">
        <v>291</v>
      </c>
      <c r="C7" s="78">
        <v>45581</v>
      </c>
      <c r="D7" s="79" t="s">
        <v>292</v>
      </c>
      <c r="E7" s="77" t="s">
        <v>293</v>
      </c>
      <c r="F7" s="72"/>
      <c r="G7" s="1"/>
      <c r="H7" s="1"/>
      <c r="I7" s="1"/>
      <c r="J7" s="1"/>
      <c r="K7" s="1"/>
      <c r="L7" s="1"/>
      <c r="M7" s="1"/>
      <c r="N7" s="1"/>
      <c r="O7" s="1"/>
      <c r="P7" s="1"/>
      <c r="Q7" s="1"/>
      <c r="R7" s="1"/>
      <c r="S7" s="1"/>
      <c r="T7" s="1"/>
      <c r="U7" s="1"/>
      <c r="V7" s="1"/>
      <c r="W7" s="1"/>
      <c r="X7" s="1"/>
      <c r="Y7" s="1"/>
      <c r="Z7" s="1"/>
    </row>
    <row r="8" spans="1:26">
      <c r="A8" s="72"/>
      <c r="B8" s="79" t="s">
        <v>294</v>
      </c>
      <c r="C8" s="80">
        <v>44825</v>
      </c>
      <c r="D8" s="79" t="s">
        <v>292</v>
      </c>
      <c r="E8" s="79" t="s">
        <v>295</v>
      </c>
      <c r="F8" s="72"/>
      <c r="G8" s="1"/>
      <c r="H8" s="1"/>
      <c r="I8" s="1"/>
      <c r="J8" s="1"/>
      <c r="K8" s="1"/>
      <c r="L8" s="1"/>
      <c r="M8" s="1"/>
      <c r="N8" s="1"/>
      <c r="O8" s="1"/>
      <c r="P8" s="1"/>
      <c r="Q8" s="1"/>
      <c r="R8" s="1"/>
      <c r="S8" s="1"/>
      <c r="T8" s="1"/>
      <c r="U8" s="1"/>
      <c r="V8" s="1"/>
      <c r="W8" s="1"/>
      <c r="X8" s="1"/>
      <c r="Y8" s="1"/>
      <c r="Z8" s="1"/>
    </row>
    <row r="9" spans="1:26">
      <c r="A9" s="72"/>
      <c r="B9" s="77" t="s">
        <v>296</v>
      </c>
      <c r="C9" s="78">
        <v>44407</v>
      </c>
      <c r="D9" s="79" t="s">
        <v>292</v>
      </c>
      <c r="E9" s="77" t="s">
        <v>297</v>
      </c>
      <c r="F9" s="72"/>
      <c r="G9" s="1"/>
      <c r="H9" s="1"/>
      <c r="I9" s="1"/>
      <c r="J9" s="1"/>
      <c r="K9" s="1"/>
      <c r="L9" s="1"/>
      <c r="M9" s="1"/>
      <c r="N9" s="1"/>
      <c r="O9" s="1"/>
      <c r="P9" s="1"/>
      <c r="Q9" s="1"/>
      <c r="R9" s="1"/>
      <c r="S9" s="1"/>
      <c r="T9" s="1"/>
      <c r="U9" s="1"/>
      <c r="V9" s="1"/>
      <c r="W9" s="1"/>
      <c r="X9" s="1"/>
      <c r="Y9" s="1"/>
      <c r="Z9" s="1"/>
    </row>
    <row r="10" spans="1:26">
      <c r="A10" s="72"/>
      <c r="B10" s="79" t="s">
        <v>298</v>
      </c>
      <c r="C10" s="80">
        <v>44111</v>
      </c>
      <c r="D10" s="79" t="s">
        <v>292</v>
      </c>
      <c r="E10" s="79" t="s">
        <v>299</v>
      </c>
      <c r="F10" s="72"/>
      <c r="G10" s="1"/>
      <c r="H10" s="1"/>
      <c r="I10" s="1"/>
      <c r="J10" s="1"/>
      <c r="K10" s="1"/>
      <c r="L10" s="1"/>
      <c r="M10" s="1"/>
      <c r="N10" s="1"/>
      <c r="O10" s="1"/>
      <c r="P10" s="1"/>
      <c r="Q10" s="1"/>
      <c r="R10" s="1"/>
      <c r="S10" s="1"/>
      <c r="T10" s="1"/>
      <c r="U10" s="1"/>
      <c r="V10" s="1"/>
      <c r="W10" s="1"/>
      <c r="X10" s="1"/>
      <c r="Y10" s="1"/>
      <c r="Z10" s="1"/>
    </row>
    <row r="11" spans="1:26">
      <c r="A11" s="72"/>
      <c r="B11" s="77" t="s">
        <v>300</v>
      </c>
      <c r="C11" s="78">
        <v>44094</v>
      </c>
      <c r="D11" s="79" t="s">
        <v>292</v>
      </c>
      <c r="E11" s="77" t="s">
        <v>301</v>
      </c>
      <c r="F11" s="72"/>
      <c r="G11" s="1"/>
      <c r="H11" s="1"/>
      <c r="I11" s="1"/>
      <c r="J11" s="1"/>
      <c r="K11" s="1"/>
      <c r="L11" s="1"/>
      <c r="M11" s="1"/>
      <c r="N11" s="1"/>
      <c r="O11" s="1"/>
      <c r="P11" s="1"/>
      <c r="Q11" s="1"/>
      <c r="R11" s="1"/>
      <c r="S11" s="1"/>
      <c r="T11" s="1"/>
      <c r="U11" s="1"/>
      <c r="V11" s="1"/>
      <c r="W11" s="1"/>
      <c r="X11" s="1"/>
      <c r="Y11" s="1"/>
      <c r="Z11" s="1"/>
    </row>
    <row r="12" spans="1:26">
      <c r="A12" s="72"/>
      <c r="B12" s="81"/>
      <c r="C12" s="82"/>
      <c r="D12" s="83"/>
      <c r="E12" s="83"/>
      <c r="F12" s="72"/>
      <c r="G12" s="1"/>
      <c r="H12" s="1"/>
      <c r="I12" s="1"/>
      <c r="J12" s="1"/>
      <c r="K12" s="1"/>
      <c r="L12" s="1"/>
      <c r="M12" s="1"/>
      <c r="N12" s="1"/>
      <c r="O12" s="1"/>
      <c r="P12" s="1"/>
      <c r="Q12" s="1"/>
      <c r="R12" s="1"/>
      <c r="S12" s="1"/>
      <c r="T12" s="1"/>
      <c r="U12" s="1"/>
      <c r="V12" s="1"/>
      <c r="W12" s="1"/>
      <c r="X12" s="1"/>
      <c r="Y12" s="1"/>
      <c r="Z1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License</vt:lpstr>
      <vt:lpstr>Disclaimer</vt:lpstr>
      <vt:lpstr>Get Started</vt:lpstr>
      <vt:lpstr>Key Reports</vt:lpstr>
      <vt:lpstr>Forecast</vt:lpstr>
      <vt:lpstr>Historicals</vt:lpstr>
      <vt:lpstr>Model Comparison</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modified xsi:type="dcterms:W3CDTF">2024-10-18T17:06:14Z</dcterms:modified>
</cp:coreProperties>
</file>